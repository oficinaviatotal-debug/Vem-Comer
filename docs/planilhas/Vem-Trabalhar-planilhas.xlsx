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5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 primeiro" sheetId="1" state="visible" r:id="rId3"/>
    <sheet name="Parcerias" sheetId="2" state="visible" r:id="rId4"/>
    <sheet name="Portal do parceiro" sheetId="3" state="visible" r:id="rId5"/>
    <sheet name="Escolas técnicas" sheetId="4" state="visible" r:id="rId6"/>
    <sheet name="Faculdades" sheetId="5" state="visible" r:id="rId7"/>
    <sheet name="Cursos com parceiros" sheetId="6" state="visible" r:id="rId8"/>
    <sheet name="Ideias de cursos" sheetId="7" state="visible" r:id="rId9"/>
    <sheet name="Cursos próprios" sheetId="8" state="visible" r:id="rId10"/>
    <sheet name="Canais" sheetId="9" state="visible" r:id="rId11"/>
    <sheet name="Sistema vivo" sheetId="10" state="visible" r:id="rId12"/>
    <sheet name="IA para o dono" sheetId="11" state="visible" r:id="rId13"/>
    <sheet name="Comandos de voz" sheetId="12" state="visible" r:id="rId14"/>
    <sheet name="Benchmark" sheetId="13" state="visible" r:id="rId15"/>
    <sheet name="Prioridade" sheetId="14" state="visible" r:id="rId16"/>
    <sheet name="Matching" sheetId="15" state="visible" r:id="rId17"/>
    <sheet name="Matching exemplo" sheetId="16" state="visible" r:id="rId18"/>
    <sheet name="Geografia" sheetId="17" state="visible" r:id="rId19"/>
    <sheet name="Cadastro" sheetId="18" state="visible" r:id="rId20"/>
    <sheet name="Entrevista do currículo" sheetId="19" state="visible" r:id="rId21"/>
    <sheet name="Tarefas por área" sheetId="20" state="visible" r:id="rId22"/>
    <sheet name="Currículos" sheetId="21" state="visible" r:id="rId23"/>
    <sheet name="Perfil" sheetId="22" state="visible" r:id="rId24"/>
    <sheet name="Interesses" sheetId="23" state="visible" r:id="rId25"/>
    <sheet name="Desempenho" sheetId="24" state="visible" r:id="rId26"/>
    <sheet name="Fontes" sheetId="25" state="visible" r:id="rId27"/>
  </sheets>
  <definedNames>
    <definedName function="false" hidden="true" localSheetId="11" name="_xlnm._FilterDatabase" vbProcedure="false">'Comandos de voz'!$A$4:$G$36</definedName>
    <definedName function="false" hidden="true" localSheetId="5" name="_xlnm._FilterDatabase" vbProcedure="false">'Cursos com parceiros'!$A$4:$H$35</definedName>
    <definedName function="false" hidden="true" localSheetId="6" name="_xlnm._FilterDatabase" vbProcedure="false">'Ideias de cursos'!$A$7:$J$78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<sst xmlns="http://schemas.openxmlformats.org/spreadsheetml/2006/main" count="2539" uniqueCount="1686">
  <si>
    <t xml:space="preserve">Planilhas do Vem Trabalhar</t>
  </si>
  <si>
    <t xml:space="preserve">Versão 4, de 06/10/2026: entrevista do currículo, IA para o dono, comandos de voz e benchmark. Tudo que é pergunta é de tocar. Células amarelas com letra azul são suas.</t>
  </si>
  <si>
    <t xml:space="preserve">Em uma frase</t>
  </si>
  <si>
    <t xml:space="preserve">Um método só, do trabalhador autônomo até a empresa de mil funcionários: a mesma pessoa se cadastra, aprende, é avaliada com transparência e é encontrada pela vaga certa.</t>
  </si>
  <si>
    <t xml:space="preserve">Como os cursos funcionam</t>
  </si>
  <si>
    <t xml:space="preserve">Cursos nossos: só cursos livres, feitos por nós, com certificado de curso livre. Não usamos cursos de terceiros (Sebrae, Fundação Bradesco, Sistema S): ficaram de fora.</t>
  </si>
  <si>
    <t xml:space="preserve">Cursos técnicos e faculdades: entram por parceria. A escola paga ao Vem Trabalhar 50% da matrícula e 30% de cada mensalidade (como entendi sua fala; confirmar com cada escola).</t>
  </si>
  <si>
    <t xml:space="preserve">A comissão nunca muda a nota do match. O curso de parceiro aparece com a etiqueta 'Parceiro', para a pessoa saber que existe um acordo.</t>
  </si>
  <si>
    <t xml:space="preserve">O que tem em cada aba (toque no nome para ir)</t>
  </si>
  <si>
    <t xml:space="preserve">Parcerias</t>
  </si>
  <si>
    <t xml:space="preserve">Regra de comissão (50% da matrícula, 30% da mensalidade), calculadora e regras do acordo com escolas.</t>
  </si>
  <si>
    <t xml:space="preserve">Portal do parceiro</t>
  </si>
  <si>
    <t xml:space="preserve">O passo a passo da escola: cadastra a si, os cursos e as empresas; aparece ao aluno com a etiqueta Parceiro; comissão nasce da matrícula e das mensalidades.</t>
  </si>
  <si>
    <t xml:space="preserve">Escolas técnicas</t>
  </si>
  <si>
    <t xml:space="preserve">Lista de escolas técnicas parceiras, para você preencher: curso, matrícula, mensalidade, comissão por aluno, situação.</t>
  </si>
  <si>
    <t xml:space="preserve">Faculdades</t>
  </si>
  <si>
    <t xml:space="preserve">A mesma lista, para faculdades e universidades.</t>
  </si>
  <si>
    <t xml:space="preserve">Cursos com parceiros</t>
  </si>
  <si>
    <t xml:space="preserve">31 cursos que queremos com escola parceira (técnicos e mistos), com quem emite o documento.</t>
  </si>
  <si>
    <t xml:space="preserve">Ideias de cursos</t>
  </si>
  <si>
    <t xml:space="preserve">71 cursos livres nossos, com a atividade de toque de cada um. A meta de 200 se acompanha no topo.</t>
  </si>
  <si>
    <t xml:space="preserve">Cursos próprios</t>
  </si>
  <si>
    <t xml:space="preserve">Como é um curso nosso: lições curtas, atividade de toque, reteste, prova final, certificado.</t>
  </si>
  <si>
    <t xml:space="preserve">Canais</t>
  </si>
  <si>
    <t xml:space="preserve">14 formas de entrar e de manter contato todo dia com as pessoas, com o que já pode rodar em 13/10.</t>
  </si>
  <si>
    <t xml:space="preserve">Sistema vivo</t>
  </si>
  <si>
    <t xml:space="preserve">Os agentes que propõem melhoria (benchmark, cursos, vídeos, match) e quem aprova.</t>
  </si>
  <si>
    <t xml:space="preserve">IA para o dono</t>
  </si>
  <si>
    <t xml:space="preserve">Os 3 pilares do texto da V4 (conteúdo em escala, análise de dados, imagens) e como cada um vira função, por voz ou foto, para cada dono que comprar o software.</t>
  </si>
  <si>
    <t xml:space="preserve">Comandos de voz</t>
  </si>
  <si>
    <t xml:space="preserve">32 frases de exemplo: o dono, o gerente, o candidato e você falam, e o sistema faz, pedindo confirmação quando mexe com dinheiro.</t>
  </si>
  <si>
    <t xml:space="preserve">Benchmark</t>
  </si>
  <si>
    <t xml:space="preserve">O que vimos de novo no mercado e onde entra. O agente de benchmark acrescenta linhas; a coluna amarela é a sua decisão.</t>
  </si>
  <si>
    <t xml:space="preserve">Prioridade</t>
  </si>
  <si>
    <t xml:space="preserve">Para cada região, quais setores pedem mais curso. Avaliação nossa; toque na célula para mudar.</t>
  </si>
  <si>
    <t xml:space="preserve">Matching</t>
  </si>
  <si>
    <t xml:space="preserve">As 20 perguntas ao candidato e as 20 correspondentes na vaga, com regra de comparação e peso.</t>
  </si>
  <si>
    <t xml:space="preserve">Matching exemplo</t>
  </si>
  <si>
    <t xml:space="preserve">Um candidato inventado contra uma vaga inventada, para ver como a nota sai.</t>
  </si>
  <si>
    <t xml:space="preserve">Geografia</t>
  </si>
  <si>
    <t xml:space="preserve">Casa, trabalho e local de estudo: distância, tempo de deslocamento, estudo a distância ou presencial.</t>
  </si>
  <si>
    <t xml:space="preserve">Cadastro</t>
  </si>
  <si>
    <t xml:space="preserve">As telas de entrada do candidato, do funcionário e da empresa: tudo de tocar, com a base legal de cada dado.</t>
  </si>
  <si>
    <t xml:space="preserve">Entrevista do currículo</t>
  </si>
  <si>
    <t xml:space="preserve">A pessoa tira uma foto ou fala; o sistema pergunta onde trabalhou, o que fazia, quanto tempo, o que aprendeu; quem nunca trabalhou é guiado por áreas; no fim, oferece um curso.</t>
  </si>
  <si>
    <t xml:space="preserve">Tarefas por área</t>
  </si>
  <si>
    <t xml:space="preserve">13 áreas com cargos, tarefas, ferramentas, habilidades e cursos: as bolinhas que a pessoa toca em vez de digitar.</t>
  </si>
  <si>
    <t xml:space="preserve">Perfil</t>
  </si>
  <si>
    <t xml:space="preserve">Teste de jeito de ser (Big Five do IPIP, domínio público): 25 frases.</t>
  </si>
  <si>
    <t xml:space="preserve">Interesses</t>
  </si>
  <si>
    <t xml:space="preserve">Teste de interesses de carreira (modelo RIASEC): 18 frases nossas.</t>
  </si>
  <si>
    <t xml:space="preserve">Desempenho</t>
  </si>
  <si>
    <t xml:space="preserve">Avaliação de competências do funcionário: 16 frases, uma versão para ele e outra para o gestor.</t>
  </si>
  <si>
    <t xml:space="preserve">Currículos</t>
  </si>
  <si>
    <t xml:space="preserve">26 modelos de currículo e 9 paletas de cor.</t>
  </si>
  <si>
    <t xml:space="preserve">Fontes</t>
  </si>
  <si>
    <t xml:space="preserve">De onde vieram os testes.</t>
  </si>
  <si>
    <t xml:space="preserve">Mesmo método, qualquer tamanho de empresa</t>
  </si>
  <si>
    <t xml:space="preserve">Quem é</t>
  </si>
  <si>
    <t xml:space="preserve">O que vê na tela (proposta nossa)</t>
  </si>
  <si>
    <t xml:space="preserve">Plano por vagas por mês (decisão do GD, 06/10/2026)</t>
  </si>
  <si>
    <t xml:space="preserve">Quem trabalha sozinho (MEI, autônomo)</t>
  </si>
  <si>
    <t xml:space="preserve">Uma vaga de 1 toque, perfil pronto, cursos de gestão do pequeno negócio.</t>
  </si>
  <si>
    <t xml:space="preserve">0 a 10 vagas: R$ 300</t>
  </si>
  <si>
    <t xml:space="preserve">Empresa com 2 a 50 funcionários</t>
  </si>
  <si>
    <t xml:space="preserve">As mesmas telas, com a vaga montada em 20 respostas de toque e a lista de candidatos já ordenada.</t>
  </si>
  <si>
    <t xml:space="preserve">0 a 10 vagas: R$ 300; 11 a 500: R$ 500</t>
  </si>
  <si>
    <t xml:space="preserve">Empresa com 51 a 500 funcionários</t>
  </si>
  <si>
    <t xml:space="preserve">Acrescenta a avaliação de desempenho dos funcionários e os relatórios por setor.</t>
  </si>
  <si>
    <t xml:space="preserve">11 a 500 vagas: R$ 500</t>
  </si>
  <si>
    <t xml:space="preserve">Empresa com 501 a 1.000 funcionários</t>
  </si>
  <si>
    <t xml:space="preserve">Acrescenta vários gestores, vários locais e relatórios por região.</t>
  </si>
  <si>
    <t xml:space="preserve">501 a 1.000 vagas: R$ 1.000</t>
  </si>
  <si>
    <t xml:space="preserve">Mais de 1.000</t>
  </si>
  <si>
    <t xml:space="preserve">Mesmo método, com contrato sob medida.</t>
  </si>
  <si>
    <t xml:space="preserve">Acima de 1.000 vagas: negociado</t>
  </si>
  <si>
    <t xml:space="preserve">Observação: o GD disse '11 a 50 = R$ 500' e '51 a 500 = R$ 500'; tratei como uma faixa só, de 11 a 500. O candidato paga R$ 80 (mensal ou uma vez: pergunta aberta). Semana de teste grátis, sem baixar nada.</t>
  </si>
  <si>
    <t xml:space="preserve">Regras que valem em tudo</t>
  </si>
  <si>
    <t xml:space="preserve">Ninguém é eliminado por nota ou por prova. A prova final de um curso só dá o certificado; quem não passa refaz com perguntas novas.</t>
  </si>
  <si>
    <t xml:space="preserve">A pessoa vê o que a empresa vê sobre ela e vê por que a nota deu aquele valor, com o curso que a faria subir.</t>
  </si>
  <si>
    <t xml:space="preserve">Dados sensíveis não entram no match: raça ou cor, religião, estado civil, filhos, gravidez, idade como filtro, saúde, orientação sexual, opinião política.</t>
  </si>
  <si>
    <t xml:space="preserve">Aviso de vaga, de curso e uso das respostas para estudo ou marketing só com consentimento separado, desmarcado de início e revogável.</t>
  </si>
  <si>
    <t xml:space="preserve">Funcionário sabe que está sendo avaliado e vê o próprio resultado. Avaliação serve para desenvolver, não para demitir de forma automática.</t>
  </si>
  <si>
    <t xml:space="preserve">Teste de jeito de ser e de interesses é para a pessoa se conhecer. Só vai para a empresa se ela autorizar, e nunca elimina.</t>
  </si>
  <si>
    <t xml:space="preserve">Certificado do Vem Trabalhar é de curso livre. Diploma técnico ou superior só instituição credenciada emite.</t>
  </si>
  <si>
    <t xml:space="preserve">Curso de parceiro leva a etiqueta 'Parceiro'. A comissão não entra na conta do match.</t>
  </si>
  <si>
    <t xml:space="preserve">O banco de pessoas só cresce com consentimento: nada de lista comprada, nada de raspar Instagram, nada de mensagem fora do aceite.</t>
  </si>
  <si>
    <t xml:space="preserve">Antes de abrir o cadastro e de fechar a primeira parceria: revisão de advogado (LGPD, Lei 9.029/1995, testes na seleção, avaliação de funcionários, contrato com as escolas).</t>
  </si>
  <si>
    <t xml:space="preserve">Limites desta versão (para ninguém se enganar)</t>
  </si>
  <si>
    <t xml:space="preserve">São 71 ideias de cursos livres, e ainda não escritos. A meta de 200 se completa com o que as parcerias trouxerem; o placar fica no topo da aba Ideias de cursos.</t>
  </si>
  <si>
    <t xml:space="preserve">Nenhuma escola foi contatada. As abas de parceiros estão com um exemplo inventado e a linha do Centec, que você citou; o resto está vazio, esperando os nomes.</t>
  </si>
  <si>
    <t xml:space="preserve">50% da matrícula e 30% da mensalidade é como entendi sua fala. A calculadora supõe 12 mensalidades de comissão; é uma premissa que você muda.</t>
  </si>
  <si>
    <t xml:space="preserve">As frases do teste de jeito de ser são do IPIP (domínio público), traduzidas por nós. Precisam de revisão de um psicólogo antes de uso real em seleção.</t>
  </si>
  <si>
    <t xml:space="preserve">Os pesos do matching e as velocidades de deslocamento são ponto de partida (premissas nossas). Serão calibrados com contratações reais.</t>
  </si>
  <si>
    <t xml:space="preserve">Os modelos de currículo e as notas de leitura automática (ATS) são avaliação nossa, ainda sem teste em programas de empresas.</t>
  </si>
  <si>
    <t xml:space="preserve">As prioridades por região são avaliação nossa, sem dados. Os dados de região que eu tinha levantado saíram, como você pediu.</t>
  </si>
  <si>
    <t xml:space="preserve">A entrevista do currículo, as tarefas por área e os comandos de voz são desenho nosso, ainda sem teste com pessoas reais. As listas por área precisam de revisão de quem conhece cada ofício.</t>
  </si>
  <si>
    <t xml:space="preserve">O texto da V4 e o anúncio da gentia.tech vieram de você; eu não abri esses sites. O que está em Benchmark é o que você mandou, não pesquisa minha.</t>
  </si>
  <si>
    <t xml:space="preserve">O que preciso de você (nada trava o trabalho)</t>
  </si>
  <si>
    <t xml:space="preserve">1. A comissão de 30% da mensalidade vale por todas as mensalidades do aluno ou só por um período? E vale igual para curso técnico e para faculdade?</t>
  </si>
  <si>
    <t xml:space="preserve">2. Quais escolas técnicas e faculdades você já fala? As abas esperam os nomes.</t>
  </si>
  <si>
    <t xml:space="preserve">3. A meta de 200 cursos é no total ou por região?</t>
  </si>
  <si>
    <t xml:space="preserve">4. O currículo básico por voz fica de graça e os R$ 80 são o pacote completo? Recomendo isso para o informal entrar sem barreira.</t>
  </si>
  <si>
    <t xml:space="preserve">5. Os R$ 80 do candidato são por mês ou pagamento único?</t>
  </si>
  <si>
    <t xml:space="preserve">6. Conte, por voz, a sua metodologia de gestão comercial dos 25 anos. O app deve nascer dela, e esta planilha vira o esqueleto.</t>
  </si>
  <si>
    <t xml:space="preserve">7. Aprovar que um advogado revise termos, testes, avaliação e o contrato com as escolas.</t>
  </si>
  <si>
    <t xml:space="preserve">8. Quando puder, passe os dados das faculdades e universidades que estão chamando alunos: eu coloco nas abas de parceiros.</t>
  </si>
  <si>
    <t xml:space="preserve">9. Quer que eu agende o benchmark semanal (aba Sistema vivo)? Ele só pesquisa e me manda um relatório curto; não muda nada no sistema.</t>
  </si>
  <si>
    <t xml:space="preserve">10. Currículo na semana de teste: só ver na tela, e baixar o PDF libera com o pagamento. Combinado? (Se o básico for grátis, como na pergunta 4, o PDF simples sai de graça.)</t>
  </si>
  <si>
    <t xml:space="preserve">Parcerias com escolas: como o Vem Trabalhar ganha</t>
  </si>
  <si>
    <t xml:space="preserve">A escola paga ao Vem Trabalhar uma comissão sobre cada aluno que trouxermos. Letra azul em fundo amarelo = você pode mudar.</t>
  </si>
  <si>
    <t xml:space="preserve">Regra</t>
  </si>
  <si>
    <t xml:space="preserve">Valor</t>
  </si>
  <si>
    <t xml:space="preserve">Observação</t>
  </si>
  <si>
    <t xml:space="preserve">Comissão sobre a matrícula</t>
  </si>
  <si>
    <t xml:space="preserve">Como entendi sua fala: 50% da matrícula.</t>
  </si>
  <si>
    <t xml:space="preserve">Comissão sobre cada mensalidade</t>
  </si>
  <si>
    <t xml:space="preserve">Como entendi sua fala: 30% da mensalidade.</t>
  </si>
  <si>
    <t xml:space="preserve">Quantas mensalidades pagam comissão</t>
  </si>
  <si>
    <t xml:space="preserve">Premissa nossa (12). Pergunta aberta: vale por todas as mensalidades ou por um período?</t>
  </si>
  <si>
    <t xml:space="preserve">Quem paga</t>
  </si>
  <si>
    <t xml:space="preserve">A escola</t>
  </si>
  <si>
    <t xml:space="preserve">O aluno paga o preço normal da escola. A comissão sai da escola, não de um acréscimo ao aluno.</t>
  </si>
  <si>
    <t xml:space="preserve">Exemplo de conta (valores inventados)</t>
  </si>
  <si>
    <t xml:space="preserve">Como calcula</t>
  </si>
  <si>
    <t xml:space="preserve">Matrícula (R$)</t>
  </si>
  <si>
    <t xml:space="preserve">Exemplo</t>
  </si>
  <si>
    <t xml:space="preserve">Mensalidade (R$)</t>
  </si>
  <si>
    <t xml:space="preserve">Alunos que trouxemos</t>
  </si>
  <si>
    <t xml:space="preserve">Comissão por aluno (R$)</t>
  </si>
  <si>
    <t xml:space="preserve">matrícula x comissão da matrícula + mensalidade x comissão da mensalidade x número de mensalidades</t>
  </si>
  <si>
    <t xml:space="preserve">Receita do Vem Trabalhar com esses alunos (R$)</t>
  </si>
  <si>
    <t xml:space="preserve">comissão por aluno x alunos</t>
  </si>
  <si>
    <t xml:space="preserve">Regras do acordo com escola</t>
  </si>
  <si>
    <t xml:space="preserve">Contrato por escola, revisado por advogado, dizendo quem paga, quando e como o Vem Trabalhar comprova que o aluno veio por nós.</t>
  </si>
  <si>
    <t xml:space="preserve">A escola precisa ser credenciada. Para faculdade, conferir no cadastro oficial do MEC (e-MEC); para escola técnica, no sistema de ensino do estado. Endereços e regras a confirmar.</t>
  </si>
  <si>
    <t xml:space="preserve">Curso de parceiro leva a etiqueta 'Parceiro'. A comissão nunca muda a nota do match nem a ordem das vagas.</t>
  </si>
  <si>
    <t xml:space="preserve">O diploma é da escola. O Vem Trabalhar nunca chama o próprio certificado de diploma.</t>
  </si>
  <si>
    <t xml:space="preserve">Meta de acompanhamento: quantos alunos por escola, quantos concluíram, quantos conseguiram vaga.</t>
  </si>
  <si>
    <t xml:space="preserve">Portal do parceiro: a escola se cadastra e cadastra os próprios cursos e empresas</t>
  </si>
  <si>
    <t xml:space="preserve">Cada escola entra por um link, preenche tudo de toque e aparece para os alunos junto com os cursos livres, com a etiqueta 'Parceiro'.</t>
  </si>
  <si>
    <t xml:space="preserve">Etapa</t>
  </si>
  <si>
    <t xml:space="preserve">O que a escola faz</t>
  </si>
  <si>
    <t xml:space="preserve">O que o aluno vê</t>
  </si>
  <si>
    <t xml:space="preserve">Dado guardado</t>
  </si>
  <si>
    <t xml:space="preserve">1. Quero ser parceiro</t>
  </si>
  <si>
    <t xml:space="preserve">Entra por um link ou QR, informa nome, CNPJ, cidade, responsável e aceita o contrato.</t>
  </si>
  <si>
    <t xml:space="preserve">Nada ainda.</t>
  </si>
  <si>
    <t xml:space="preserve">Dados da instituição e aceite do contrato (data e versão).</t>
  </si>
  <si>
    <t xml:space="preserve">O aceite é do contrato revisado por advogado. Sem aceite, não publica nada.</t>
  </si>
  <si>
    <t xml:space="preserve">2. Conferência</t>
  </si>
  <si>
    <t xml:space="preserve">Espera a conferência.</t>
  </si>
  <si>
    <t xml:space="preserve">Situação: pendente, conferida ou recusada.</t>
  </si>
  <si>
    <t xml:space="preserve">Nós conferimos o credenciamento (faculdade: cadastro oficial do MEC; escola técnica: sistema de ensino do estado). Endereços e regras a confirmar.</t>
  </si>
  <si>
    <t xml:space="preserve">3. Cadastrar curso</t>
  </si>
  <si>
    <t xml:space="preserve">Informa curso, tipo (técnico, graduação, curso livre pago), modalidade, CEP do local, duração, matrícula, mensalidade, vagas por turma, início e link de inscrição.</t>
  </si>
  <si>
    <t xml:space="preserve">Ficha do curso com preço, local, tempo de deslocamento e se é EAD ou presencial.</t>
  </si>
  <si>
    <t xml:space="preserve">Curso, preço, vagas, local (CEP) e data de início.</t>
  </si>
  <si>
    <t xml:space="preserve">Preço publicado é o preço normal da escola. O aluno não paga a mais por vir pelo Vem Trabalhar.</t>
  </si>
  <si>
    <t xml:space="preserve">4. Cadastrar empresas</t>
  </si>
  <si>
    <t xml:space="preserve">Informa as empresas que contratam seus alunos (convênios de estágio e emprego) e as vagas que elas têm.</t>
  </si>
  <si>
    <t xml:space="preserve">As vagas aparecem no match, como as de qualquer empresa.</t>
  </si>
  <si>
    <t xml:space="preserve">Empresa e vaga ligadas à escola.</t>
  </si>
  <si>
    <t xml:space="preserve">A empresa precisa aceitar. As vagas seguem o mesmo método de 20 perguntas.</t>
  </si>
  <si>
    <t xml:space="preserve">5. Publicar</t>
  </si>
  <si>
    <t xml:space="preserve">Toca em publicar.</t>
  </si>
  <si>
    <t xml:space="preserve">O curso aparece na tela de cursos, depois dos cursos livres que cobrem a mesma habilidade, com a etiqueta 'Parceiro'.</t>
  </si>
  <si>
    <t xml:space="preserve">Curso publicado, data e versão.</t>
  </si>
  <si>
    <t xml:space="preserve">A comissão nunca muda a nota do match nem a ordem.</t>
  </si>
  <si>
    <t xml:space="preserve">6. Interesse do aluno</t>
  </si>
  <si>
    <t xml:space="preserve">Recebe o aviso de que alguém tem interesse (WhatsApp ou e-mail).</t>
  </si>
  <si>
    <t xml:space="preserve">Toca em 'Tenho interesse' e autoriza a escola a falar com ele.</t>
  </si>
  <si>
    <t xml:space="preserve">Interesse, consentimento do aluno, data e código de origem.</t>
  </si>
  <si>
    <t xml:space="preserve">Só vai para a escola quem tocou e autorizou. Nada de lista vendida.</t>
  </si>
  <si>
    <t xml:space="preserve">7. Matrícula</t>
  </si>
  <si>
    <t xml:space="preserve">Marca 'matriculou' e anexa o comprovante.</t>
  </si>
  <si>
    <t xml:space="preserve">Confirma 'me matriculei' no app.</t>
  </si>
  <si>
    <t xml:space="preserve">Matrícula confirmada pelas duas pontas.</t>
  </si>
  <si>
    <t xml:space="preserve">A comissão da matrícula só nasce quando escola e aluno confirmam. Se houver divergência, a conta fica em análise.</t>
  </si>
  <si>
    <t xml:space="preserve">8. Mensalidades</t>
  </si>
  <si>
    <t xml:space="preserve">Todo mês marca quem pagou ou envia a lista.</t>
  </si>
  <si>
    <t xml:space="preserve">Vê o curso na sua trilha.</t>
  </si>
  <si>
    <t xml:space="preserve">Mensalidade paga, por aluno e mês.</t>
  </si>
  <si>
    <t xml:space="preserve">A comissão da mensalidade nasce a cada mês pago. A escola aceita auditoria no contrato.</t>
  </si>
  <si>
    <t xml:space="preserve">9. Extrato</t>
  </si>
  <si>
    <t xml:space="preserve">Vê o que deve, o que pagou e paga por Pix.</t>
  </si>
  <si>
    <t xml:space="preserve">-</t>
  </si>
  <si>
    <t xml:space="preserve">Comissões a receber e pagas, por escola, aluno e mês.</t>
  </si>
  <si>
    <t xml:space="preserve">Vencimento e multa por atraso ficam no contrato (advogado).</t>
  </si>
  <si>
    <t xml:space="preserve">Escolas técnicas parceiras</t>
  </si>
  <si>
    <t xml:space="preserve">Primeira linha é um EXEMPLO inventado. Preencha as seguintes, uma escola por linha. Comissão por aluno é fórmula.</t>
  </si>
  <si>
    <t xml:space="preserve">Instituição</t>
  </si>
  <si>
    <t xml:space="preserve">Cidade e UF</t>
  </si>
  <si>
    <t xml:space="preserve">Curso</t>
  </si>
  <si>
    <t xml:space="preserve">Modalidade</t>
  </si>
  <si>
    <t xml:space="preserve">Comissão sobre a mensalidade</t>
  </si>
  <si>
    <t xml:space="preserve">Credenciamento conferido?</t>
  </si>
  <si>
    <t xml:space="preserve">Contato</t>
  </si>
  <si>
    <t xml:space="preserve">Situação</t>
  </si>
  <si>
    <t xml:space="preserve">EXEMPLO: Escola Técnica Modelo (inventada)</t>
  </si>
  <si>
    <t xml:space="preserve">Cidade Exemplo, UF</t>
  </si>
  <si>
    <t xml:space="preserve">Técnico em Eletrotécnica</t>
  </si>
  <si>
    <t xml:space="preserve">Presencial</t>
  </si>
  <si>
    <t xml:space="preserve">Sim</t>
  </si>
  <si>
    <t xml:space="preserve">Pessoa Exemplo, (00) 00000-0000</t>
  </si>
  <si>
    <t xml:space="preserve">Conversando</t>
  </si>
  <si>
    <t xml:space="preserve">Linha de exemplo; pode apagar.</t>
  </si>
  <si>
    <t xml:space="preserve">Centec (citado pelo GD)</t>
  </si>
  <si>
    <t xml:space="preserve">Elétrica, eletrônica, mecânica e mecânica de moto (citados pelo GD)</t>
  </si>
  <si>
    <t xml:space="preserve">Não contatada</t>
  </si>
  <si>
    <t xml:space="preserve">Dados a confirmar: cidade, valores e credenciamento. Eu não abri o site.</t>
  </si>
  <si>
    <t xml:space="preserve">Faculdades e universidades parceiras</t>
  </si>
  <si>
    <t xml:space="preserve">Primeira linha é um EXEMPLO inventado. Preencha as seguintes, uma instituição por linha. Comissão por aluno é fórmula.</t>
  </si>
  <si>
    <t xml:space="preserve">EXEMPLO: Faculdade Modelo (inventada)</t>
  </si>
  <si>
    <t xml:space="preserve">Administração (graduação)</t>
  </si>
  <si>
    <t xml:space="preserve">EAD</t>
  </si>
  <si>
    <t xml:space="preserve">Proposta enviada</t>
  </si>
  <si>
    <t xml:space="preserve">Cursos que queremos com escola parceira</t>
  </si>
  <si>
    <t xml:space="preserve">Técnicos (diploma da escola) e mistos (teoria nossa, prática com parceiro). Coloque o parceiro na coluna amarela quando houver.</t>
  </si>
  <si>
    <t xml:space="preserve">Nº</t>
  </si>
  <si>
    <t xml:space="preserve">Setor</t>
  </si>
  <si>
    <t xml:space="preserve">Tipo</t>
  </si>
  <si>
    <t xml:space="preserve">Horas-alvo</t>
  </si>
  <si>
    <t xml:space="preserve">Quem emite o documento</t>
  </si>
  <si>
    <t xml:space="preserve">Parceiro</t>
  </si>
  <si>
    <t xml:space="preserve">Gestão e carreira</t>
  </si>
  <si>
    <t xml:space="preserve">Libras básico</t>
  </si>
  <si>
    <t xml:space="preserve">Misto (teoria nossa, prática com parceiro)</t>
  </si>
  <si>
    <t xml:space="preserve">Vem Trabalhar (certificado) + parceiro confirma a prática</t>
  </si>
  <si>
    <t xml:space="preserve">Sem parceiro</t>
  </si>
  <si>
    <t xml:space="preserve">Turismo e gastronomia</t>
  </si>
  <si>
    <t xml:space="preserve">Auxiliar de cozinha</t>
  </si>
  <si>
    <t xml:space="preserve">Barista</t>
  </si>
  <si>
    <t xml:space="preserve">Padaria e confeitaria básica</t>
  </si>
  <si>
    <t xml:space="preserve">Pizzaiolo e churrasqueiro</t>
  </si>
  <si>
    <t xml:space="preserve">Bartender</t>
  </si>
  <si>
    <t xml:space="preserve">Indústria</t>
  </si>
  <si>
    <t xml:space="preserve">Metrologia básica (paquímetro e micrômetro)</t>
  </si>
  <si>
    <t xml:space="preserve">Operador de empilhadeira</t>
  </si>
  <si>
    <t xml:space="preserve">Técnico (escola parceira)</t>
  </si>
  <si>
    <t xml:space="preserve">Escola credenciada (diploma técnico)</t>
  </si>
  <si>
    <t xml:space="preserve">Eletricista (curso técnico)</t>
  </si>
  <si>
    <t xml:space="preserve">escola define</t>
  </si>
  <si>
    <t xml:space="preserve">Eletrônica (curso técnico)</t>
  </si>
  <si>
    <t xml:space="preserve">Mecânica de motos</t>
  </si>
  <si>
    <t xml:space="preserve">Mecânica automotiva básica</t>
  </si>
  <si>
    <t xml:space="preserve">Soldagem</t>
  </si>
  <si>
    <t xml:space="preserve">Manutenção industrial</t>
  </si>
  <si>
    <t xml:space="preserve">Operador de máquinas CNC</t>
  </si>
  <si>
    <t xml:space="preserve">Costura industrial</t>
  </si>
  <si>
    <t xml:space="preserve">Saúde e cuidados</t>
  </si>
  <si>
    <t xml:space="preserve">Técnico de enfermagem</t>
  </si>
  <si>
    <t xml:space="preserve">Técnico em saúde bucal</t>
  </si>
  <si>
    <t xml:space="preserve">Atendente de farmácia</t>
  </si>
  <si>
    <t xml:space="preserve">Cuidador de idosos</t>
  </si>
  <si>
    <t xml:space="preserve">Primeiros socorros no trabalho</t>
  </si>
  <si>
    <t xml:space="preserve">Agro</t>
  </si>
  <si>
    <t xml:space="preserve">Apicultura básica</t>
  </si>
  <si>
    <t xml:space="preserve">Piscicultura básica</t>
  </si>
  <si>
    <t xml:space="preserve">Agroindústria artesanal (queijo, doces)</t>
  </si>
  <si>
    <t xml:space="preserve">Operador de máquinas agrícolas</t>
  </si>
  <si>
    <t xml:space="preserve">Construção</t>
  </si>
  <si>
    <t xml:space="preserve">Pintura de parede</t>
  </si>
  <si>
    <t xml:space="preserve">Instalação hidráulica básica</t>
  </si>
  <si>
    <t xml:space="preserve">Eletricista predial</t>
  </si>
  <si>
    <t xml:space="preserve">Pedreiro de acabamento</t>
  </si>
  <si>
    <t xml:space="preserve">Técnico e tecnologia</t>
  </si>
  <si>
    <t xml:space="preserve">Suporte técnico em informática</t>
  </si>
  <si>
    <t xml:space="preserve">Redes de computadores (curso técnico)</t>
  </si>
  <si>
    <t xml:space="preserve">Cursos livres nossos: ideias</t>
  </si>
  <si>
    <t xml:space="preserve">Só cursos livres, feitos por nós, com certificado de curso livre. As colunas das regiões leem a aba Prioridade. Técnicos e mistos estão na aba Cursos com parceiros.</t>
  </si>
  <si>
    <t xml:space="preserve">Ideias de cursos livres</t>
  </si>
  <si>
    <t xml:space="preserve">Meta de cursos</t>
  </si>
  <si>
    <t xml:space="preserve">Falta para a meta (parcerias somam por fora)</t>
  </si>
  <si>
    <t xml:space="preserve">Atividade de toque</t>
  </si>
  <si>
    <t xml:space="preserve">Norte</t>
  </si>
  <si>
    <t xml:space="preserve">Nordeste</t>
  </si>
  <si>
    <t xml:space="preserve">Centro-Oeste</t>
  </si>
  <si>
    <t xml:space="preserve">Sudeste</t>
  </si>
  <si>
    <t xml:space="preserve">Sul</t>
  </si>
  <si>
    <t xml:space="preserve">Comércio e serviços</t>
  </si>
  <si>
    <t xml:space="preserve">Atendimento de balcão</t>
  </si>
  <si>
    <t xml:space="preserve">Simulador: escolha a resposta ao cliente</t>
  </si>
  <si>
    <t xml:space="preserve">Operador de caixa</t>
  </si>
  <si>
    <t xml:space="preserve">Contar o troco arrastando notas e moedas</t>
  </si>
  <si>
    <t xml:space="preserve">Atendimento ao cliente por WhatsApp</t>
  </si>
  <si>
    <t xml:space="preserve">Ordenar mensagens e escolher o tom</t>
  </si>
  <si>
    <t xml:space="preserve">Vendas para quem está começando</t>
  </si>
  <si>
    <t xml:space="preserve">Role-play: contornar uma objeção</t>
  </si>
  <si>
    <t xml:space="preserve">Atendimento por telefone</t>
  </si>
  <si>
    <t xml:space="preserve">Escolher a frase certa em cada ligação</t>
  </si>
  <si>
    <t xml:space="preserve">Como lidar com cliente difícil</t>
  </si>
  <si>
    <t xml:space="preserve">Escolher o caminho em histórias curtas</t>
  </si>
  <si>
    <t xml:space="preserve">Organização e reposição de loja</t>
  </si>
  <si>
    <t xml:space="preserve">Arrastar produtos para a prateleira certa</t>
  </si>
  <si>
    <t xml:space="preserve">Controle de estoque simples</t>
  </si>
  <si>
    <t xml:space="preserve">Contar e conferir a lista</t>
  </si>
  <si>
    <t xml:space="preserve">Vender pelas redes sociais</t>
  </si>
  <si>
    <t xml:space="preserve">Montar uma postagem de venda</t>
  </si>
  <si>
    <t xml:space="preserve">Foto de produto com o celular</t>
  </si>
  <si>
    <t xml:space="preserve">Comparar fotos boas e ruins</t>
  </si>
  <si>
    <t xml:space="preserve">Marketing e publicidade para pequenos negócios</t>
  </si>
  <si>
    <t xml:space="preserve">Montar uma campanha em 3 passos</t>
  </si>
  <si>
    <t xml:space="preserve">Instagram para negócios</t>
  </si>
  <si>
    <t xml:space="preserve">Escolher legenda e horário</t>
  </si>
  <si>
    <t xml:space="preserve">Canva para quem nunca usou</t>
  </si>
  <si>
    <t xml:space="preserve">Refazer um cartaz passo a passo</t>
  </si>
  <si>
    <t xml:space="preserve">Preço de venda e lucro</t>
  </si>
  <si>
    <t xml:space="preserve">Calculadora guiada</t>
  </si>
  <si>
    <t xml:space="preserve">Atendimento a pessoas com deficiência</t>
  </si>
  <si>
    <t xml:space="preserve">Escolher a atitude certa</t>
  </si>
  <si>
    <t xml:space="preserve">Atendimento em salão de beleza</t>
  </si>
  <si>
    <t xml:space="preserve">Simulador de agenda e recepção</t>
  </si>
  <si>
    <t xml:space="preserve">Vendedor de loja de roupas</t>
  </si>
  <si>
    <t xml:space="preserve">Combinar peças para o cliente</t>
  </si>
  <si>
    <t xml:space="preserve">Vendedor de materiais de construção</t>
  </si>
  <si>
    <t xml:space="preserve">Escolher o material certo para cada obra</t>
  </si>
  <si>
    <t xml:space="preserve">Atendimento em posto de combustível</t>
  </si>
  <si>
    <t xml:space="preserve">Ordenar os passos do abastecimento seguro</t>
  </si>
  <si>
    <t xml:space="preserve">Recepcionista</t>
  </si>
  <si>
    <t xml:space="preserve">Simulador de recepção e agenda</t>
  </si>
  <si>
    <t xml:space="preserve">Como fazer um currículo que chama atenção</t>
  </si>
  <si>
    <t xml:space="preserve">Corrigir um currículo ruim</t>
  </si>
  <si>
    <t xml:space="preserve">Entrevista de emprego: como se preparar</t>
  </si>
  <si>
    <t xml:space="preserve">Simulador de entrevista por voz</t>
  </si>
  <si>
    <t xml:space="preserve">Oratória: perder o medo de falar</t>
  </si>
  <si>
    <t xml:space="preserve">Gravar 30 segundos e ouvir de volta</t>
  </si>
  <si>
    <t xml:space="preserve">Primeiro emprego: rotina, direitos e deveres</t>
  </si>
  <si>
    <t xml:space="preserve">Escolher a atitude em cada situação</t>
  </si>
  <si>
    <t xml:space="preserve">Informática básica no celular e no computador</t>
  </si>
  <si>
    <t xml:space="preserve">Tarefas guiadas na tela</t>
  </si>
  <si>
    <t xml:space="preserve">Excel do zero</t>
  </si>
  <si>
    <t xml:space="preserve">Planilha de exercício dentro do app</t>
  </si>
  <si>
    <t xml:space="preserve">Comunicação e escrita profissional</t>
  </si>
  <si>
    <t xml:space="preserve">Reescrever mensagens</t>
  </si>
  <si>
    <t xml:space="preserve">Educação financeira para quem trabalha</t>
  </si>
  <si>
    <t xml:space="preserve">Montar o orçamento do mês</t>
  </si>
  <si>
    <t xml:space="preserve">Organização do tempo</t>
  </si>
  <si>
    <t xml:space="preserve">Arrastar tarefas para a agenda</t>
  </si>
  <si>
    <t xml:space="preserve">Trabalho em equipe</t>
  </si>
  <si>
    <t xml:space="preserve">Histórias de escolha em grupo</t>
  </si>
  <si>
    <t xml:space="preserve">Liderança para quem vai ser chefe pela primeira vez</t>
  </si>
  <si>
    <t xml:space="preserve">Decidir casos reais do dia a dia</t>
  </si>
  <si>
    <t xml:space="preserve">Inteligência emocional no trabalho</t>
  </si>
  <si>
    <t xml:space="preserve">Reconhecer a emoção em cenas curtas</t>
  </si>
  <si>
    <t xml:space="preserve">Como abrir e cuidar do MEI</t>
  </si>
  <si>
    <t xml:space="preserve">Passo a passo com o checklist</t>
  </si>
  <si>
    <t xml:space="preserve">Direitos trabalhistas básicos</t>
  </si>
  <si>
    <t xml:space="preserve">Verdadeiro ou falso (advogado revisa)</t>
  </si>
  <si>
    <t xml:space="preserve">Português para o trabalho</t>
  </si>
  <si>
    <t xml:space="preserve">Corrigir frases e e-mails</t>
  </si>
  <si>
    <t xml:space="preserve">Matemática do dia a dia</t>
  </si>
  <si>
    <t xml:space="preserve">Porcentagem, troco e regra de três com jogos</t>
  </si>
  <si>
    <t xml:space="preserve">Inglês básico para atendimento</t>
  </si>
  <si>
    <t xml:space="preserve">Ouvir e escolher a resposta</t>
  </si>
  <si>
    <t xml:space="preserve">Espanhol básico para atendimento</t>
  </si>
  <si>
    <t xml:space="preserve">Garçom e atendimento no salão</t>
  </si>
  <si>
    <t xml:space="preserve">Simulador de mesa e comanda</t>
  </si>
  <si>
    <t xml:space="preserve">Boas práticas de manipulação de alimentos</t>
  </si>
  <si>
    <t xml:space="preserve">Arrastar o certo e o errado na cozinha</t>
  </si>
  <si>
    <t xml:space="preserve">Atendimento em hotel e pousada</t>
  </si>
  <si>
    <t xml:space="preserve">Simulador de check-in</t>
  </si>
  <si>
    <t xml:space="preserve">Camareira e governança</t>
  </si>
  <si>
    <t xml:space="preserve">Ordenar a arrumação de um quarto</t>
  </si>
  <si>
    <t xml:space="preserve">Atendimento ao turista em inglês</t>
  </si>
  <si>
    <t xml:space="preserve">Ouvir e responder</t>
  </si>
  <si>
    <t xml:space="preserve">Montagem e entrega de marmita e delivery</t>
  </si>
  <si>
    <t xml:space="preserve">Montar um pedido sem erro</t>
  </si>
  <si>
    <t xml:space="preserve">Cardápio, preço e CMV para quem tem restaurante</t>
  </si>
  <si>
    <t xml:space="preserve">Calculadora guiada (liga com o Vem Comer)</t>
  </si>
  <si>
    <t xml:space="preserve">Organização de eventos pequenos</t>
  </si>
  <si>
    <t xml:space="preserve">Montar o cronograma de uma festa</t>
  </si>
  <si>
    <t xml:space="preserve">Segurança no trabalho: noções (não substitui NR)</t>
  </si>
  <si>
    <t xml:space="preserve">Achar o risco na foto</t>
  </si>
  <si>
    <t xml:space="preserve">5S na prática</t>
  </si>
  <si>
    <t xml:space="preserve">Arrumar uma bancada arrastando</t>
  </si>
  <si>
    <t xml:space="preserve">Leitura de desenho técnico básico</t>
  </si>
  <si>
    <t xml:space="preserve">Ligar a vista à peça</t>
  </si>
  <si>
    <t xml:space="preserve">Qualidade na produção</t>
  </si>
  <si>
    <t xml:space="preserve">Separar peça boa e peça com defeito</t>
  </si>
  <si>
    <t xml:space="preserve">Introdução à Indústria 4.0</t>
  </si>
  <si>
    <t xml:space="preserve">Ligar conceito e exemplo</t>
  </si>
  <si>
    <t xml:space="preserve">Auxiliar de produção em alimentos</t>
  </si>
  <si>
    <t xml:space="preserve">Ordenar as etapas da linha</t>
  </si>
  <si>
    <t xml:space="preserve">Transporte e logística</t>
  </si>
  <si>
    <t xml:space="preserve">Logística e estoque</t>
  </si>
  <si>
    <t xml:space="preserve">Montar um fluxo de entrada e saída</t>
  </si>
  <si>
    <t xml:space="preserve">Entregador de moto e bicicleta: rotina e segurança</t>
  </si>
  <si>
    <t xml:space="preserve">Escolher a atitude no trânsito</t>
  </si>
  <si>
    <t xml:space="preserve">Direção defensiva (não substitui curso exigido por lei)</t>
  </si>
  <si>
    <t xml:space="preserve">Situações de trânsito em vídeo curto</t>
  </si>
  <si>
    <t xml:space="preserve">Conferência e separação de pedidos</t>
  </si>
  <si>
    <t xml:space="preserve">Separar itens sem erro</t>
  </si>
  <si>
    <t xml:space="preserve">Almoxarifado</t>
  </si>
  <si>
    <t xml:space="preserve">Organizar o almoxarifado arrastando</t>
  </si>
  <si>
    <t xml:space="preserve">Motorista de aplicativo: atendimento e segurança</t>
  </si>
  <si>
    <t xml:space="preserve">Escolher o caminho em histórias</t>
  </si>
  <si>
    <t xml:space="preserve">Recepção em clínicas</t>
  </si>
  <si>
    <t xml:space="preserve">Simulador de agendamento e acolhimento</t>
  </si>
  <si>
    <t xml:space="preserve">Humanização no atendimento em saúde</t>
  </si>
  <si>
    <t xml:space="preserve">Escolher a atitude em cada cena</t>
  </si>
  <si>
    <t xml:space="preserve">Boas práticas no campo</t>
  </si>
  <si>
    <t xml:space="preserve">Achar o erro na foto da propriedade</t>
  </si>
  <si>
    <t xml:space="preserve">Gestão da propriedade rural</t>
  </si>
  <si>
    <t xml:space="preserve">Planilha de custo e receita</t>
  </si>
  <si>
    <t xml:space="preserve">Vendas diretas do produtor (feira e WhatsApp)</t>
  </si>
  <si>
    <t xml:space="preserve">Montar a oferta da semana</t>
  </si>
  <si>
    <t xml:space="preserve">Cooperativismo e associativismo</t>
  </si>
  <si>
    <t xml:space="preserve">Casos de decisão em grupo</t>
  </si>
  <si>
    <t xml:space="preserve">Segurança em obra: noções (não substitui NR)</t>
  </si>
  <si>
    <t xml:space="preserve">Achar o risco na obra</t>
  </si>
  <si>
    <t xml:space="preserve">Orçamento de pequenas obras</t>
  </si>
  <si>
    <t xml:space="preserve">Calculadora de material</t>
  </si>
  <si>
    <t xml:space="preserve">Lógica de programação para iniciantes</t>
  </si>
  <si>
    <t xml:space="preserve">Montar blocos de lógica arrastando</t>
  </si>
  <si>
    <t xml:space="preserve">Usar IA no trabalho</t>
  </si>
  <si>
    <t xml:space="preserve">Comparar um bom e um mau pedido</t>
  </si>
  <si>
    <t xml:space="preserve">Segurança digital e golpes</t>
  </si>
  <si>
    <t xml:space="preserve">Identificar o golpe em mensagens</t>
  </si>
  <si>
    <t xml:space="preserve">Edição de vídeo no celular</t>
  </si>
  <si>
    <t xml:space="preserve">Montar um vídeo curto</t>
  </si>
  <si>
    <t xml:space="preserve">Criação de site simples</t>
  </si>
  <si>
    <t xml:space="preserve">Montar uma página arrastando blocos</t>
  </si>
  <si>
    <t xml:space="preserve">Como é um curso do Vem Trabalhar</t>
  </si>
  <si>
    <t xml:space="preserve">Curso livre feito por nós, com lições curtas, atividades de toque, reteste e prova final que dá certificado e nunca elimina.</t>
  </si>
  <si>
    <t xml:space="preserve">Parte</t>
  </si>
  <si>
    <t xml:space="preserve">Como é</t>
  </si>
  <si>
    <t xml:space="preserve">Tamanho</t>
  </si>
  <si>
    <t xml:space="preserve">De 3 a 20 horas por curso, em lições de 5 a 8 minutos. Cabe numa pausa e no 3G.</t>
  </si>
  <si>
    <t xml:space="preserve">Cada lição</t>
  </si>
  <si>
    <t xml:space="preserve">1) texto curto (até 150 palavras) com figura; 2) áudio opcional com voz calma; 3) atividade de toque (arrastar, ordenar, escolher a resposta do cliente, contar o troco); 4) mini-pergunta.</t>
  </si>
  <si>
    <t xml:space="preserve">Reteste</t>
  </si>
  <si>
    <t xml:space="preserve">Perguntas que já erradas voltam em outro dia, com outra redação. Cada habilidade tem pelo menos 3 perguntas diferentes no banco.</t>
  </si>
  <si>
    <t xml:space="preserve">Prova final</t>
  </si>
  <si>
    <t xml:space="preserve">10 a 20 perguntas sorteadas do banco. Nota mínima 70%. Pode refazer quantas vezes quiser, com perguntas novas. Nunca elimina ninguém.</t>
  </si>
  <si>
    <t xml:space="preserve">Certificado</t>
  </si>
  <si>
    <t xml:space="preserve">Certificado de conclusão de curso livre, em PDF, com código e QR para a empresa conferir. Não é diploma. Diploma técnico só uma escola credenciada pode emitir.</t>
  </si>
  <si>
    <t xml:space="preserve">Quem escreve</t>
  </si>
  <si>
    <t xml:space="preserve">A IA escreve o rascunho; uma pessoa revisa antes de publicar (conteúdo errado em curso é risco para nós).</t>
  </si>
  <si>
    <t xml:space="preserve">Melhoria contínua</t>
  </si>
  <si>
    <t xml:space="preserve">O app mede onde as pessoas erram e saem; a pergunta mais errada vira lição melhor. Cada curso tem versão e data da revisão.</t>
  </si>
  <si>
    <t xml:space="preserve">Funciona em rede ruim</t>
  </si>
  <si>
    <t xml:space="preserve">Lição baixa em poucos KB, texto primeiro, imagem leve, áudio só se a pessoa tocar. Continua de onde parou.</t>
  </si>
  <si>
    <t xml:space="preserve">Liga com o match</t>
  </si>
  <si>
    <t xml:space="preserve">Cada curso concluído soma habilidade e certificado no perfil. Na vaga, o app mostra: 'faça este curso e sua nota sobe de 62% para 74%'.</t>
  </si>
  <si>
    <t xml:space="preserve">O que não substitui</t>
  </si>
  <si>
    <t xml:space="preserve">Treinamentos que a lei exige de instituição credenciada (NR com carga e instrutor, CNH, cursos de conselhos como COREN) e curso técnico com diploma.</t>
  </si>
  <si>
    <t xml:space="preserve">Banco de pessoas vivo: 14 formas de entrar e de manter contato todo dia</t>
  </si>
  <si>
    <t xml:space="preserve">Regra de ouro: o banco só cresce com consentimento. Nada de lista comprada, nada de raspar Instagram. Custos a verificar antes de decidir.</t>
  </si>
  <si>
    <t xml:space="preserve">Canal</t>
  </si>
  <si>
    <t xml:space="preserve">Como a pessoa entra no banco</t>
  </si>
  <si>
    <t xml:space="preserve">O que ela recebe ou faz todo dia</t>
  </si>
  <si>
    <t xml:space="preserve">Consentimento</t>
  </si>
  <si>
    <t xml:space="preserve">Custo (a verificar)</t>
  </si>
  <si>
    <t xml:space="preserve">Precisa de código?</t>
  </si>
  <si>
    <t xml:space="preserve">Pronto para 13/10?</t>
  </si>
  <si>
    <t xml:space="preserve">Cuidado</t>
  </si>
  <si>
    <t xml:space="preserve">QR e link nos restaurantes do Vem Comer</t>
  </si>
  <si>
    <t xml:space="preserve">Cartaz na mesa e no balcão: 'Procura emprego? Toque aqui'.</t>
  </si>
  <si>
    <t xml:space="preserve">Vaga perto de onde a pessoa está.</t>
  </si>
  <si>
    <t xml:space="preserve">No cadastro, com caixa desmarcada.</t>
  </si>
  <si>
    <t xml:space="preserve">Impressão do cartaz</t>
  </si>
  <si>
    <t xml:space="preserve">Pouco</t>
  </si>
  <si>
    <t xml:space="preserve">Só pôr o cartaz onde o dono do restaurante aceitar.</t>
  </si>
  <si>
    <t xml:space="preserve">Link na bio e posts das páginas de vagas do Instagram</t>
  </si>
  <si>
    <t xml:space="preserve">Páginas parceiras (as mais de mil que o GD conhece) divulgam o link: 'Candidate-se com 1 toque'.</t>
  </si>
  <si>
    <t xml:space="preserve">Stories, posts e vagas novas.</t>
  </si>
  <si>
    <t xml:space="preserve">No cadastro.</t>
  </si>
  <si>
    <t xml:space="preserve">Acordo com cada página (permuta ou pagamento)</t>
  </si>
  <si>
    <t xml:space="preserve">Não raspar dados do Instagram nem usar robô: a regra da rede proíbe. Só link.</t>
  </si>
  <si>
    <t xml:space="preserve">WhatsApp: link de entrada e lista com aceite</t>
  </si>
  <si>
    <t xml:space="preserve">Toque em 'falar no WhatsApp' abre a conversa; a pessoa diz 'quero receber vagas'.</t>
  </si>
  <si>
    <t xml:space="preserve">Vagas novas, lição do dia, aviso de entrevista.</t>
  </si>
  <si>
    <t xml:space="preserve">Aceite escrito na conversa (opt-in).</t>
  </si>
  <si>
    <t xml:space="preserve">Verificar: a conta oficial cobra por mensagem enviada</t>
  </si>
  <si>
    <t xml:space="preserve">Pouco (entrada); muito (envio em massa)</t>
  </si>
  <si>
    <t xml:space="preserve">Parcial</t>
  </si>
  <si>
    <t xml:space="preserve">Usar só a conta oficial do WhatsApp; mensagem fora do aceite é bloqueio.</t>
  </si>
  <si>
    <t xml:space="preserve">Notificação do app (PWA)</t>
  </si>
  <si>
    <t xml:space="preserve">A pessoa abre o app no celular e aceita receber avisos.</t>
  </si>
  <si>
    <t xml:space="preserve">Vaga com nota alta, lição do dia, prazo de curso.</t>
  </si>
  <si>
    <t xml:space="preserve">Permissão do próprio celular.</t>
  </si>
  <si>
    <t xml:space="preserve">Perto de zero</t>
  </si>
  <si>
    <t xml:space="preserve">Médio</t>
  </si>
  <si>
    <t xml:space="preserve">Não</t>
  </si>
  <si>
    <t xml:space="preserve">No iPhone o aviso só funciona com o app instalado na tela inicial (verificar a versão).</t>
  </si>
  <si>
    <t xml:space="preserve">E-mail</t>
  </si>
  <si>
    <t xml:space="preserve">A pessoa informa o e-mail no cadastro.</t>
  </si>
  <si>
    <t xml:space="preserve">Resumo semanal de vagas e cursos.</t>
  </si>
  <si>
    <t xml:space="preserve">Caixa de aceite separada, com cancelamento em um toque.</t>
  </si>
  <si>
    <t xml:space="preserve">Baixo (verificar)</t>
  </si>
  <si>
    <t xml:space="preserve">Todo e-mail precisa de link para sair da lista.</t>
  </si>
  <si>
    <t xml:space="preserve">SMS</t>
  </si>
  <si>
    <t xml:space="preserve">Código de entrada no cadastro.</t>
  </si>
  <si>
    <t xml:space="preserve">Código e aviso urgente (entrevista marcada).</t>
  </si>
  <si>
    <t xml:space="preserve">Aceite no cadastro.</t>
  </si>
  <si>
    <t xml:space="preserve">Por mensagem (verificar)</t>
  </si>
  <si>
    <t xml:space="preserve">Só para o que é urgente; custa por mensagem.</t>
  </si>
  <si>
    <t xml:space="preserve">Currículo em PDF com link e QR</t>
  </si>
  <si>
    <t xml:space="preserve">Cada currículo compartilhado leva 'Feito no Vem Trabalhar'.</t>
  </si>
  <si>
    <t xml:space="preserve">Quem recebe o currículo conhece o app.</t>
  </si>
  <si>
    <t xml:space="preserve">Quem abre o link se cadastra por conta própria.</t>
  </si>
  <si>
    <t xml:space="preserve">Muito</t>
  </si>
  <si>
    <t xml:space="preserve">A marca fica discreta e pode ser desligada num plano pago.</t>
  </si>
  <si>
    <t xml:space="preserve">Indique um amigo</t>
  </si>
  <si>
    <t xml:space="preserve">Link de convite com código.</t>
  </si>
  <si>
    <t xml:space="preserve">Avisos de quando o amigo entra.</t>
  </si>
  <si>
    <t xml:space="preserve">O amigo aceita ao se cadastrar.</t>
  </si>
  <si>
    <t xml:space="preserve">Prêmio a definir</t>
  </si>
  <si>
    <t xml:space="preserve">Prêmio em curso ou recurso do app, não em dinheiro, até o advogado ver.</t>
  </si>
  <si>
    <t xml:space="preserve">Páginas públicas de vagas e cursos (Google)</t>
  </si>
  <si>
    <t xml:space="preserve">Busca no Google leva à vaga ou ao curso.</t>
  </si>
  <si>
    <t xml:space="preserve">Perto de zero depois de pronto</t>
  </si>
  <si>
    <t xml:space="preserve">Verificar se o Google exibe vagas no Brasil com esse tipo de marcação.</t>
  </si>
  <si>
    <t xml:space="preserve">Lição do dia e sequência de dias</t>
  </si>
  <si>
    <t xml:space="preserve">Quem faz um curso livre ganha uma lição curta por dia.</t>
  </si>
  <si>
    <t xml:space="preserve">Uma lição de 5 a 8 minutos, com sequência de dias seguidos.</t>
  </si>
  <si>
    <t xml:space="preserve">Aceite de avisos.</t>
  </si>
  <si>
    <t xml:space="preserve">A sequência incentiva o hábito, mas não pune a pessoa que falha.</t>
  </si>
  <si>
    <t xml:space="preserve">Parceiros convidam alunos e ex-alunos</t>
  </si>
  <si>
    <t xml:space="preserve">Escola envia o link pelo portal do parceiro.</t>
  </si>
  <si>
    <t xml:space="preserve">Cursos e vagas ligadas ao curso dela.</t>
  </si>
  <si>
    <t xml:space="preserve">O aluno aceita ao se cadastrar.</t>
  </si>
  <si>
    <t xml:space="preserve">Zero (a escola faz)</t>
  </si>
  <si>
    <t xml:space="preserve">Escola não envia lista de contatos para nós: o aluno entra pelo link.</t>
  </si>
  <si>
    <t xml:space="preserve">Empresas convidam funcionários e candidatos</t>
  </si>
  <si>
    <t xml:space="preserve">Empresa envia o link para a equipe e para quem recebeu a vaga.</t>
  </si>
  <si>
    <t xml:space="preserve">Avaliação, cursos e vagas internas.</t>
  </si>
  <si>
    <t xml:space="preserve">O funcionário aceita e sabe que será avaliado.</t>
  </si>
  <si>
    <t xml:space="preserve">Zero (a empresa faz)</t>
  </si>
  <si>
    <t xml:space="preserve">Funcionário vê o resultado dele; empresa não recebe o teste de perfil sem a autorização dele.</t>
  </si>
  <si>
    <t xml:space="preserve">Vídeos curtos (Reels, TikTok, Shorts)</t>
  </si>
  <si>
    <t xml:space="preserve">Dicas de currículo, entrevista e curso, com link na descrição.</t>
  </si>
  <si>
    <t xml:space="preserve">Vídeo novo por dia ou por semana.</t>
  </si>
  <si>
    <t xml:space="preserve">Quem entra pelo link se cadastra.</t>
  </si>
  <si>
    <t xml:space="preserve">Tempo; produção com IA e revisão humana</t>
  </si>
  <si>
    <t xml:space="preserve">Nenhum</t>
  </si>
  <si>
    <t xml:space="preserve">Revisão humana antes de postar; nada que prometa emprego.</t>
  </si>
  <si>
    <t xml:space="preserve">Áudio no WhatsApp para fazer o currículo falando</t>
  </si>
  <si>
    <t xml:space="preserve">A pessoa manda áudios e recebe o currículo pronto.</t>
  </si>
  <si>
    <t xml:space="preserve">O currículo e as vagas que combinam.</t>
  </si>
  <si>
    <t xml:space="preserve">Aceite no começo da conversa.</t>
  </si>
  <si>
    <t xml:space="preserve">Verificar (transcrição e mensagens)</t>
  </si>
  <si>
    <t xml:space="preserve">O áudio é dado pessoal: apagar depois de transcrever.</t>
  </si>
  <si>
    <t xml:space="preserve">Canais prontos para 13/10</t>
  </si>
  <si>
    <t xml:space="preserve">Parcialmente prontos</t>
  </si>
  <si>
    <t xml:space="preserve">Total de canais</t>
  </si>
  <si>
    <t xml:space="preserve">O que o painel do dono mostra todo dia</t>
  </si>
  <si>
    <t xml:space="preserve">Para quê</t>
  </si>
  <si>
    <t xml:space="preserve">Pessoas que entraram hoje, por canal</t>
  </si>
  <si>
    <t xml:space="preserve">Saber qual canal funciona e onde parar de gastar.</t>
  </si>
  <si>
    <t xml:space="preserve">Quantas aceitaram receber avisos</t>
  </si>
  <si>
    <t xml:space="preserve">O banco útil é o que tem aceite.</t>
  </si>
  <si>
    <t xml:space="preserve">Quantas já têm currículo e quantas fizeram teste</t>
  </si>
  <si>
    <t xml:space="preserve">Medir se o cadastro vira perfil completo.</t>
  </si>
  <si>
    <t xml:space="preserve">Quantas fizeram a lição do dia e quantas voltaram</t>
  </si>
  <si>
    <t xml:space="preserve">Medir o hábito, que mantém o banco vivo.</t>
  </si>
  <si>
    <t xml:space="preserve">Vagas novas e candidatos por vaga</t>
  </si>
  <si>
    <t xml:space="preserve">Equilibrar os dois lados.</t>
  </si>
  <si>
    <t xml:space="preserve">Tempo até a primeira resposta de uma empresa</t>
  </si>
  <si>
    <t xml:space="preserve">Candidato sem resposta some do app.</t>
  </si>
  <si>
    <t xml:space="preserve">Matrículas e comissões do mês</t>
  </si>
  <si>
    <t xml:space="preserve">Acompanhar a receita das parcerias.</t>
  </si>
  <si>
    <t xml:space="preserve">Sistema vivo: agentes que propõem melhoria todo dia, e pessoas que decidem</t>
  </si>
  <si>
    <t xml:space="preserve">Agente propõe, gente decide. Nada vai ao ar sem os testes passarem e sem o GD aprovar a mudança.</t>
  </si>
  <si>
    <t xml:space="preserve">Agente</t>
  </si>
  <si>
    <t xml:space="preserve">O que faz</t>
  </si>
  <si>
    <t xml:space="preserve">Quando roda</t>
  </si>
  <si>
    <t xml:space="preserve">O que entrega</t>
  </si>
  <si>
    <t xml:space="preserve">Quem aprova</t>
  </si>
  <si>
    <t xml:space="preserve">Olha o que os concorrentes e o mercado de RH e de educação lançaram de novo e compara com o que temos.</t>
  </si>
  <si>
    <t xml:space="preserve">Toda semana</t>
  </si>
  <si>
    <t xml:space="preserve">Relatório curto com 3 ideias e o que custa fazer cada uma.</t>
  </si>
  <si>
    <t xml:space="preserve">GD</t>
  </si>
  <si>
    <t xml:space="preserve">Só informação pública; sem entrar em conta de ninguém.</t>
  </si>
  <si>
    <t xml:space="preserve">Cursos</t>
  </si>
  <si>
    <t xml:space="preserve">Vê onde os alunos erram e onde abandonam e propõe versão melhor do curso.</t>
  </si>
  <si>
    <t xml:space="preserve">Lição reescrita e perguntas novas.</t>
  </si>
  <si>
    <t xml:space="preserve">Revisor humano</t>
  </si>
  <si>
    <t xml:space="preserve">A IA pode errar conteúdo: revisão antes de publicar.</t>
  </si>
  <si>
    <t xml:space="preserve">Vídeos</t>
  </si>
  <si>
    <t xml:space="preserve">Faz roteiro de vídeo curto a partir de cada curso e dica de carreira.</t>
  </si>
  <si>
    <t xml:space="preserve">Roteiro e legenda prontos.</t>
  </si>
  <si>
    <t xml:space="preserve">Nada que prometa emprego nem fale de pessoa real.</t>
  </si>
  <si>
    <t xml:space="preserve">Qualidade do match</t>
  </si>
  <si>
    <t xml:space="preserve">Compara a nota prevista com quem foi contratado de verdade.</t>
  </si>
  <si>
    <t xml:space="preserve">Todo mês</t>
  </si>
  <si>
    <t xml:space="preserve">Proposta de novos pesos, com o antes e o depois.</t>
  </si>
  <si>
    <t xml:space="preserve">GD e advogado</t>
  </si>
  <si>
    <t xml:space="preserve">Nunca muda o peso sozinho; sem usar dado sensível.</t>
  </si>
  <si>
    <t xml:space="preserve">Comunicação</t>
  </si>
  <si>
    <t xml:space="preserve">Testa horários e textos de mensagem para quem aceitou receber.</t>
  </si>
  <si>
    <t xml:space="preserve">Contínuo</t>
  </si>
  <si>
    <t xml:space="preserve">Qual texto trouxe mais gente de volta.</t>
  </si>
  <si>
    <t xml:space="preserve">Só para quem deu aceite; respeitar o pedido de sair.</t>
  </si>
  <si>
    <t xml:space="preserve">Lembra as escolas de atualizar cursos e vagas e confere a conta de comissão do mês.</t>
  </si>
  <si>
    <t xml:space="preserve">Extrato por escola e pendências.</t>
  </si>
  <si>
    <t xml:space="preserve">Divergência vai para análise, não vira cobrança automática.</t>
  </si>
  <si>
    <t xml:space="preserve">Privacidade</t>
  </si>
  <si>
    <t xml:space="preserve">Atende pedido de apagar ou corrigir dados e confere se o aceite está em dia.</t>
  </si>
  <si>
    <t xml:space="preserve">Todo dia</t>
  </si>
  <si>
    <t xml:space="preserve">Lista do que foi atendido.</t>
  </si>
  <si>
    <t xml:space="preserve">Automático, com revisão do advogado</t>
  </si>
  <si>
    <t xml:space="preserve">Prazos da lei (a confirmar).</t>
  </si>
  <si>
    <t xml:space="preserve">Saúde do sistema</t>
  </si>
  <si>
    <t xml:space="preserve">Confere cópia de segurança, atualização e velocidade.</t>
  </si>
  <si>
    <t xml:space="preserve">Aviso só se algo estiver errado.</t>
  </si>
  <si>
    <t xml:space="preserve">Automático</t>
  </si>
  <si>
    <t xml:space="preserve">Atualização automática com volta atrás é decisão pendente do GD.</t>
  </si>
  <si>
    <t xml:space="preserve">Vê se os modelos continuam sendo lidos pelos programas das empresas e propõe novos.</t>
  </si>
  <si>
    <t xml:space="preserve">Modelos ajustados e testes.</t>
  </si>
  <si>
    <t xml:space="preserve">A nota de leitura automática hoje é nossa avaliação.</t>
  </si>
  <si>
    <t xml:space="preserve">Limites: cada agente tem teto de custo por mês (a definir) e só mexe no que está descrito. Mudança de código passa por pull request, testes e o seu aceite.</t>
  </si>
  <si>
    <t xml:space="preserve">IA para cada dono que comprar o software: 3 pilares, por voz ou foto</t>
  </si>
  <si>
    <t xml:space="preserve">Benchmark do texto da V4 (colado pelo GD): conteúdo em escala, análise de dados e imagens profissionais. Aqui, como isso vira função em cada produto.</t>
  </si>
  <si>
    <t xml:space="preserve">Pilar</t>
  </si>
  <si>
    <t xml:space="preserve">O que o dono pede</t>
  </si>
  <si>
    <t xml:space="preserve">No Vem Comer</t>
  </si>
  <si>
    <t xml:space="preserve">No Vem Trabalhar</t>
  </si>
  <si>
    <t xml:space="preserve">Em cursos e currículo</t>
  </si>
  <si>
    <t xml:space="preserve">Regra de segurança</t>
  </si>
  <si>
    <t xml:space="preserve">Situação hoje</t>
  </si>
  <si>
    <t xml:space="preserve">1. Conteúdo em escala: uma ideia vira 10 formatos</t>
  </si>
  <si>
    <t xml:space="preserve">'Faz um post desse prato.' 'Divulga essa vaga.'</t>
  </si>
  <si>
    <t xml:space="preserve">Do prato saem: post, carrossel, story, texto de WhatsApp, cartaz com QR, roteiro de vídeo curto, e-mail, promoção, legenda e mensagem de aniversário.</t>
  </si>
  <si>
    <t xml:space="preserve">Da vaga saem: post, story, texto de WhatsApp, cartaz com QR, e-mail e vídeo curto, prontos para as páginas de vagas do Instagram.</t>
  </si>
  <si>
    <t xml:space="preserve">De uma lição saem vídeo curto, post e quiz. Do currículo sai a mensagem de apresentação para o WhatsApp.</t>
  </si>
  <si>
    <t xml:space="preserve">O dono aprova antes de publicar. Nada que prometa o que o negócio não entrega. Vaga nunca promete salário que não está cadastrado.</t>
  </si>
  <si>
    <t xml:space="preserve">A fazer</t>
  </si>
  <si>
    <t xml:space="preserve">2. Analisar dados e decidir mais rápido</t>
  </si>
  <si>
    <t xml:space="preserve">'Como foi a semana?' 'Onde estou perdendo dinheiro?'</t>
  </si>
  <si>
    <t xml:space="preserve">Prato com margem baixa (custo e CMV), desperdício, horário vazio, prato que não vende, preço fora do padrão.</t>
  </si>
  <si>
    <t xml:space="preserve">Vaga parada, candidatos por vaga, onde a nota perde pontos, tempo até a primeira resposta, saída de funcionários.</t>
  </si>
  <si>
    <t xml:space="preserve">Onde o aluno erra e onde desiste do curso.</t>
  </si>
  <si>
    <t xml:space="preserve">Todo número mostra de onde vem. A sugestão é sugestão: o dono decide. Resposta curta, em linguagem simples.</t>
  </si>
  <si>
    <t xml:space="preserve">A fazer (CMV é o item 6 e alertas o item 10 da ordem de trabalho)</t>
  </si>
  <si>
    <t xml:space="preserve">3. Imagens profissionais</t>
  </si>
  <si>
    <t xml:space="preserve">'Melhora essa foto.' 'Faz a logomarca.' 'Faz o cartaz da vaga.'</t>
  </si>
  <si>
    <t xml:space="preserve">Foto do prato melhorada a partir da foto real, com fundo limpo; logomarca; banner do cardápio.</t>
  </si>
  <si>
    <t xml:space="preserve">Imagem da vaga e cartaz com QR; capa de curso.</t>
  </si>
  <si>
    <t xml:space="preserve">Currículo sem foto de pessoa criada por IA.</t>
  </si>
  <si>
    <t xml:space="preserve">Foto de prato só melhora a real. Imagem criada do zero leva o aviso 'imagem ilustrativa' (o cliente não pode ser enganado sobre o que recebe; advogado confere o Código de Defesa do Consumidor). Nunca criar pessoa que não existe em currículo ou depoimento.</t>
  </si>
  <si>
    <t xml:space="preserve">Parcial: foto do cardápio pronta (falta a chave de IA e teste com cardápios reais); logomarca pronta (aguarda o seu merge)</t>
  </si>
  <si>
    <t xml:space="preserve">4. Gestão por voz e por foto</t>
  </si>
  <si>
    <t xml:space="preserve">Falar ou mandar foto, em vez de digitar</t>
  </si>
  <si>
    <t xml:space="preserve">Ver a aba Comandos de voz.</t>
  </si>
  <si>
    <t xml:space="preserve">Ver a aba Entrevista do currículo.</t>
  </si>
  <si>
    <t xml:space="preserve">Ação que mexe com dinheiro, preço ou apaga algo sempre pede confirmação lida em voz alta, e pode ser desfeita.</t>
  </si>
  <si>
    <t xml:space="preserve">5. Muitas empresas na mesma plataforma</t>
  </si>
  <si>
    <t xml:space="preserve">'Cada cliente meu com a sua marca.'</t>
  </si>
  <si>
    <t xml:space="preserve">Cada restaurante isolado, com logomarca, cores e cardápio próprios.</t>
  </si>
  <si>
    <t xml:space="preserve">Cada empresa isolada, com vagas e candidatos próprios.</t>
  </si>
  <si>
    <t xml:space="preserve">Cada empresa vê só os seus funcionários e resultados.</t>
  </si>
  <si>
    <t xml:space="preserve">Uma empresa nunca enxerga dado de outra. O dono da plataforma enxerga números gerais, não o conteúdo de cada uma.</t>
  </si>
  <si>
    <t xml:space="preserve">Isolamento por empresa já existe. Logomarca pronta. Faltam domínio próprio e teste de Pix de R$ 1.</t>
  </si>
  <si>
    <t xml:space="preserve">Comandos de voz e de foto: o dono fala, o sistema faz</t>
  </si>
  <si>
    <t xml:space="preserve">Frases de exemplo. O sistema entende o jeito de falar de cada pessoa; estas servem para desenhar e testar.</t>
  </si>
  <si>
    <t xml:space="preserve">Produto</t>
  </si>
  <si>
    <t xml:space="preserve">Quem fala</t>
  </si>
  <si>
    <t xml:space="preserve">O que diz</t>
  </si>
  <si>
    <t xml:space="preserve">O que o sistema faz</t>
  </si>
  <si>
    <t xml:space="preserve">Pede confirmação?</t>
  </si>
  <si>
    <t xml:space="preserve">Vem Comer</t>
  </si>
  <si>
    <t xml:space="preserve">Dono ou gerente</t>
  </si>
  <si>
    <t xml:space="preserve">Quanto eu vendi hoje?</t>
  </si>
  <si>
    <t xml:space="preserve">Lê as vendas, os pedidos e o ticket médio do dia.</t>
  </si>
  <si>
    <t xml:space="preserve">Número vem do sistema, com a hora da última atualização.</t>
  </si>
  <si>
    <t xml:space="preserve">Qual prato vende mais esta semana?</t>
  </si>
  <si>
    <t xml:space="preserve">Lista os 5 mais vendidos e os 5 que menos saem.</t>
  </si>
  <si>
    <t xml:space="preserve">Coloca o prato frango com batata por R$ 25.</t>
  </si>
  <si>
    <t xml:space="preserve">Cria ou muda o produto e mostra o preço escrito.</t>
  </si>
  <si>
    <t xml:space="preserve">Lê o preço em voz alta antes de salvar.</t>
  </si>
  <si>
    <t xml:space="preserve">Tira o prato X do cardápio por hoje.</t>
  </si>
  <si>
    <t xml:space="preserve">Pausa o prato até a meia-noite.</t>
  </si>
  <si>
    <t xml:space="preserve">Volta sozinho no dia seguinte.</t>
  </si>
  <si>
    <t xml:space="preserve">Aumenta as bebidas em 10 por cento.</t>
  </si>
  <si>
    <t xml:space="preserve">Mostra a lista com o preço novo de cada bebida.</t>
  </si>
  <si>
    <t xml:space="preserve">Aplica só depois do toque em 'confirmar'; tem 'desfazer'.</t>
  </si>
  <si>
    <t xml:space="preserve">(manda uma foto de um prato) Esse é o prato do dia.</t>
  </si>
  <si>
    <t xml:space="preserve">Melhora a foto, cria o prato e pede o preço e a descrição.</t>
  </si>
  <si>
    <t xml:space="preserve">Só melhora a foto real.</t>
  </si>
  <si>
    <t xml:space="preserve">Faz um post desse prato.</t>
  </si>
  <si>
    <t xml:space="preserve">Gera post, story e texto de WhatsApp para aprovar.</t>
  </si>
  <si>
    <t xml:space="preserve">Nada é publicado sem o dono aprovar.</t>
  </si>
  <si>
    <t xml:space="preserve">Onde eu estou perdendo dinheiro?</t>
  </si>
  <si>
    <t xml:space="preserve">Mostra os 3 maiores vazamentos com o valor de cada um.</t>
  </si>
  <si>
    <t xml:space="preserve">Diz de onde vem cada número.</t>
  </si>
  <si>
    <t xml:space="preserve">Garçom</t>
  </si>
  <si>
    <t xml:space="preserve">Mesa 5 quer mais uma água e um suco de laranja.</t>
  </si>
  <si>
    <t xml:space="preserve">Lança os itens na mesa 5.</t>
  </si>
  <si>
    <t xml:space="preserve">Garçom não muda preço.</t>
  </si>
  <si>
    <t xml:space="preserve">Caixa</t>
  </si>
  <si>
    <t xml:space="preserve">Fecha a mesa 3 no Pix.</t>
  </si>
  <si>
    <t xml:space="preserve">Fecha a conta e mostra o QR.</t>
  </si>
  <si>
    <t xml:space="preserve">Só o caixa fecha.</t>
  </si>
  <si>
    <t xml:space="preserve">Cozinha</t>
  </si>
  <si>
    <t xml:space="preserve">Pedido 12 está pronto.</t>
  </si>
  <si>
    <t xml:space="preserve">Marca como pronto e avisa o garçom.</t>
  </si>
  <si>
    <t xml:space="preserve">Cria uma promoção de almoço de segunda a sexta.</t>
  </si>
  <si>
    <t xml:space="preserve">Monta a promoção e o cartaz para aprovar.</t>
  </si>
  <si>
    <t xml:space="preserve">Mostra o preço final antes de ligar.</t>
  </si>
  <si>
    <t xml:space="preserve">Vem Trabalhar</t>
  </si>
  <si>
    <t xml:space="preserve">Empresa</t>
  </si>
  <si>
    <t xml:space="preserve">Cria uma vaga de garçom para a noite.</t>
  </si>
  <si>
    <t xml:space="preserve">Abre a vaga e pergunta as 20 respostas por toque ou voz.</t>
  </si>
  <si>
    <t xml:space="preserve">Mostra a vaga inteira antes de publicar.</t>
  </si>
  <si>
    <t xml:space="preserve">Quantos candidatos tem para o caixa?</t>
  </si>
  <si>
    <t xml:space="preserve">Diz o número e quantos combinam acima de 60%.</t>
  </si>
  <si>
    <t xml:space="preserve">Mostra os 5 melhores para a vaga de caixa.</t>
  </si>
  <si>
    <t xml:space="preserve">Lista os 5, com o motivo de cada nota.</t>
  </si>
  <si>
    <t xml:space="preserve">A decisão é da empresa; ninguém é descartado sozinho.</t>
  </si>
  <si>
    <t xml:space="preserve">Chama o João para uma entrevista amanhã às 10.</t>
  </si>
  <si>
    <t xml:space="preserve">Envia o convite pelo canal que o João autorizou.</t>
  </si>
  <si>
    <t xml:space="preserve">Só para quem aceitou receber contato.</t>
  </si>
  <si>
    <t xml:space="preserve">Como está o desempenho do setor de vendas?</t>
  </si>
  <si>
    <t xml:space="preserve">Mostra a média das competências do setor.</t>
  </si>
  <si>
    <t xml:space="preserve">Só para quem sabe que é avaliado.</t>
  </si>
  <si>
    <t xml:space="preserve">Qual vaga está parada há mais tempo?</t>
  </si>
  <si>
    <t xml:space="preserve">Lista as vagas sem candidato bom e sugere ajuste.</t>
  </si>
  <si>
    <t xml:space="preserve">Candidato</t>
  </si>
  <si>
    <t xml:space="preserve">Quero fazer meu currículo.</t>
  </si>
  <si>
    <t xml:space="preserve">Começa a entrevista do currículo.</t>
  </si>
  <si>
    <t xml:space="preserve">Aba Entrevista do currículo.</t>
  </si>
  <si>
    <t xml:space="preserve">(manda foto do currículo velho)</t>
  </si>
  <si>
    <t xml:space="preserve">Lê, monta o rascunho e pergunta o que faltou.</t>
  </si>
  <si>
    <t xml:space="preserve">Confere cada trecho com a pessoa.</t>
  </si>
  <si>
    <t xml:space="preserve">Troca o modelo para o azul.</t>
  </si>
  <si>
    <t xml:space="preserve">Muda a cor e mostra na tela.</t>
  </si>
  <si>
    <t xml:space="preserve">Quais vagas têm perto de mim?</t>
  </si>
  <si>
    <t xml:space="preserve">Lista as vagas com tempo de deslocamento e nota.</t>
  </si>
  <si>
    <t xml:space="preserve">Usa a localização arredondada.</t>
  </si>
  <si>
    <t xml:space="preserve">Me candidata nessa vaga.</t>
  </si>
  <si>
    <t xml:space="preserve">Envia o currículo e as respostas à vaga.</t>
  </si>
  <si>
    <t xml:space="preserve">Mostra o que será enviado.</t>
  </si>
  <si>
    <t xml:space="preserve">Quero um curso de atendimento.</t>
  </si>
  <si>
    <t xml:space="preserve">Mostra o curso livre nosso e, depois, os de parceiros com a etiqueta.</t>
  </si>
  <si>
    <t xml:space="preserve">Funcionário</t>
  </si>
  <si>
    <t xml:space="preserve">Quero fazer minha avaliação.</t>
  </si>
  <si>
    <t xml:space="preserve">Abre as 16 frases por toque ou voz.</t>
  </si>
  <si>
    <t xml:space="preserve">O resultado é dele.</t>
  </si>
  <si>
    <t xml:space="preserve">Geral</t>
  </si>
  <si>
    <t xml:space="preserve">Qualquer pessoa</t>
  </si>
  <si>
    <t xml:space="preserve">Apaga os meus dados.</t>
  </si>
  <si>
    <t xml:space="preserve">Inicia o pedido de apagamento.</t>
  </si>
  <si>
    <t xml:space="preserve">Sim, duas vezes</t>
  </si>
  <si>
    <t xml:space="preserve">Fluxo da lei de proteção de dados; advogado confere os prazos.</t>
  </si>
  <si>
    <t xml:space="preserve">Fala mais devagar. Aumenta a letra.</t>
  </si>
  <si>
    <t xml:space="preserve">Muda a velocidade da voz e o tamanho da letra.</t>
  </si>
  <si>
    <t xml:space="preserve">Acessibilidade.</t>
  </si>
  <si>
    <t xml:space="preserve">Desfaz.</t>
  </si>
  <si>
    <t xml:space="preserve">Desfaz a última mudança.</t>
  </si>
  <si>
    <t xml:space="preserve">Guarda o histórico.</t>
  </si>
  <si>
    <t xml:space="preserve">Dono da plataforma</t>
  </si>
  <si>
    <t xml:space="preserve">Quantas empresas entraram hoje?</t>
  </si>
  <si>
    <t xml:space="preserve">Mostra o número por produto e por canal.</t>
  </si>
  <si>
    <t xml:space="preserve">Não mostra o conteúdo das empresas.</t>
  </si>
  <si>
    <t xml:space="preserve">Quais planos estão pagos e quais atrasaram?</t>
  </si>
  <si>
    <t xml:space="preserve">Lista por plano e por situação.</t>
  </si>
  <si>
    <t xml:space="preserve">Depende da cobrança por Pix.</t>
  </si>
  <si>
    <t xml:space="preserve">Como está o banco de pessoas?</t>
  </si>
  <si>
    <t xml:space="preserve">Mostra o painel diário da aba Canais.</t>
  </si>
  <si>
    <t xml:space="preserve">Só contagens, sem dados pessoais.</t>
  </si>
  <si>
    <t xml:space="preserve">Quanto as escolas devem de comissão?</t>
  </si>
  <si>
    <t xml:space="preserve">Mostra o extrato por escola.</t>
  </si>
  <si>
    <t xml:space="preserve">Aba Portal do parceiro.</t>
  </si>
  <si>
    <t xml:space="preserve">Comandos</t>
  </si>
  <si>
    <t xml:space="preserve">Pedem confirmação</t>
  </si>
  <si>
    <t xml:space="preserve">O reconhecimento de voz do celular pode precisar de internet; a verificar como fica em 2G. Se não houver rede, o sistema oferece os botões de toque.</t>
  </si>
  <si>
    <t xml:space="preserve">Benchmark: o que vimos de novo e onde entra</t>
  </si>
  <si>
    <t xml:space="preserve">O agente de benchmark da aba Sistema vivo acrescenta linhas aqui. A coluna amarela é a sua decisão.</t>
  </si>
  <si>
    <t xml:space="preserve">Data</t>
  </si>
  <si>
    <t xml:space="preserve">Onde vimos</t>
  </si>
  <si>
    <t xml:space="preserve">O que vimos</t>
  </si>
  <si>
    <t xml:space="preserve">O que serve para nós</t>
  </si>
  <si>
    <t xml:space="preserve">Onde entra</t>
  </si>
  <si>
    <t xml:space="preserve">Decisão do GD</t>
  </si>
  <si>
    <t xml:space="preserve">06/10/2026</t>
  </si>
  <si>
    <t xml:space="preserve">Texto de uma empresa chamada V4 (colado pelo GD)</t>
  </si>
  <si>
    <t xml:space="preserve">Quem não usa IA em 3 coisas fica para trás: 1) conteúdo em escala, uma ideia vira 10 formatos; 2) análise de dados e decisão mais rápida; 3) imagens profissionais sem sessão de fotos.</t>
  </si>
  <si>
    <t xml:space="preserve">Os três pilares viram o que cada dono recebe, por voz ou foto (aba IA para o dono).</t>
  </si>
  <si>
    <t xml:space="preserve">Vem Comer, Vem Trabalhar, cursos, currículo</t>
  </si>
  <si>
    <t xml:space="preserve">Alta</t>
  </si>
  <si>
    <t xml:space="preserve">Anúncio no Instagram (print do GD): gentia.tech, '50 vagas rodando para 1 recrutador'</t>
  </si>
  <si>
    <t xml:space="preserve">Promessa de um recrutador dar conta de 50 vagas com IA.</t>
  </si>
  <si>
    <t xml:space="preserve">A lista ordenada com o motivo da nota e o match de 20 perguntas atacam a mesma dor.</t>
  </si>
  <si>
    <t xml:space="preserve">Sites de RH que o GD já viu (um anotado como 'Holdings Group'; o nome pode ser erro de transcrição)</t>
  </si>
  <si>
    <t xml:space="preserve">Segundo o GD, nenhum atende do autônomo até a empresa de mil funcionários com uma ideia só. É afirmação do GD; eu não verifiquei esses sites.</t>
  </si>
  <si>
    <t xml:space="preserve">O nosso diferencial: o mesmo método, as mesmas telas, qualquer tamanho de empresa.</t>
  </si>
  <si>
    <t xml:space="preserve">Prioridade de cursos por região e setor</t>
  </si>
  <si>
    <t xml:space="preserve">Alta, Média ou Baixa. É avaliação nossa, sem dados; toque na célula para mudar. A aba Ideias de cursos lê esta tabela.</t>
  </si>
  <si>
    <t xml:space="preserve">Região</t>
  </si>
  <si>
    <t xml:space="preserve">Média</t>
  </si>
  <si>
    <t xml:space="preserve">De onde vem a avaliação</t>
  </si>
  <si>
    <t xml:space="preserve">Avaliação nossa: polo de Manaus no Norte, indústria forte no Sudeste e no Sul.</t>
  </si>
  <si>
    <t xml:space="preserve">Avaliação nossa: soja no Centro-Oeste, agropecuária no Sul, cana e pecuária no Nordeste.</t>
  </si>
  <si>
    <t xml:space="preserve">Avaliação nossa: eletroeletrônica no Norte, energia eólica no Nordeste, serviços no Sudeste.</t>
  </si>
  <si>
    <t xml:space="preserve">Avaliação nossa: o Nordeste é o destino mais procurado nas viagens de verão.</t>
  </si>
  <si>
    <t xml:space="preserve">Avaliação nossa: serviços pesam em todas as regiões.</t>
  </si>
  <si>
    <t xml:space="preserve">Transversal: vale para todas as regiões.</t>
  </si>
  <si>
    <t xml:space="preserve">Avaliação nossa, ligada ao escoamento da safra e da indústria.</t>
  </si>
  <si>
    <t xml:space="preserve">Avaliação nossa, sem dado ainda: todas Média.</t>
  </si>
  <si>
    <t xml:space="preserve">Matching: 20 perguntas ao candidato e 20 correspondentes na vaga</t>
  </si>
  <si>
    <t xml:space="preserve">Cada pergunta do candidato tem a sua gêmea na vaga. A regra diz como comparar (nota de 0 a 1) e o peso diz quanto vale. Pesos são ponto de partida: letra azul, pode mudar.</t>
  </si>
  <si>
    <t xml:space="preserve">Bloco</t>
  </si>
  <si>
    <t xml:space="preserve">Tema</t>
  </si>
  <si>
    <t xml:space="preserve">Pergunta ao candidato (toque ou voz)</t>
  </si>
  <si>
    <t xml:space="preserve">Respostas do candidato</t>
  </si>
  <si>
    <t xml:space="preserve">Pergunta na vaga (empresa)</t>
  </si>
  <si>
    <t xml:space="preserve">Respostas da empresa</t>
  </si>
  <si>
    <t xml:space="preserve">Como compara (nota de 0 a 1)</t>
  </si>
  <si>
    <t xml:space="preserve">Se não combinar</t>
  </si>
  <si>
    <t xml:space="preserve">Peso (1 a 5)</t>
  </si>
  <si>
    <t xml:space="preserve">A. Logística</t>
  </si>
  <si>
    <t xml:space="preserve">Local e deslocamento</t>
  </si>
  <si>
    <t xml:space="preserve">Onde você mora? E quanto tempo aceita gastar para chegar ao trabalho? Como você vai?</t>
  </si>
  <si>
    <t xml:space="preserve">Localização (CEP ou 'usar onde estou'); tempo: 15 / 30 / 45 / 60 / 90 min ou mais; meio: a pé, bicicleta, moto, ônibus, carro.</t>
  </si>
  <si>
    <t xml:space="preserve">Onde fica o posto de trabalho? A empresa dá transporte ou vale-transporte?</t>
  </si>
  <si>
    <t xml:space="preserve">CEP do local; transporte da empresa: sim / não; vale-transporte: sim / não.</t>
  </si>
  <si>
    <t xml:space="preserve">Tempo estimado de casa ao trabalho no meio escolhido (aba Geografia). Dentro do limite = 1; até 20% acima = 0,5; acima = 0.</t>
  </si>
  <si>
    <t xml:space="preserve">Filtro do candidato</t>
  </si>
  <si>
    <t xml:space="preserve">Onde prefere trabalhar? (pode marcar mais de uma)</t>
  </si>
  <si>
    <t xml:space="preserve">Presencial; híbrido; de casa.</t>
  </si>
  <si>
    <t xml:space="preserve">A vaga é presencial, híbrida ou remota?</t>
  </si>
  <si>
    <t xml:space="preserve">Presencial; híbrida; remota.</t>
  </si>
  <si>
    <t xml:space="preserve">Vaga dentro do que a pessoa aceita = 1; híbrido contra presencial ou remoto = 0,5; fora = 0.</t>
  </si>
  <si>
    <t xml:space="preserve">Turno e escala</t>
  </si>
  <si>
    <t xml:space="preserve">Em quais turnos você pode trabalhar?</t>
  </si>
  <si>
    <t xml:space="preserve">Manhã; tarde; noite; madrugada; fins de semana; feriados; escala 12x36.</t>
  </si>
  <si>
    <t xml:space="preserve">Qual o turno e a escala da vaga?</t>
  </si>
  <si>
    <t xml:space="preserve">Os mesmos turnos, mais escala 12x36 e carga semanal.</t>
  </si>
  <si>
    <t xml:space="preserve">Todos os turnos da vaga cobertos = 1; parte coberta = 0,5; nenhum = 0.</t>
  </si>
  <si>
    <t xml:space="preserve">Tipo de contrato</t>
  </si>
  <si>
    <t xml:space="preserve">Que tipo de contrato você aceita?</t>
  </si>
  <si>
    <t xml:space="preserve">CLT; estágio; jovem aprendiz; temporário; diária ou freelancer; MEI ou PJ.</t>
  </si>
  <si>
    <t xml:space="preserve">Qual o tipo de contrato?</t>
  </si>
  <si>
    <t xml:space="preserve">Contrato aceito pela pessoa = 1; senão 0.</t>
  </si>
  <si>
    <t xml:space="preserve">Salário e benefícios</t>
  </si>
  <si>
    <t xml:space="preserve">Quanto você precisa ganhar por mês?</t>
  </si>
  <si>
    <t xml:space="preserve">Faixas de toque (a combinar, ou escolher a faixa); benefícios que importam: vale-transporte, refeição, plano de saúde.</t>
  </si>
  <si>
    <t xml:space="preserve">Qual a faixa de salário e os benefícios?</t>
  </si>
  <si>
    <t xml:space="preserve">Faixa de salário; benefícios: vale-transporte, refeição, plano, comissão.</t>
  </si>
  <si>
    <t xml:space="preserve">Faixas se encontram = 1; vaga até 10% abaixo do que a pessoa precisa = 0,5; mais que isso = 0.</t>
  </si>
  <si>
    <t xml:space="preserve">Quando começar</t>
  </si>
  <si>
    <t xml:space="preserve">Quando você pode começar?</t>
  </si>
  <si>
    <t xml:space="preserve">Já; em 15 dias; em 30 dias; depois.</t>
  </si>
  <si>
    <t xml:space="preserve">Para quando a vaga precisa de alguém?</t>
  </si>
  <si>
    <t xml:space="preserve">Urgente; em 15 dias; em 30 dias; sem pressa.</t>
  </si>
  <si>
    <t xml:space="preserve">Pessoa começa até a data pedida = 1; atraso de até 15 dias = 0,5; mais = 0.</t>
  </si>
  <si>
    <t xml:space="preserve">Só pontua</t>
  </si>
  <si>
    <t xml:space="preserve">Estudo junto com o trabalho</t>
  </si>
  <si>
    <t xml:space="preserve">Quer estudar junto com o trabalho? Como?</t>
  </si>
  <si>
    <t xml:space="preserve">Não; a distância (EAD); presencial; os dois. Horários livres para estudar.</t>
  </si>
  <si>
    <t xml:space="preserve">A empresa apoia o estudo?</t>
  </si>
  <si>
    <t xml:space="preserve">Não; horário flexível; paga curso ou bolsa; tem curso interno.</t>
  </si>
  <si>
    <t xml:space="preserve">Quer estudar e a empresa apoia = 1; tanto faz = 0,5; querem coisas opostas = 0. Se o curso é presencial, entra a distância casa, estudo e trabalho (aba Geografia).</t>
  </si>
  <si>
    <t xml:space="preserve">B. Função e preparo</t>
  </si>
  <si>
    <t xml:space="preserve">Função desejada</t>
  </si>
  <si>
    <t xml:space="preserve">Que tipo de trabalho você procura? (fale ou escolha até 3)</t>
  </si>
  <si>
    <t xml:space="preserve">Busca por voz ou lista de ocupações, agrupada por área.</t>
  </si>
  <si>
    <t xml:space="preserve">Qual a função da vaga?</t>
  </si>
  <si>
    <t xml:space="preserve">A mesma lista de ocupações.</t>
  </si>
  <si>
    <t xml:space="preserve">Mesma função = 1; função da mesma família = 0,6; mesma área = 0,3; outra = 0.</t>
  </si>
  <si>
    <t xml:space="preserve">Experiência</t>
  </si>
  <si>
    <t xml:space="preserve">Quanto tempo de experiência você tem nessa função?</t>
  </si>
  <si>
    <t xml:space="preserve">Nenhuma; até 1 ano; 1 a 3 anos; 3 a 5 anos; mais de 5 anos.</t>
  </si>
  <si>
    <t xml:space="preserve">Qual experiência a vaga exige? A empresa treina quem não tem?</t>
  </si>
  <si>
    <t xml:space="preserve">Nenhuma; até 1 ano; 1 a 3; 3 a 5; mais de 5. Marcar 'treinamos'.</t>
  </si>
  <si>
    <t xml:space="preserve">Experiência igual ou maior = 1; um nível abaixo = 0,5; mais abaixo = 0. Se a empresa marcou 'treinamos', quem não tem experiência pontua 0,8. Primeiro emprego nunca é penalizado em vaga que aceita sem experiência.</t>
  </si>
  <si>
    <t xml:space="preserve">Obrigatória só se a empresa marcar</t>
  </si>
  <si>
    <t xml:space="preserve">Escolaridade</t>
  </si>
  <si>
    <t xml:space="preserve">Até onde você estudou?</t>
  </si>
  <si>
    <t xml:space="preserve">Fundamental incompleto ou completo; médio incompleto ou completo; técnico; superior cursando ou completo; pós.</t>
  </si>
  <si>
    <t xml:space="preserve">Qual a escolaridade mínima?</t>
  </si>
  <si>
    <t xml:space="preserve">A mesma escala, mais 'aceita quem está cursando'.</t>
  </si>
  <si>
    <t xml:space="preserve">Nível igual ou maior = 1; cursando e a vaga aceita = 0,7; um nível abaixo = 0,4; mais abaixo = 0.</t>
  </si>
  <si>
    <t xml:space="preserve">Habilidades</t>
  </si>
  <si>
    <t xml:space="preserve">Marque até 5 coisas que você faz bem.</t>
  </si>
  <si>
    <t xml:space="preserve">Lista por área (atender, vender, cozinhar, operar caixa, organizar estoque, dirigir, consertar, desenhar, ensinar...).</t>
  </si>
  <si>
    <t xml:space="preserve">Marque até 5 habilidades essenciais para a vaga.</t>
  </si>
  <si>
    <t xml:space="preserve">A mesma lista.</t>
  </si>
  <si>
    <t xml:space="preserve">Quantas das habilidades da vaga a pessoa tem, dividido pelo total da vaga.</t>
  </si>
  <si>
    <t xml:space="preserve">Ferramentas e equipamentos</t>
  </si>
  <si>
    <t xml:space="preserve">Quais máquinas, programas ou equipamentos você sabe usar?</t>
  </si>
  <si>
    <t xml:space="preserve">Lista por área (caixa e maquininha, Excel, empilhadeira, forno, furadeira, WhatsApp comercial...).</t>
  </si>
  <si>
    <t xml:space="preserve">O que a pessoa vai usar no dia a dia?</t>
  </si>
  <si>
    <t xml:space="preserve">Quantas das ferramentas da vaga a pessoa conhece, dividido pelo total.</t>
  </si>
  <si>
    <t xml:space="preserve">Habilitações e certificados</t>
  </si>
  <si>
    <t xml:space="preserve">Você tem CNH, NR, registro profissional ou algum certificado? (inclui os cursos do Vem Trabalhar)</t>
  </si>
  <si>
    <t xml:space="preserve">CNH e categoria; NRs; registro de conselho; certificados do app (com código de conferência).</t>
  </si>
  <si>
    <t xml:space="preserve">A vaga exige alguma habilitação por lei ou por segurança?</t>
  </si>
  <si>
    <t xml:space="preserve">Só o que for exigido por lei ou segurança.</t>
  </si>
  <si>
    <t xml:space="preserve">Tem tudo que é exigido = 1; falta algo = 0 e aparece o curso que resolve.</t>
  </si>
  <si>
    <t xml:space="preserve">Obrigatória (só exigência legal)</t>
  </si>
  <si>
    <t xml:space="preserve">Idiomas</t>
  </si>
  <si>
    <t xml:space="preserve">Você fala outro idioma? Qual o nível?</t>
  </si>
  <si>
    <t xml:space="preserve">Nenhum; básico; médio; fluente (inglês, espanhol, Libras, outro).</t>
  </si>
  <si>
    <t xml:space="preserve">A vaga precisa de algum idioma?</t>
  </si>
  <si>
    <t xml:space="preserve">Idioma e nível.</t>
  </si>
  <si>
    <t xml:space="preserve">Nível igual ou maior = 1; um abaixo = 0,5; mais abaixo = 0.</t>
  </si>
  <si>
    <t xml:space="preserve">C. Jeito de trabalhar</t>
  </si>
  <si>
    <t xml:space="preserve">Ambiente</t>
  </si>
  <si>
    <t xml:space="preserve">Onde você gosta de trabalhar?</t>
  </si>
  <si>
    <t xml:space="preserve">Ao ar livre; balcão ou loja; cozinha; escritório; fábrica; estrada; obra.</t>
  </si>
  <si>
    <t xml:space="preserve">Onde a pessoa vai trabalhar?</t>
  </si>
  <si>
    <t xml:space="preserve">Os mesmos ambientes.</t>
  </si>
  <si>
    <t xml:space="preserve">Mesmo ambiente = 1; ambiente parecido = 0,5; outro = 0.</t>
  </si>
  <si>
    <t xml:space="preserve">Ritmo</t>
  </si>
  <si>
    <t xml:space="preserve">Que ritmo de trabalho você prefere?</t>
  </si>
  <si>
    <t xml:space="preserve">Tranquilo; moderado; acelerado (muito movimento, meta).</t>
  </si>
  <si>
    <t xml:space="preserve">Qual o ritmo da vaga?</t>
  </si>
  <si>
    <t xml:space="preserve">Tranquilo; moderado; acelerado.</t>
  </si>
  <si>
    <t xml:space="preserve">Igual = 1; um nível de diferença = 0,5; dois níveis = 0.</t>
  </si>
  <si>
    <t xml:space="preserve">Equipe</t>
  </si>
  <si>
    <t xml:space="preserve">Como você prefere trabalhar?</t>
  </si>
  <si>
    <t xml:space="preserve">Sozinho; em dupla; em equipe.</t>
  </si>
  <si>
    <t xml:space="preserve">Como é o trabalho na vaga? Com quem a pessoa trabalha?</t>
  </si>
  <si>
    <t xml:space="preserve">Individual; em dupla; em equipe. Tamanho da equipe e quem é o gestor.</t>
  </si>
  <si>
    <t xml:space="preserve">Igual = 1; vizinho = 0,5; oposto = 0.</t>
  </si>
  <si>
    <t xml:space="preserve">Contato com o público</t>
  </si>
  <si>
    <t xml:space="preserve">Você gosta de falar com clientes?</t>
  </si>
  <si>
    <t xml:space="preserve">Gosto muito; tanto faz; prefiro não.</t>
  </si>
  <si>
    <t xml:space="preserve">Quanto contato com cliente a vaga tem?</t>
  </si>
  <si>
    <t xml:space="preserve">Muito; pouco; nenhum.</t>
  </si>
  <si>
    <t xml:space="preserve">Proximidade entre as duas respostas (igual = 1; um nível = 0,5; oposto = 0).</t>
  </si>
  <si>
    <t xml:space="preserve">Esforço físico</t>
  </si>
  <si>
    <t xml:space="preserve">Que tipo de esforço você prefere no dia a dia?</t>
  </si>
  <si>
    <t xml:space="preserve">Mais leve; médio; pesado. É preferência, não pergunta de saúde.</t>
  </si>
  <si>
    <t xml:space="preserve">Qual o esforço físico da vaga? (ficar em pé, carregar peso)</t>
  </si>
  <si>
    <t xml:space="preserve">Leve; médio; pesado.</t>
  </si>
  <si>
    <t xml:space="preserve">Preferência da pessoa igual ou maior que o esforço da vaga = 1; um nível abaixo = 0,5; mais = 0. Pessoa com deficiência é tratada à parte, com consentimento.</t>
  </si>
  <si>
    <t xml:space="preserve">Crescimento</t>
  </si>
  <si>
    <t xml:space="preserve">O que você busca agora?</t>
  </si>
  <si>
    <t xml:space="preserve">Aprender uma profissão; crescer na empresa; estabilidade; renda extra.</t>
  </si>
  <si>
    <t xml:space="preserve">O que a empresa oferece?</t>
  </si>
  <si>
    <t xml:space="preserve">Treinamento; plano de carreira; efetivação; renda extra.</t>
  </si>
  <si>
    <t xml:space="preserve">Igual = 1; parcial = 0,5; sem relação = 0.</t>
  </si>
  <si>
    <t xml:space="preserve">Perguntas</t>
  </si>
  <si>
    <t xml:space="preserve">Soma dos pesos</t>
  </si>
  <si>
    <t xml:space="preserve">Filtro do candidato: a vaga some da lista dele quando contraria um 'não' que ele mesmo marcou. Quem decide é ele, não o sistema.</t>
  </si>
  <si>
    <t xml:space="preserve">Obrigatória só se a empresa marcar: a empresa pode marcar até 3 perguntas como obrigatórias. Quem não atende aparece com o aviso 'não atende' e a empresa decide se abre ou não. Nada é escondido da empresa nem descartado sozinho.</t>
  </si>
  <si>
    <t xml:space="preserve">Dado que a empresa deixa em branco não entra na conta (o peso daquele par sai do total).</t>
  </si>
  <si>
    <t xml:space="preserve">Sinal 21, opcional: o teste de jeito de ser (aba Perfil) só entra se a pessoa autorizar e a empresa pedir. Nunca elimina.</t>
  </si>
  <si>
    <t xml:space="preserve">A pessoa vê a nota, os 3 pares que mais tiraram pontos e o curso que melhoraria cada um.</t>
  </si>
  <si>
    <t xml:space="preserve">Raça, religião, estado civil, filhos, idade, foto e saúde não fazem parte de nenhum par.</t>
  </si>
  <si>
    <t xml:space="preserve">Exemplo de nota do matching (candidato e vaga inventados)</t>
  </si>
  <si>
    <t xml:space="preserve">Candidata de exemplo: procura balcão ou caixa, tem 1 ano de experiência, aceita CLT, pode à tarde e à noite. Vaga: atendente de padaria. Troque os números amarelos para ver a nota mudar.</t>
  </si>
  <si>
    <t xml:space="preserve">Obrigatória não atende abaixo de</t>
  </si>
  <si>
    <t xml:space="preserve">Faixa 'Muito boa' a partir de</t>
  </si>
  <si>
    <t xml:space="preserve">Faixa 'Boa' a partir de</t>
  </si>
  <si>
    <t xml:space="preserve">Faixa 'Possível' a partir de</t>
  </si>
  <si>
    <t xml:space="preserve">Peso</t>
  </si>
  <si>
    <t xml:space="preserve">Aplica?</t>
  </si>
  <si>
    <t xml:space="preserve">Nota (0 a 1)</t>
  </si>
  <si>
    <t xml:space="preserve">Obrigatória?</t>
  </si>
  <si>
    <t xml:space="preserve">Pontos</t>
  </si>
  <si>
    <t xml:space="preserve">Peso usado</t>
  </si>
  <si>
    <t xml:space="preserve">Perda (aux.)</t>
  </si>
  <si>
    <t xml:space="preserve">Alerta</t>
  </si>
  <si>
    <t xml:space="preserve">Nota do match</t>
  </si>
  <si>
    <t xml:space="preserve">Faixa</t>
  </si>
  <si>
    <t xml:space="preserve">Atende todas as obrigatórias?</t>
  </si>
  <si>
    <t xml:space="preserve">Onde mais perdeu pontos (mostrar à pessoa)</t>
  </si>
  <si>
    <t xml:space="preserve">A coluna 'Perda (aux.)' soma uma fração minúscula da linha só para desempatar.</t>
  </si>
  <si>
    <t xml:space="preserve">Geografia: casa, trabalho e local de estudo</t>
  </si>
  <si>
    <t xml:space="preserve">Distância em linha reta, corrigida por um fator de rua, mais a espera do meio de transporte. É estimativa; depois trocamos por rota de verdade.</t>
  </si>
  <si>
    <t xml:space="preserve">Meio de deslocamento</t>
  </si>
  <si>
    <t xml:space="preserve">Velocidade média (km/h)</t>
  </si>
  <si>
    <t xml:space="preserve">Espera e preparo (min)</t>
  </si>
  <si>
    <t xml:space="preserve">A pé</t>
  </si>
  <si>
    <t xml:space="preserve">Bicicleta</t>
  </si>
  <si>
    <t xml:space="preserve">Moto</t>
  </si>
  <si>
    <t xml:space="preserve">Ônibus</t>
  </si>
  <si>
    <t xml:space="preserve">Carro</t>
  </si>
  <si>
    <t xml:space="preserve">Fator de rota (a rua não é linha reta)</t>
  </si>
  <si>
    <t xml:space="preserve">Tempo máximo que a pessoa aceita (min)</t>
  </si>
  <si>
    <t xml:space="preserve">Meio escolhido</t>
  </si>
  <si>
    <t xml:space="preserve">O curso é</t>
  </si>
  <si>
    <t xml:space="preserve">Tempo máximo até o local de estudo (min)</t>
  </si>
  <si>
    <t xml:space="preserve">Ponto (coordenadas de exemplo)</t>
  </si>
  <si>
    <t xml:space="preserve">Latitude</t>
  </si>
  <si>
    <t xml:space="preserve">Longitude</t>
  </si>
  <si>
    <t xml:space="preserve">Casa (bairro, arredondado)</t>
  </si>
  <si>
    <t xml:space="preserve">Trabalho</t>
  </si>
  <si>
    <t xml:space="preserve">Local de estudo</t>
  </si>
  <si>
    <t xml:space="preserve">Trecho</t>
  </si>
  <si>
    <t xml:space="preserve">Distância em linha reta (km)</t>
  </si>
  <si>
    <t xml:space="preserve">Tempo no meio escolhido (min)</t>
  </si>
  <si>
    <t xml:space="preserve">Casa → Trabalho</t>
  </si>
  <si>
    <t xml:space="preserve">Casa → Local de estudo</t>
  </si>
  <si>
    <t xml:space="preserve">Local de estudo → Trabalho</t>
  </si>
  <si>
    <t xml:space="preserve">Nota do estudo (curso perto de casa ou do trabalho)</t>
  </si>
  <si>
    <t xml:space="preserve">Casa → Trabalho em cada meio</t>
  </si>
  <si>
    <t xml:space="preserve">Tempo (min)</t>
  </si>
  <si>
    <t xml:space="preserve">A nota casa → trabalho alimenta o par 1 do Matching; a nota do estudo alimenta o par 7. Se o curso é EAD, a nota do estudo é 1: não importa onde a pessoa mora.</t>
  </si>
  <si>
    <t xml:space="preserve">Privacidade: guardamos a coordenada arredondada (cerca de 500 m), nunca o endereço exato, até a pessoa aceitar mostrar à empresa.</t>
  </si>
  <si>
    <t xml:space="preserve">As coordenadas acima são só um exemplo (Fortaleza, aproximadas). Velocidades e esperas são premissas nossas, a calibrar com dados reais.</t>
  </si>
  <si>
    <t xml:space="preserve">Para virar o CEP em coordenada o app precisa de um serviço de endereços; é a mesma peça que a entrega por CEP do Vem Comer vai usar.</t>
  </si>
  <si>
    <t xml:space="preserve">Telas de entrada: tudo de tocar</t>
  </si>
  <si>
    <t xml:space="preserve">Candidato, funcionário e empresa entram pelo mesmo caminho. A coluna 'Base legal' diz por que cada dado é pedido.</t>
  </si>
  <si>
    <t xml:space="preserve">Ordem</t>
  </si>
  <si>
    <t xml:space="preserve">Tela</t>
  </si>
  <si>
    <t xml:space="preserve">O que a pessoa vê</t>
  </si>
  <si>
    <t xml:space="preserve">Como responde</t>
  </si>
  <si>
    <t xml:space="preserve">Opções</t>
  </si>
  <si>
    <t xml:space="preserve">Obrigatório?</t>
  </si>
  <si>
    <t xml:space="preserve">Base legal (confirmar com advogado)</t>
  </si>
  <si>
    <t xml:space="preserve">Vai para a empresa?</t>
  </si>
  <si>
    <t xml:space="preserve">Entrar</t>
  </si>
  <si>
    <t xml:space="preserve">Qual o seu celular?</t>
  </si>
  <si>
    <t xml:space="preserve">Digitar o número (ou falar). Código por mensagem.</t>
  </si>
  <si>
    <t xml:space="preserve">Criar a conta e avisar de vaga.</t>
  </si>
  <si>
    <t xml:space="preserve">Execução do serviço</t>
  </si>
  <si>
    <t xml:space="preserve">Quem é você</t>
  </si>
  <si>
    <t xml:space="preserve">O que você quer agora?</t>
  </si>
  <si>
    <t xml:space="preserve">Um toque</t>
  </si>
  <si>
    <t xml:space="preserve">Procuro emprego; Quero estágio ou jovem aprendiz; Já trabalho e quero crescer; Sou autônomo ou MEI; Sou empresa</t>
  </si>
  <si>
    <t xml:space="preserve">Abrir o caminho certo (candidato, funcionário ou empresa).</t>
  </si>
  <si>
    <t xml:space="preserve">Onde você está</t>
  </si>
  <si>
    <t xml:space="preserve">Onde você mora?</t>
  </si>
  <si>
    <t xml:space="preserve">Um toque em 'usar onde estou' ou digitar o CEP</t>
  </si>
  <si>
    <t xml:space="preserve">Guardamos só a região do bairro (arredondada)</t>
  </si>
  <si>
    <t xml:space="preserve">Calcular tempo de deslocamento até vagas e cursos.</t>
  </si>
  <si>
    <t xml:space="preserve">Execução do serviço; compartilha só com consentimento</t>
  </si>
  <si>
    <t xml:space="preserve">Só a região, se a pessoa aceitar</t>
  </si>
  <si>
    <t xml:space="preserve">Seu trabalho</t>
  </si>
  <si>
    <t xml:space="preserve">Que trabalho você procura?</t>
  </si>
  <si>
    <t xml:space="preserve">Voz ou lista (até 3 ocupações)</t>
  </si>
  <si>
    <t xml:space="preserve">Lista de ocupações por área</t>
  </si>
  <si>
    <t xml:space="preserve">Match por função.</t>
  </si>
  <si>
    <t xml:space="preserve">Quanto tempo de experiência você tem?</t>
  </si>
  <si>
    <t xml:space="preserve">Nenhuma; até 1 ano; 1 a 3; 3 a 5; mais de 5</t>
  </si>
  <si>
    <t xml:space="preserve">Match por experiência.</t>
  </si>
  <si>
    <t xml:space="preserve">Estudo</t>
  </si>
  <si>
    <t xml:space="preserve">Fundamental; médio; técnico; superior; pós (completo ou cursando)</t>
  </si>
  <si>
    <t xml:space="preserve">Match por escolaridade e sugestão de curso.</t>
  </si>
  <si>
    <t xml:space="preserve">Horário</t>
  </si>
  <si>
    <t xml:space="preserve">Quando você pode trabalhar?</t>
  </si>
  <si>
    <t xml:space="preserve">Toques (pode marcar vários)</t>
  </si>
  <si>
    <t xml:space="preserve">Manhã; tarde; noite; madrugada; fins de semana; escala 12x36</t>
  </si>
  <si>
    <t xml:space="preserve">Match por turno.</t>
  </si>
  <si>
    <t xml:space="preserve">Contrato</t>
  </si>
  <si>
    <t xml:space="preserve">Que tipo de vaga você aceita?</t>
  </si>
  <si>
    <t xml:space="preserve">CLT; estágio; jovem aprendiz; temporário; diária; MEI ou PJ</t>
  </si>
  <si>
    <t xml:space="preserve">Match por contrato.</t>
  </si>
  <si>
    <t xml:space="preserve">Currículo</t>
  </si>
  <si>
    <t xml:space="preserve">Quer montar seu currículo falando?</t>
  </si>
  <si>
    <t xml:space="preserve">Voz, foto de um currículo antigo ou preencher por toque</t>
  </si>
  <si>
    <t xml:space="preserve">Gerar currículo básico</t>
  </si>
  <si>
    <t xml:space="preserve">Criar o currículo sem digitar. O básico fica gratuito? (decisão pendente do GD).</t>
  </si>
  <si>
    <t xml:space="preserve">Só se a pessoa publicar</t>
  </si>
  <si>
    <t xml:space="preserve">Quer ver cursos para melhorar sua nota nas vagas?</t>
  </si>
  <si>
    <t xml:space="preserve">Sim; depois</t>
  </si>
  <si>
    <t xml:space="preserve">Recomendar cursos (nossos ou de parceiros).</t>
  </si>
  <si>
    <t xml:space="preserve">Avisos</t>
  </si>
  <si>
    <t xml:space="preserve">Posso avisar você de vagas e cursos por mensagem?</t>
  </si>
  <si>
    <t xml:space="preserve">Caixa desmarcada: a pessoa precisa tocar</t>
  </si>
  <si>
    <t xml:space="preserve">Sim; não</t>
  </si>
  <si>
    <t xml:space="preserve">Mensagens de marketing do próprio serviço.</t>
  </si>
  <si>
    <t xml:space="preserve">Consentimento (separado, pode ser revogado a qualquer hora)</t>
  </si>
  <si>
    <t xml:space="preserve">Pesquisa</t>
  </si>
  <si>
    <t xml:space="preserve">Posso usar suas respostas, sem mostrar seu nome, em estudos do mercado de trabalho?</t>
  </si>
  <si>
    <t xml:space="preserve">Caixa desmarcada</t>
  </si>
  <si>
    <t xml:space="preserve">Base de dados e marketing durante a semana de teste.</t>
  </si>
  <si>
    <t xml:space="preserve">Não (dados anônimos)</t>
  </si>
  <si>
    <t xml:space="preserve">Quantos funcionários a empresa tem?</t>
  </si>
  <si>
    <t xml:space="preserve">1 a 10; 11 a 50; 51 a 100; 101 a 500; mais de 500</t>
  </si>
  <si>
    <t xml:space="preserve">Dimensionar o plano.</t>
  </si>
  <si>
    <t xml:space="preserve">Execução do contrato</t>
  </si>
  <si>
    <t xml:space="preserve">De que setor é a empresa?</t>
  </si>
  <si>
    <t xml:space="preserve">Indústria; agro; comércio; turismo e gastronomia; saúde; construção; transporte; tecnologia; outro</t>
  </si>
  <si>
    <t xml:space="preserve">Sugerir modelos de vaga e cursos.</t>
  </si>
  <si>
    <t xml:space="preserve">Quantas vagas pretende anunciar por mês?</t>
  </si>
  <si>
    <t xml:space="preserve">0 a 10; 11 a 500; 501 a 1.000; mais de 1.000</t>
  </si>
  <si>
    <t xml:space="preserve">Mostrar o plano certo antes de cobrar.</t>
  </si>
  <si>
    <t xml:space="preserve">Não pedimos: raça ou cor, religião, estado civil, filhos, gravidez, idade como filtro, foto obrigatória, orientação sexual, opinião política, saúde. Esses dados não entram no matching. (Lei 9.029/1995 e LGPD; conferir com advogado.)</t>
  </si>
  <si>
    <t xml:space="preserve">Entrevista do currículo: a pessoa tira uma foto ou fala, e o sistema pergunta o que falta</t>
  </si>
  <si>
    <t xml:space="preserve">Tudo de toque ou voz. O sistema só escreve o que a pessoa disse, e ela confirma cada trecho. Na semana de teste o currículo aparece na tela, sem baixar.</t>
  </si>
  <si>
    <t xml:space="preserve">Opções de toque</t>
  </si>
  <si>
    <t xml:space="preserve">Se não souber ou não tiver</t>
  </si>
  <si>
    <t xml:space="preserve">O que entra no currículo</t>
  </si>
  <si>
    <t xml:space="preserve">Liga com</t>
  </si>
  <si>
    <t xml:space="preserve">Começar</t>
  </si>
  <si>
    <t xml:space="preserve">Como você quer fazer seu currículo?</t>
  </si>
  <si>
    <t xml:space="preserve">Tirar foto de um currículo que eu já tenho; Falar; Preencher tocando</t>
  </si>
  <si>
    <t xml:space="preserve">Qualquer caminho serve; dá para mudar depois.</t>
  </si>
  <si>
    <t xml:space="preserve">Foto</t>
  </si>
  <si>
    <t xml:space="preserve">Tire uma foto do seu currículo, ou de um papel com seus dados.</t>
  </si>
  <si>
    <t xml:space="preserve">Câmera ou galeria, várias páginas</t>
  </si>
  <si>
    <t xml:space="preserve">Câmera; Galeria</t>
  </si>
  <si>
    <t xml:space="preserve">Foto ruim: o sistema pede 'mais luz, de novo'.</t>
  </si>
  <si>
    <t xml:space="preserve">O sistema lê e monta um rascunho. Marca com '?' o que não entendeu.</t>
  </si>
  <si>
    <t xml:space="preserve">Conferir</t>
  </si>
  <si>
    <t xml:space="preserve">Está certo? Toque no que precisa mudar.</t>
  </si>
  <si>
    <t xml:space="preserve">Toque ou voz ('troque a empresa para Padaria Sol')</t>
  </si>
  <si>
    <t xml:space="preserve">Está certo; Mudar</t>
  </si>
  <si>
    <t xml:space="preserve">Pode corrigir por voz quantas vezes quiser.</t>
  </si>
  <si>
    <t xml:space="preserve">O rascunho corrigido.</t>
  </si>
  <si>
    <t xml:space="preserve">Nome</t>
  </si>
  <si>
    <t xml:space="preserve">Como você quer aparecer no currículo?</t>
  </si>
  <si>
    <t xml:space="preserve">Confirma o nome do cadastro</t>
  </si>
  <si>
    <t xml:space="preserve">Esse nome; Outro nome</t>
  </si>
  <si>
    <t xml:space="preserve">Cabeçalho com nome e contato.</t>
  </si>
  <si>
    <t xml:space="preserve">Objetivo</t>
  </si>
  <si>
    <t xml:space="preserve">Voz ou lista de ocupações</t>
  </si>
  <si>
    <t xml:space="preserve">'Ainda não sei': mostra o teste de interesses.</t>
  </si>
  <si>
    <t xml:space="preserve">Uma linha de objetivo.</t>
  </si>
  <si>
    <t xml:space="preserve">Teste de interesses; match: função</t>
  </si>
  <si>
    <t xml:space="preserve">Experiências</t>
  </si>
  <si>
    <t xml:space="preserve">Você já trabalhou? Vale bico, trabalho informal, ajudar a família, estágio e voluntário.</t>
  </si>
  <si>
    <t xml:space="preserve">Já trabalhei; Só bicos e ajuda em casa; Nunca trabalhei</t>
  </si>
  <si>
    <t xml:space="preserve">'Nunca trabalhei': vai para 'Buscar na vida' (etapas 19 a 30).</t>
  </si>
  <si>
    <t xml:space="preserve">Experiência: lugar</t>
  </si>
  <si>
    <t xml:space="preserve">Onde você trabalhou?</t>
  </si>
  <si>
    <t xml:space="preserve">Voz ou toque</t>
  </si>
  <si>
    <t xml:space="preserve">Nome do lugar; Por conta própria; Ajudei a família; Voluntário; Estágio</t>
  </si>
  <si>
    <t xml:space="preserve">Não lembra o nome: 'um lugar de [área]'.</t>
  </si>
  <si>
    <t xml:space="preserve">Nome do lugar e tipo de vínculo.</t>
  </si>
  <si>
    <t xml:space="preserve">Experiência: função</t>
  </si>
  <si>
    <t xml:space="preserve">Como chamavam o seu serviço?</t>
  </si>
  <si>
    <t xml:space="preserve">Voz ou lista por área</t>
  </si>
  <si>
    <t xml:space="preserve">Cargos comuns da área (aba Tarefas por área)</t>
  </si>
  <si>
    <t xml:space="preserve">'Não tinha nome': pergunta o que fazia.</t>
  </si>
  <si>
    <t xml:space="preserve">Cargo. Cargo de profissão regulada só entra com o registro.</t>
  </si>
  <si>
    <t xml:space="preserve">Match: função</t>
  </si>
  <si>
    <t xml:space="preserve">Experiência: início</t>
  </si>
  <si>
    <t xml:space="preserve">Quando você começou?</t>
  </si>
  <si>
    <t xml:space="preserve">Toque em mês e ano</t>
  </si>
  <si>
    <t xml:space="preserve">Seletor de mês e ano</t>
  </si>
  <si>
    <t xml:space="preserve">'Não lembro': 'foi há quantos anos?'</t>
  </si>
  <si>
    <t xml:space="preserve">Data aproximada.</t>
  </si>
  <si>
    <t xml:space="preserve">Match: experiência</t>
  </si>
  <si>
    <t xml:space="preserve">Experiência: fim</t>
  </si>
  <si>
    <t xml:space="preserve">Quando você saiu?</t>
  </si>
  <si>
    <t xml:space="preserve">Seletor; Ainda trabalho aqui</t>
  </si>
  <si>
    <t xml:space="preserve">Mesmo caminho do início.</t>
  </si>
  <si>
    <t xml:space="preserve">Período e tempo total.</t>
  </si>
  <si>
    <t xml:space="preserve">Experiência: dia a dia</t>
  </si>
  <si>
    <t xml:space="preserve">O que você fazia no dia a dia?</t>
  </si>
  <si>
    <t xml:space="preserve">Marcar tarefas e falar livre</t>
  </si>
  <si>
    <t xml:space="preserve">Tarefas da área (aba Tarefas por área)</t>
  </si>
  <si>
    <t xml:space="preserve">'Não sei dizer': o sistema mostra exemplos para tocar.</t>
  </si>
  <si>
    <t xml:space="preserve">De 3 a 5 frases curtas, com o verbo no passado.</t>
  </si>
  <si>
    <t xml:space="preserve">Match: habilidades</t>
  </si>
  <si>
    <t xml:space="preserve">Experiência: ferramentas</t>
  </si>
  <si>
    <t xml:space="preserve">Que máquinas, programas ou ferramentas você usava?</t>
  </si>
  <si>
    <t xml:space="preserve">Marcar</t>
  </si>
  <si>
    <t xml:space="preserve">Ferramentas da área</t>
  </si>
  <si>
    <t xml:space="preserve">'Nenhuma'.</t>
  </si>
  <si>
    <t xml:space="preserve">Uma linha de ferramentas.</t>
  </si>
  <si>
    <t xml:space="preserve">Match: ferramentas</t>
  </si>
  <si>
    <t xml:space="preserve">Experiência: público</t>
  </si>
  <si>
    <t xml:space="preserve">Você atendia clientes? Mais ou menos quantos por dia?</t>
  </si>
  <si>
    <t xml:space="preserve">Toque em faixa</t>
  </si>
  <si>
    <t xml:space="preserve">Não atendia; até 10; de 10 a 50; mais de 50</t>
  </si>
  <si>
    <t xml:space="preserve">Uma frase de volume de atendimento.</t>
  </si>
  <si>
    <t xml:space="preserve">Match: contato com o público</t>
  </si>
  <si>
    <t xml:space="preserve">Experiência: resultado</t>
  </si>
  <si>
    <t xml:space="preserve">Teve algum resultado que te orgulha?</t>
  </si>
  <si>
    <t xml:space="preserve">Marcar ou falar</t>
  </si>
  <si>
    <t xml:space="preserve">Vendi mais; Nunca faltei; Reduzi perda; Entreguei no prazo; Fui elogiado; Treinei colega; Outro (falar)</t>
  </si>
  <si>
    <t xml:space="preserve">'Não': pula.</t>
  </si>
  <si>
    <t xml:space="preserve">Um resultado em uma frase, sem número inventado.</t>
  </si>
  <si>
    <t xml:space="preserve">Destaque do currículo</t>
  </si>
  <si>
    <t xml:space="preserve">Experiência: aprendi</t>
  </si>
  <si>
    <t xml:space="preserve">O que você aprendeu lá?</t>
  </si>
  <si>
    <t xml:space="preserve">Voz</t>
  </si>
  <si>
    <t xml:space="preserve">Texto livre por voz</t>
  </si>
  <si>
    <t xml:space="preserve">Se travar, mostra exemplos para tocar.</t>
  </si>
  <si>
    <t xml:space="preserve">Uma frase de aprendizado.</t>
  </si>
  <si>
    <t xml:space="preserve">Sugere curso do tema</t>
  </si>
  <si>
    <t xml:space="preserve">Experiência: desenvolvi</t>
  </si>
  <si>
    <t xml:space="preserve">O que você desenvolveu ou melhorou?</t>
  </si>
  <si>
    <t xml:space="preserve">Uma frase.</t>
  </si>
  <si>
    <t xml:space="preserve">Experiência: saída</t>
  </si>
  <si>
    <t xml:space="preserve">Por que você saiu? (só para nós)</t>
  </si>
  <si>
    <t xml:space="preserve">Toque, opcional</t>
  </si>
  <si>
    <t xml:space="preserve">Prefiro não dizer; Acabou o contrato; Mudei de cidade; Quis crescer; Outro</t>
  </si>
  <si>
    <t xml:space="preserve">Nunca aparece no currículo nem vai para a empresa.</t>
  </si>
  <si>
    <t xml:space="preserve">Nada.</t>
  </si>
  <si>
    <t xml:space="preserve">Ajuda a recomendar vaga</t>
  </si>
  <si>
    <t xml:space="preserve">Mais uma</t>
  </si>
  <si>
    <t xml:space="preserve">Tem mais uma experiência?</t>
  </si>
  <si>
    <t xml:space="preserve">Toque</t>
  </si>
  <si>
    <t xml:space="preserve">Sim; Não</t>
  </si>
  <si>
    <t xml:space="preserve">'Sim' volta à etapa 7.</t>
  </si>
  <si>
    <t xml:space="preserve">Buscar na vida</t>
  </si>
  <si>
    <t xml:space="preserve">Vamos procurar na sua vida. Toque nas coisas que você já fez.</t>
  </si>
  <si>
    <t xml:space="preserve">Marcar várias</t>
  </si>
  <si>
    <t xml:space="preserve">Administrativo; Mecânica; Logística; Vendas; Atendimento; Cozinha; Cuidados; Reparos e obra; Campo; Tecnologia; Liderar grupo</t>
  </si>
  <si>
    <t xml:space="preserve">Se não marcar nada: mostra 'curso para começar'.</t>
  </si>
  <si>
    <t xml:space="preserve">Buscar: administrativo</t>
  </si>
  <si>
    <t xml:space="preserve">Já organizou documentos, agenda, caixa ou lista de pessoas para alguém?</t>
  </si>
  <si>
    <t xml:space="preserve">Sim ou não</t>
  </si>
  <si>
    <t xml:space="preserve">'Sim': pergunta o que fazia, por quanto tempo e o que aprendeu.</t>
  </si>
  <si>
    <t xml:space="preserve">Experiência informal em organização e atendimento administrativo.</t>
  </si>
  <si>
    <t xml:space="preserve">Curso: Excel do zero</t>
  </si>
  <si>
    <t xml:space="preserve">Buscar: mecânica</t>
  </si>
  <si>
    <t xml:space="preserve">Já consertou moto, bicicleta, carro, celular ou aparelho?</t>
  </si>
  <si>
    <t xml:space="preserve">Mesmas três perguntas.</t>
  </si>
  <si>
    <t xml:space="preserve">Experiência informal em manutenção.</t>
  </si>
  <si>
    <t xml:space="preserve">Curso: Mecânica de motos ou Mecânica automotiva básica (parceiro)</t>
  </si>
  <si>
    <t xml:space="preserve">Buscar: logística</t>
  </si>
  <si>
    <t xml:space="preserve">Já entregou, separou ou carregou mercadoria?</t>
  </si>
  <si>
    <t xml:space="preserve">Experiência informal em logística.</t>
  </si>
  <si>
    <t xml:space="preserve">Curso: Logística e estoque</t>
  </si>
  <si>
    <t xml:space="preserve">Buscar: vendas</t>
  </si>
  <si>
    <t xml:space="preserve">Já vendeu alguma coisa: roupa, doce, produto pela internet, na feira?</t>
  </si>
  <si>
    <t xml:space="preserve">Experiência informal em vendas.</t>
  </si>
  <si>
    <t xml:space="preserve">Curso: Vendas para quem está começando</t>
  </si>
  <si>
    <t xml:space="preserve">Buscar: atendimento</t>
  </si>
  <si>
    <t xml:space="preserve">Já atendeu público em balcão, lanchonete, igreja, escola ou evento?</t>
  </si>
  <si>
    <t xml:space="preserve">Experiência informal em atendimento.</t>
  </si>
  <si>
    <t xml:space="preserve">Curso: Atendimento de balcão</t>
  </si>
  <si>
    <t xml:space="preserve">Buscar: cozinha</t>
  </si>
  <si>
    <t xml:space="preserve">Já cozinhou para outras pessoas, no negócio da família ou em evento?</t>
  </si>
  <si>
    <t xml:space="preserve">Experiência informal em cozinha.</t>
  </si>
  <si>
    <t xml:space="preserve">Curso: Boas práticas de manipulação de alimentos</t>
  </si>
  <si>
    <t xml:space="preserve">Buscar: cuidados</t>
  </si>
  <si>
    <t xml:space="preserve">Já cuidou de criança, idoso ou pessoa doente?</t>
  </si>
  <si>
    <t xml:space="preserve">Experiência informal em cuidados.</t>
  </si>
  <si>
    <t xml:space="preserve">Curso: Cuidador de idosos (parceiro)</t>
  </si>
  <si>
    <t xml:space="preserve">Buscar: reparos e obra</t>
  </si>
  <si>
    <t xml:space="preserve">Já ajudou em obra, pintura, elétrica ou hidráulica?</t>
  </si>
  <si>
    <t xml:space="preserve">Experiência informal em reparos.</t>
  </si>
  <si>
    <t xml:space="preserve">Curso: Segurança em obra: noções (não substitui NR)</t>
  </si>
  <si>
    <t xml:space="preserve">Buscar: campo</t>
  </si>
  <si>
    <t xml:space="preserve">Já trabalhou com plantação, horta ou criação de animais?</t>
  </si>
  <si>
    <t xml:space="preserve">Experiência informal no campo.</t>
  </si>
  <si>
    <t xml:space="preserve">Curso: Boas práticas no campo</t>
  </si>
  <si>
    <t xml:space="preserve">Buscar: tecnologia</t>
  </si>
  <si>
    <t xml:space="preserve">Já usou computador, planilha, redes sociais ou Canva para algum trabalho?</t>
  </si>
  <si>
    <t xml:space="preserve">Experiência informal digital.</t>
  </si>
  <si>
    <t xml:space="preserve">Curso: Informática básica no celular e no computador</t>
  </si>
  <si>
    <t xml:space="preserve">Buscar: liderança</t>
  </si>
  <si>
    <t xml:space="preserve">Já liderou um grupo: time, escola, igreja, evento?</t>
  </si>
  <si>
    <t xml:space="preserve">Experiência informal de liderança.</t>
  </si>
  <si>
    <t xml:space="preserve">Curso: Liderança para quem vai ser chefe pela primeira vez</t>
  </si>
  <si>
    <t xml:space="preserve">Formação</t>
  </si>
  <si>
    <t xml:space="preserve">Até onde você estudou? Já fez algum curso?</t>
  </si>
  <si>
    <t xml:space="preserve">Escolaridade; cursos feitos; certificados do Vem Trabalhar entram sozinhos</t>
  </si>
  <si>
    <t xml:space="preserve">Formação e cursos.</t>
  </si>
  <si>
    <t xml:space="preserve">Match: escolaridade</t>
  </si>
  <si>
    <t xml:space="preserve">Marque até 8 coisas que você faz bem.</t>
  </si>
  <si>
    <t xml:space="preserve">Sugestões tiradas do que a pessoa já disse</t>
  </si>
  <si>
    <t xml:space="preserve">Lista de habilidades.</t>
  </si>
  <si>
    <t xml:space="preserve">Você fala outro idioma?</t>
  </si>
  <si>
    <t xml:space="preserve">Nenhum; básico; médio; fluente</t>
  </si>
  <si>
    <t xml:space="preserve">Idiomas e nível.</t>
  </si>
  <si>
    <t xml:space="preserve">Match: idiomas</t>
  </si>
  <si>
    <t xml:space="preserve">Apresentação</t>
  </si>
  <si>
    <t xml:space="preserve">Escolha como quer se apresentar.</t>
  </si>
  <si>
    <t xml:space="preserve">Toque em uma de 3 versões</t>
  </si>
  <si>
    <t xml:space="preserve">Simples; Firme; Caloroso</t>
  </si>
  <si>
    <t xml:space="preserve">A pessoa pode pedir por voz outra versão.</t>
  </si>
  <si>
    <t xml:space="preserve">Resumo de 2 a 3 linhas.</t>
  </si>
  <si>
    <t xml:space="preserve">Modelo e cor</t>
  </si>
  <si>
    <t xml:space="preserve">Escolha o modelo e a cor do seu currículo.</t>
  </si>
  <si>
    <t xml:space="preserve">26 modelos; 9 cores (aba Currículos)</t>
  </si>
  <si>
    <t xml:space="preserve">O sistema sugere o modelo da área.</t>
  </si>
  <si>
    <t xml:space="preserve">Layout.</t>
  </si>
  <si>
    <t xml:space="preserve">Aba Currículos</t>
  </si>
  <si>
    <t xml:space="preserve">Ouvir</t>
  </si>
  <si>
    <t xml:space="preserve">Quer ouvir seu currículo antes de salvar?</t>
  </si>
  <si>
    <t xml:space="preserve">Ouvir; Salvar</t>
  </si>
  <si>
    <t xml:space="preserve">Acessibilidade</t>
  </si>
  <si>
    <t xml:space="preserve">Salvar e mostrar</t>
  </si>
  <si>
    <t xml:space="preserve">Seu currículo está pronto.</t>
  </si>
  <si>
    <t xml:space="preserve">Ver na tela; Baixar PDF; Compartilhar link</t>
  </si>
  <si>
    <t xml:space="preserve">Na semana de teste: só ver na tela. Baixar libera com o pagamento.</t>
  </si>
  <si>
    <t xml:space="preserve">PDF com link e QR.</t>
  </si>
  <si>
    <t xml:space="preserve">Preço e plano (aba Leia primeiro)</t>
  </si>
  <si>
    <t xml:space="preserve">Próximo passo</t>
  </si>
  <si>
    <t xml:space="preserve">Para ter mais chances, faça este curso (depois de tudo pronto, no máximo 3 sugestões, com o motivo).</t>
  </si>
  <si>
    <t xml:space="preserve">Fazer agora; Ver depois</t>
  </si>
  <si>
    <t xml:space="preserve">Curso livre nosso vem primeiro; curso de parceiro leva a etiqueta.</t>
  </si>
  <si>
    <t xml:space="preserve">Aba Ideias de cursos e Parcerias</t>
  </si>
  <si>
    <t xml:space="preserve">Regras da entrevista</t>
  </si>
  <si>
    <t xml:space="preserve">O sistema só escreve o que a pessoa disse. Datas, empresas e números nunca são inventados ou 'melhorados'.</t>
  </si>
  <si>
    <t xml:space="preserve">Tudo que a pessoa falar aparece escrito para ela confirmar antes de entrar no currículo. O áudio é apagado depois de virar texto.</t>
  </si>
  <si>
    <t xml:space="preserve">Não pergunta idade, estado civil, filhos, foto, saúde, religião nem cor. Foto da pessoa só se ela quiser, e nunca criada por IA.</t>
  </si>
  <si>
    <t xml:space="preserve">Tempo parado entre empregos não é cobrado nem destacado. O motivo da saída fica só com a pessoa.</t>
  </si>
  <si>
    <t xml:space="preserve">Trabalho informal, bico, ajuda em negócio da família e voluntariado valem como experiência.</t>
  </si>
  <si>
    <t xml:space="preserve">Cargo de profissão regulada (por exemplo, enfermagem) só aparece se a pessoa tiver o registro. O sistema avisa em vez de escrever.</t>
  </si>
  <si>
    <t xml:space="preserve">A pessoa pode parar e voltar: o que respondeu fica salvo.</t>
  </si>
  <si>
    <t xml:space="preserve">O curso oferecido no fim vem do que a pessoa disse. Primeiro o curso livre nosso; o de parceiro leva a etiqueta 'Parceiro'.</t>
  </si>
  <si>
    <t xml:space="preserve">Tarefas, ferramentas e habilidades por área (as bolinhas de tocar)</t>
  </si>
  <si>
    <t xml:space="preserve">A pessoa toca no que fazia, em vez de digitar. O sistema usa as mesmas listas no currículo e no match.</t>
  </si>
  <si>
    <t xml:space="preserve">Área</t>
  </si>
  <si>
    <t xml:space="preserve">Cargos comuns</t>
  </si>
  <si>
    <t xml:space="preserve">Tarefas do dia a dia</t>
  </si>
  <si>
    <t xml:space="preserve">Ferramentas</t>
  </si>
  <si>
    <t xml:space="preserve">Cursos que combinam</t>
  </si>
  <si>
    <t xml:space="preserve">Administrativa</t>
  </si>
  <si>
    <t xml:space="preserve">Auxiliar administrativo; Recepcionista; Assistente financeiro; Secretário ou secretária; Auxiliar de escritório</t>
  </si>
  <si>
    <t xml:space="preserve">Atender telefone e e-mail; Organizar documentos e arquivos; Lançar notas e contas; Controlar agenda; Preparar planilhas e relatórios; Receber visitas; Fazer pedidos de material; Conferir pagamentos</t>
  </si>
  <si>
    <t xml:space="preserve">Excel; Word; WhatsApp comercial; Sistema de gestão; E-mail</t>
  </si>
  <si>
    <t xml:space="preserve">Organização; Atenção a detalhes; Escrita; Responsabilidade</t>
  </si>
  <si>
    <t xml:space="preserve">Excel do zero; Informática básica no celular e no computador; Comunicação e escrita profissional; Recepcionista</t>
  </si>
  <si>
    <t xml:space="preserve">Mecânica de carro e moto</t>
  </si>
  <si>
    <t xml:space="preserve">Ajudante de mecânico; Mecânico; Auxiliar de oficina; Borracheiro; Eletricista automotivo</t>
  </si>
  <si>
    <t xml:space="preserve">Trocar óleo e filtros; Fazer revisão; Trocar pastilhas e freios; Diagnosticar barulho ou falha; Atender o cliente e explicar o serviço; Fazer orçamento; Limpar e organizar a oficina; Usar scanner</t>
  </si>
  <si>
    <t xml:space="preserve">Chaves e ferramentas manuais; Elevador; Scanner; Multímetro</t>
  </si>
  <si>
    <t xml:space="preserve">Diagnóstico; Cuidado com segurança; Atendimento; Organização</t>
  </si>
  <si>
    <t xml:space="preserve">Mecânica de motos (escola parceira); Mecânica automotiva básica (parceiro); Atendimento de balcão</t>
  </si>
  <si>
    <t xml:space="preserve">Auxiliar de estoque; Conferente; Separador de pedidos; Estoquista; Auxiliar de expedição</t>
  </si>
  <si>
    <t xml:space="preserve">Receber e conferir mercadoria; Separar pedidos; Organizar o estoque; Fazer inventário; Carregar e descarregar; Emitir etiquetas; Controlar entrada e saída</t>
  </si>
  <si>
    <t xml:space="preserve">Coletor de dados; Paleteira; Empilhadeira (com habilitação); Sistema de estoque; Planilha</t>
  </si>
  <si>
    <t xml:space="preserve">Atenção; Organização; Pontualidade; Resistência</t>
  </si>
  <si>
    <t xml:space="preserve">Logística e estoque; Conferência e separação de pedidos; Almoxarifado; Operador de empilhadeira (parceiro)</t>
  </si>
  <si>
    <t xml:space="preserve">Vendas e comércio</t>
  </si>
  <si>
    <t xml:space="preserve">Vendedor; Balconista; Promotor de vendas; Repositor; Vendedor externo</t>
  </si>
  <si>
    <t xml:space="preserve">Atender e oferecer produtos; Montar vitrine e repor mercadoria; Fazer orçamento; Fechar venda; Fazer pós-venda pelo WhatsApp; Bater meta; Procurar novos clientes; Responder redes sociais</t>
  </si>
  <si>
    <t xml:space="preserve">Maquininha; Sistema de vendas; WhatsApp comercial; Instagram; Canva</t>
  </si>
  <si>
    <t xml:space="preserve">Comunicação; Persuasão; Paciência; Organização</t>
  </si>
  <si>
    <t xml:space="preserve">Vendas para quem está começando; Vender pelas redes sociais; Atendimento ao cliente por WhatsApp</t>
  </si>
  <si>
    <t xml:space="preserve">Atendimento e caixa</t>
  </si>
  <si>
    <t xml:space="preserve">Atendente; Operador de caixa; Recepcionista; Atendente de telemarketing; Frentista</t>
  </si>
  <si>
    <t xml:space="preserve">Receber e atender o cliente; Operar o caixa e dar troco; Resolver reclamação; Atender telefone; Fechar o caixa; Cadastrar clientes; Orientar sobre produtos; Atender pelo WhatsApp</t>
  </si>
  <si>
    <t xml:space="preserve">Sistema de caixa; Maquininha; Telefone; WhatsApp</t>
  </si>
  <si>
    <t xml:space="preserve">Educação; Calma; Matemática básica; Agilidade</t>
  </si>
  <si>
    <t xml:space="preserve">Atendimento de balcão; Operador de caixa; Como lidar com cliente difícil</t>
  </si>
  <si>
    <t xml:space="preserve">Cozinha e salão</t>
  </si>
  <si>
    <t xml:space="preserve">Auxiliar de cozinha; Cozinheiro; Garçom; Copeiro; Pizzaiolo; Barista; Atendente de lanchonete; Padeiro</t>
  </si>
  <si>
    <t xml:space="preserve">Preparar ingredientes; Cozinhar pratos; Montar pratos e marmitas; Servir mesas; Anotar pedidos; Limpar e higienizar; Receber e guardar mercadoria; Atender delivery</t>
  </si>
  <si>
    <t xml:space="preserve">Fogão e forno; Chapa; Comanda e sistema; Maquininha</t>
  </si>
  <si>
    <t xml:space="preserve">Higiene; Rapidez; Trabalho em equipe; Organização</t>
  </si>
  <si>
    <t xml:space="preserve">Garçom e atendimento no salão; Boas práticas de manipulação de alimentos; Auxiliar de cozinha (parceiro); Montagem e entrega de marmita e delivery</t>
  </si>
  <si>
    <t xml:space="preserve">Construção e reparos</t>
  </si>
  <si>
    <t xml:space="preserve">Ajudante de pedreiro; Pedreiro; Pintor; Eletricista; Encanador; Servente</t>
  </si>
  <si>
    <t xml:space="preserve">Preparar massa e material; Assentar tijolo e piso; Pintar paredes; Fazer instalações elétricas; Fazer instalações hidráulicas; Medir e fazer orçamento; Limpar a obra; Seguir regras de segurança</t>
  </si>
  <si>
    <t xml:space="preserve">Colher e nível; Furadeira; Multímetro; Trena; Equipamento de proteção</t>
  </si>
  <si>
    <t xml:space="preserve">Força; Atenção; Segurança; Medidas</t>
  </si>
  <si>
    <t xml:space="preserve">Segurança em obra: noções (não substitui NR); Orçamento de pequenas obras; Pintura de parede; Instalação hidráulica básica; Eletricista predial (parceiro)</t>
  </si>
  <si>
    <t xml:space="preserve">Campo e agro</t>
  </si>
  <si>
    <t xml:space="preserve">Trabalhador rural; Tratorista; Ordenhador; Auxiliar de granja; Caseiro</t>
  </si>
  <si>
    <t xml:space="preserve">Plantar e colher; Cuidar de animais; Ordenhar; Operar trator; Irrigar; Aplicar insumos com segurança; Vender a produção; Cuidar de cerca e instalações</t>
  </si>
  <si>
    <t xml:space="preserve">Trator; Ferramentas agrícolas; Irrigação; Celular para vendas</t>
  </si>
  <si>
    <t xml:space="preserve">Resistência; Observação; Responsabilidade</t>
  </si>
  <si>
    <t xml:space="preserve">Boas práticas no campo; Gestão da propriedade rural; Vendas diretas do produtor (feira e WhatsApp); Operador de máquinas agrícolas (parceiro)</t>
  </si>
  <si>
    <t xml:space="preserve">Cuidados e saúde</t>
  </si>
  <si>
    <t xml:space="preserve">Cuidador; Recepcionista de clínica; Babá; Auxiliar de saúde (profissão regulada: só com registro)</t>
  </si>
  <si>
    <t xml:space="preserve">Acompanhar a rotina; Dar medicamento conforme a receita; Ajudar na higiene e no conforto; Atender e agendar pacientes; Organizar fichas; Preparar o ambiente; Aplicar primeiros socorros; Conversar com a família</t>
  </si>
  <si>
    <t xml:space="preserve">Termômetro; Aparelho de pressão; Sistema de agenda</t>
  </si>
  <si>
    <t xml:space="preserve">Paciência; Empatia; Atenção</t>
  </si>
  <si>
    <t xml:space="preserve">Cuidador de idosos (parceiro); Primeiros socorros no trabalho; Recepção em clínicas; Técnico de enfermagem (escola parceira)</t>
  </si>
  <si>
    <t xml:space="preserve">Beleza e estética</t>
  </si>
  <si>
    <t xml:space="preserve">Cabeleireiro; Manicure; Barbeiro; Recepcionista de salão; Maquiador</t>
  </si>
  <si>
    <t xml:space="preserve">Cortar cabelo; Fazer unhas; Atender e agendar clientes; Higienizar ferramentas; Vender produtos; Divulgar no Instagram; Controlar o caixa; Montar combos de serviço</t>
  </si>
  <si>
    <t xml:space="preserve">Tesoura e máquina; Secador; Agenda; Instagram</t>
  </si>
  <si>
    <t xml:space="preserve">Cuidado; Criatividade; Atendimento</t>
  </si>
  <si>
    <t xml:space="preserve">Atendimento em salão de beleza; Instagram para negócios; Preço de venda e lucro</t>
  </si>
  <si>
    <t xml:space="preserve">Tecnologia e escritório digital</t>
  </si>
  <si>
    <t xml:space="preserve">Suporte técnico; Assistente de TI; Designer júnior; Social media; Editor de vídeo</t>
  </si>
  <si>
    <t xml:space="preserve">Instalar e configurar computadores; Atender chamados; Criar artes no Canva; Postar e responder redes; Editar vídeos; Montar planilhas; Cuidar de segurança e senhas; Montar sites simples</t>
  </si>
  <si>
    <t xml:space="preserve">Windows; Canva; Excel; Editor de vídeo no celular; WhatsApp Business</t>
  </si>
  <si>
    <t xml:space="preserve">Lógica; Curiosidade; Comunicação</t>
  </si>
  <si>
    <t xml:space="preserve">Suporte técnico em informática; Canva para quem nunca usou; Edição de vídeo no celular; Criação de site simples; Lógica de programação para iniciantes</t>
  </si>
  <si>
    <t xml:space="preserve">Serviços gerais e limpeza</t>
  </si>
  <si>
    <t xml:space="preserve">Diarista; Auxiliar de limpeza; Zelador; Porteiro; Jardineiro; Ajudante geral</t>
  </si>
  <si>
    <t xml:space="preserve">Limpar e organizar ambientes; Lavar e passar roupa; Cuidar do jardim; Controlar a entrada de pessoas; Fazer pequenos reparos; Receber encomendas; Comprar material de limpeza; Cuidar do patrimônio</t>
  </si>
  <si>
    <t xml:space="preserve">Produtos de limpeza; Máquinas de limpeza; Ferramentas manuais</t>
  </si>
  <si>
    <t xml:space="preserve">Confiança; Disciplina; Pontualidade</t>
  </si>
  <si>
    <t xml:space="preserve">Segurança no trabalho: noções (não substitui NR); Organização do tempo; Primeiro emprego: rotina, direitos e deveres</t>
  </si>
  <si>
    <t xml:space="preserve">Motorista e entregas</t>
  </si>
  <si>
    <t xml:space="preserve">Motorista; Entregador de moto; Motorista de aplicativo; Motoboy</t>
  </si>
  <si>
    <t xml:space="preserve">Entregar pedidos no prazo; Planejar rotas; Conferir a carga; Atender o cliente na entrega; Cuidar do veículo; Cumprir as regras de trânsito; Registrar entregas; Receber pagamento na entrega</t>
  </si>
  <si>
    <t xml:space="preserve">Moto; Carro; Aplicativo de rota; Maquininha</t>
  </si>
  <si>
    <t xml:space="preserve">Direção segura; Pontualidade; Atendimento</t>
  </si>
  <si>
    <t xml:space="preserve">Entregador de moto e bicicleta: rotina e segurança; Direção defensiva (não substitui curso exigido por lei); Motorista de aplicativo: atendimento e segurança</t>
  </si>
  <si>
    <t xml:space="preserve">Os nomes dos cursos são os da aba Ideias de cursos e Cursos com parceiros. Cargo de profissão regulada só entra no currículo com o registro.</t>
  </si>
  <si>
    <t xml:space="preserve">Modelos de currículo e cores</t>
  </si>
  <si>
    <t xml:space="preserve">26 modelos x 9 paletas. Letra: as do app (Bricolage Grotesque para títulos, Instrument Sans para texto). Leitura automática (ATS) é avaliação nossa.</t>
  </si>
  <si>
    <t xml:space="preserve">Modelos</t>
  </si>
  <si>
    <t xml:space="preserve">Cores</t>
  </si>
  <si>
    <t xml:space="preserve">Combinações</t>
  </si>
  <si>
    <t xml:space="preserve">Modelo</t>
  </si>
  <si>
    <t xml:space="preserve">Estilo</t>
  </si>
  <si>
    <t xml:space="preserve">Colunas</t>
  </si>
  <si>
    <t xml:space="preserve">Páginas</t>
  </si>
  <si>
    <t xml:space="preserve">Para quem</t>
  </si>
  <si>
    <t xml:space="preserve">Destaque</t>
  </si>
  <si>
    <t xml:space="preserve">Leitura automática (ATS)</t>
  </si>
  <si>
    <t xml:space="preserve">Letra</t>
  </si>
  <si>
    <t xml:space="preserve">Claro</t>
  </si>
  <si>
    <t xml:space="preserve">Minimalista, nome centralizado</t>
  </si>
  <si>
    <t xml:space="preserve">Sem foto</t>
  </si>
  <si>
    <t xml:space="preserve">Equilíbrio entre experiência e formação</t>
  </si>
  <si>
    <t xml:space="preserve">Bricolage Grotesque + Instrument Sans</t>
  </si>
  <si>
    <t xml:space="preserve">Direto</t>
  </si>
  <si>
    <t xml:space="preserve">Nome à esquerda com linha de cor</t>
  </si>
  <si>
    <t xml:space="preserve">Experiência primeiro</t>
  </si>
  <si>
    <t xml:space="preserve">Faixa lateral</t>
  </si>
  <si>
    <t xml:space="preserve">Coluna lateral com contatos e habilidades</t>
  </si>
  <si>
    <t xml:space="preserve">Foto opcional</t>
  </si>
  <si>
    <t xml:space="preserve">Atendimento, vendas, administrativo</t>
  </si>
  <si>
    <t xml:space="preserve">Habilidades à vista</t>
  </si>
  <si>
    <t xml:space="preserve">Linha do tempo</t>
  </si>
  <si>
    <t xml:space="preserve">Linha vertical com as experiências</t>
  </si>
  <si>
    <t xml:space="preserve">Quem tem várias experiências</t>
  </si>
  <si>
    <t xml:space="preserve">Trajetória</t>
  </si>
  <si>
    <t xml:space="preserve">Primeiro emprego</t>
  </si>
  <si>
    <t xml:space="preserve">Objetivo, cursos e habilidades no topo</t>
  </si>
  <si>
    <t xml:space="preserve">Quem nunca trabalhou com carteira</t>
  </si>
  <si>
    <t xml:space="preserve">Cursos, projetos, trabalho voluntário e informal</t>
  </si>
  <si>
    <t xml:space="preserve">Operacional</t>
  </si>
  <si>
    <t xml:space="preserve">Disponibilidade e certificados em destaque</t>
  </si>
  <si>
    <t xml:space="preserve">Fábrica, armazém, obra, produção</t>
  </si>
  <si>
    <t xml:space="preserve">NR, CNH, cursos práticos</t>
  </si>
  <si>
    <t xml:space="preserve">Técnico</t>
  </si>
  <si>
    <t xml:space="preserve">Ferramentas e certificações em quadro</t>
  </si>
  <si>
    <t xml:space="preserve">Eletricista, mecânico, técnico</t>
  </si>
  <si>
    <t xml:space="preserve">Equipamentos e certificações</t>
  </si>
  <si>
    <t xml:space="preserve">Atendimento e vendas</t>
  </si>
  <si>
    <t xml:space="preserve">Resultados e idiomas em destaque</t>
  </si>
  <si>
    <t xml:space="preserve">Balcão, caixa, vendas</t>
  </si>
  <si>
    <t xml:space="preserve">Metas batidas, idiomas</t>
  </si>
  <si>
    <t xml:space="preserve">Saúde</t>
  </si>
  <si>
    <t xml:space="preserve">Registro profissional e plantões</t>
  </si>
  <si>
    <t xml:space="preserve">Enfermagem, farmácia, clínicas</t>
  </si>
  <si>
    <t xml:space="preserve">Registro no conselho, especialidades</t>
  </si>
  <si>
    <t xml:space="preserve">Praças, turnos e boas práticas</t>
  </si>
  <si>
    <t xml:space="preserve">Gastronomia e hotelaria</t>
  </si>
  <si>
    <t xml:space="preserve">Praças, manipulação de alimentos</t>
  </si>
  <si>
    <t xml:space="preserve">Máquinas, cultivos e cursos</t>
  </si>
  <si>
    <t xml:space="preserve">Agro e pecuária</t>
  </si>
  <si>
    <t xml:space="preserve">Máquinas, cadeias, cursos</t>
  </si>
  <si>
    <t xml:space="preserve">Motorista e entregador</t>
  </si>
  <si>
    <t xml:space="preserve">CNH, veículos e rotas</t>
  </si>
  <si>
    <t xml:space="preserve">Motoristas, entregadores</t>
  </si>
  <si>
    <t xml:space="preserve">Categoria da CNH, tipos de veículo</t>
  </si>
  <si>
    <t xml:space="preserve">Administrativo</t>
  </si>
  <si>
    <t xml:space="preserve">Sistemas e rotinas</t>
  </si>
  <si>
    <t xml:space="preserve">Escritório, finanças</t>
  </si>
  <si>
    <t xml:space="preserve">Excel, sistemas, rotinas</t>
  </si>
  <si>
    <t xml:space="preserve">Executivo</t>
  </si>
  <si>
    <t xml:space="preserve">Resumo executivo e resultados</t>
  </si>
  <si>
    <t xml:space="preserve">Gerência e direção</t>
  </si>
  <si>
    <t xml:space="preserve">Resultados e liderança</t>
  </si>
  <si>
    <t xml:space="preserve">Criativo</t>
  </si>
  <si>
    <t xml:space="preserve">Mais cor e portfólio</t>
  </si>
  <si>
    <t xml:space="preserve">Design, marketing, moda</t>
  </si>
  <si>
    <t xml:space="preserve">Link do portfólio</t>
  </si>
  <si>
    <t xml:space="preserve">Baixa</t>
  </si>
  <si>
    <t xml:space="preserve">Compacto</t>
  </si>
  <si>
    <t xml:space="preserve">Tudo em uma página, bem enxuto</t>
  </si>
  <si>
    <t xml:space="preserve">Quem quer só o essencial</t>
  </si>
  <si>
    <t xml:space="preserve">Resumo curto</t>
  </si>
  <si>
    <t xml:space="preserve">Foto redonda</t>
  </si>
  <si>
    <t xml:space="preserve">Foto em círculo no topo</t>
  </si>
  <si>
    <t xml:space="preserve">Atendimento ao público</t>
  </si>
  <si>
    <t xml:space="preserve">Apresentação pessoal</t>
  </si>
  <si>
    <t xml:space="preserve">Dois tons</t>
  </si>
  <si>
    <t xml:space="preserve">Faixa colorida no cabeçalho</t>
  </si>
  <si>
    <t xml:space="preserve">Visual</t>
  </si>
  <si>
    <t xml:space="preserve">Moderno</t>
  </si>
  <si>
    <t xml:space="preserve">Etiquetas de habilidades, sem barras</t>
  </si>
  <si>
    <t xml:space="preserve">Tecnologia, atendimento</t>
  </si>
  <si>
    <t xml:space="preserve">Habilidades em etiquetas</t>
  </si>
  <si>
    <t xml:space="preserve">Clássico</t>
  </si>
  <si>
    <t xml:space="preserve">Letra com serifa, formal</t>
  </si>
  <si>
    <t xml:space="preserve">Concursos, jurídico, bancos</t>
  </si>
  <si>
    <t xml:space="preserve">Formal</t>
  </si>
  <si>
    <t xml:space="preserve">Serifada do aparelho (a fonte do app é sem serifa)</t>
  </si>
  <si>
    <t xml:space="preserve">Acadêmico</t>
  </si>
  <si>
    <t xml:space="preserve">Formação, pesquisa e publicações</t>
  </si>
  <si>
    <t xml:space="preserve">Professores e pesquisadores</t>
  </si>
  <si>
    <t xml:space="preserve">Formação e produção</t>
  </si>
  <si>
    <t xml:space="preserve">Estágio e jovem aprendiz</t>
  </si>
  <si>
    <t xml:space="preserve">Escola, cursos e atividades</t>
  </si>
  <si>
    <t xml:space="preserve">Estudantes</t>
  </si>
  <si>
    <t xml:space="preserve">Escola, cursos, atividades</t>
  </si>
  <si>
    <t xml:space="preserve">Autônomo e MEI</t>
  </si>
  <si>
    <t xml:space="preserve">Serviços, clientes e avaliações</t>
  </si>
  <si>
    <t xml:space="preserve">Quem trabalha por conta</t>
  </si>
  <si>
    <t xml:space="preserve">Serviços e clientes atendidos</t>
  </si>
  <si>
    <t xml:space="preserve">Professor</t>
  </si>
  <si>
    <t xml:space="preserve">Formação, turmas e projetos</t>
  </si>
  <si>
    <t xml:space="preserve">Educação</t>
  </si>
  <si>
    <t xml:space="preserve">Turmas e projetos</t>
  </si>
  <si>
    <t xml:space="preserve">Tecnologia</t>
  </si>
  <si>
    <t xml:space="preserve">Projetos, ferramentas e links</t>
  </si>
  <si>
    <t xml:space="preserve">Programação e suporte</t>
  </si>
  <si>
    <t xml:space="preserve">Projetos e ferramentas</t>
  </si>
  <si>
    <t xml:space="preserve">Letra grande</t>
  </si>
  <si>
    <t xml:space="preserve">Letra maior e contraste alto</t>
  </si>
  <si>
    <t xml:space="preserve">Quem tem baixa visão ou lê no celular</t>
  </si>
  <si>
    <t xml:space="preserve">Leitura fácil</t>
  </si>
  <si>
    <t xml:space="preserve">Instrument Sans, tamanho 20% maior</t>
  </si>
  <si>
    <t xml:space="preserve">Cor</t>
  </si>
  <si>
    <t xml:space="preserve">Principal</t>
  </si>
  <si>
    <t xml:space="preserve">Escura</t>
  </si>
  <si>
    <t xml:space="preserve">Clara</t>
  </si>
  <si>
    <t xml:space="preserve">Escura sobre a clara (contraste)</t>
  </si>
  <si>
    <t xml:space="preserve">Principal sobre branco (contraste)</t>
  </si>
  <si>
    <t xml:space="preserve">Texto na cor principal?</t>
  </si>
  <si>
    <t xml:space="preserve">Vermelho</t>
  </si>
  <si>
    <t xml:space="preserve">#B42318</t>
  </si>
  <si>
    <t xml:space="preserve">#7F1D14</t>
  </si>
  <si>
    <t xml:space="preserve">#FDECEA</t>
  </si>
  <si>
    <t xml:space="preserve">#FFC83A</t>
  </si>
  <si>
    <t xml:space="preserve">Texto sempre em cor escura sobre fundo claro (contraste de 4,5 ou mais).</t>
  </si>
  <si>
    <t xml:space="preserve">Laranja</t>
  </si>
  <si>
    <t xml:space="preserve">#C2410C</t>
  </si>
  <si>
    <t xml:space="preserve">#8A2E08</t>
  </si>
  <si>
    <t xml:space="preserve">#FFF1E6</t>
  </si>
  <si>
    <t xml:space="preserve">Amarelo</t>
  </si>
  <si>
    <t xml:space="preserve">#5C4200</t>
  </si>
  <si>
    <t xml:space="preserve">#FFF6D6</t>
  </si>
  <si>
    <t xml:space="preserve">Não: usar só em faixas e detalhes</t>
  </si>
  <si>
    <t xml:space="preserve">Verde</t>
  </si>
  <si>
    <t xml:space="preserve">#1E6B3C</t>
  </si>
  <si>
    <t xml:space="preserve">#123B2B</t>
  </si>
  <si>
    <t xml:space="preserve">#E6F4EA</t>
  </si>
  <si>
    <t xml:space="preserve">Azul</t>
  </si>
  <si>
    <t xml:space="preserve">#1D4ED8</t>
  </si>
  <si>
    <t xml:space="preserve">#1E3A8A</t>
  </si>
  <si>
    <t xml:space="preserve">#E8EEFF</t>
  </si>
  <si>
    <t xml:space="preserve">Roxo</t>
  </si>
  <si>
    <t xml:space="preserve">#6D28D9</t>
  </si>
  <si>
    <t xml:space="preserve">#4C1D95</t>
  </si>
  <si>
    <t xml:space="preserve">#F1E9FE</t>
  </si>
  <si>
    <t xml:space="preserve">Marrom</t>
  </si>
  <si>
    <t xml:space="preserve">#7C4A24</t>
  </si>
  <si>
    <t xml:space="preserve">#4A2A12</t>
  </si>
  <si>
    <t xml:space="preserve">#F7EDE3</t>
  </si>
  <si>
    <t xml:space="preserve">Rosa</t>
  </si>
  <si>
    <t xml:space="preserve">#BE185D</t>
  </si>
  <si>
    <t xml:space="preserve">#831843</t>
  </si>
  <si>
    <t xml:space="preserve">#FDE7F0</t>
  </si>
  <si>
    <t xml:space="preserve">Grafite</t>
  </si>
  <si>
    <t xml:space="preserve">#1F2937</t>
  </si>
  <si>
    <t xml:space="preserve">#111827</t>
  </si>
  <si>
    <t xml:space="preserve">#EEF0F3</t>
  </si>
  <si>
    <t xml:space="preserve">Mesmas cores das logomarcas do Vem Comer. Contraste calculado pela fórmula WCAG (luminância relativa); 4,5 ou mais é o mínimo para texto normal.</t>
  </si>
  <si>
    <t xml:space="preserve">Jeito de ser: 25 frases (Big Five do IPIP)</t>
  </si>
  <si>
    <t xml:space="preserve">Itens do IPIP, de domínio público: podem ser copiados, traduzidos e usados para qualquer fim (ipip.ori.org). A tradução é nossa e precisa de revisão de psicólogo.</t>
  </si>
  <si>
    <t xml:space="preserve">Resposta: 1 discordo muito, 2 discordo, 3 nem um nem outro, 4 concordo, 5 concordo muito. Exemplo: 4. Na tela vira 5 botões; ninguém digita.</t>
  </si>
  <si>
    <t xml:space="preserve">Fator</t>
  </si>
  <si>
    <t xml:space="preserve">Frase</t>
  </si>
  <si>
    <t xml:space="preserve">Sentido</t>
  </si>
  <si>
    <t xml:space="preserve">Resposta (1 a 5)</t>
  </si>
  <si>
    <t xml:space="preserve">Item original (IPIP)</t>
  </si>
  <si>
    <t xml:space="preserve">Média (1 a 5)</t>
  </si>
  <si>
    <t xml:space="preserve">Extroversão</t>
  </si>
  <si>
    <t xml:space="preserve">Sou a alma da festa.</t>
  </si>
  <si>
    <t xml:space="preserve">Normal</t>
  </si>
  <si>
    <t xml:space="preserve">Am the life of the party.</t>
  </si>
  <si>
    <t xml:space="preserve">Sinto-me à vontade perto das pessoas.</t>
  </si>
  <si>
    <t xml:space="preserve">Feel comfortable around people.</t>
  </si>
  <si>
    <t xml:space="preserve">Amabilidade</t>
  </si>
  <si>
    <t xml:space="preserve">Falo pouco.</t>
  </si>
  <si>
    <t xml:space="preserve">Invertido</t>
  </si>
  <si>
    <t xml:space="preserve">Don't talk a lot.</t>
  </si>
  <si>
    <t xml:space="preserve">Responsabilidade</t>
  </si>
  <si>
    <t xml:space="preserve">Fico em segundo plano.</t>
  </si>
  <si>
    <t xml:space="preserve">Keep in the background.</t>
  </si>
  <si>
    <t xml:space="preserve">Calma</t>
  </si>
  <si>
    <t xml:space="preserve">Puxo conversa.</t>
  </si>
  <si>
    <t xml:space="preserve">Start conversations.</t>
  </si>
  <si>
    <t xml:space="preserve">Curiosidade</t>
  </si>
  <si>
    <t xml:space="preserve">Interesso-me pelas pessoas.</t>
  </si>
  <si>
    <t xml:space="preserve">Am interested in people.</t>
  </si>
  <si>
    <t xml:space="preserve">Tenho o coração mole.</t>
  </si>
  <si>
    <t xml:space="preserve">Have a soft heart.</t>
  </si>
  <si>
    <t xml:space="preserve">Média alta (4 a 5), média (3), baixa (1 a 2). Não é nota boa ou ruim: é jeito de ser.</t>
  </si>
  <si>
    <t xml:space="preserve">Não me interesso pelos problemas dos outros.</t>
  </si>
  <si>
    <t xml:space="preserve">Am not interested in other people's problems.</t>
  </si>
  <si>
    <t xml:space="preserve">O fator Calma é o mais sensível: só para a pessoa, nunca aparece para a empresa.</t>
  </si>
  <si>
    <t xml:space="preserve">Reservo tempo para os outros.</t>
  </si>
  <si>
    <t xml:space="preserve">Take time out for others.</t>
  </si>
  <si>
    <t xml:space="preserve">Sinto pouca preocupação com os outros.</t>
  </si>
  <si>
    <t xml:space="preserve">Feel little concern for others.</t>
  </si>
  <si>
    <t xml:space="preserve">Estou sempre preparado.</t>
  </si>
  <si>
    <t xml:space="preserve">Am always prepared.</t>
  </si>
  <si>
    <t xml:space="preserve">Presto atenção aos detalhes.</t>
  </si>
  <si>
    <t xml:space="preserve">Pay attention to details.</t>
  </si>
  <si>
    <t xml:space="preserve">Resolvo as tarefas logo.</t>
  </si>
  <si>
    <t xml:space="preserve">Get chores done right away.</t>
  </si>
  <si>
    <t xml:space="preserve">Sigo um horário.</t>
  </si>
  <si>
    <t xml:space="preserve">Follow a schedule.</t>
  </si>
  <si>
    <t xml:space="preserve">Deixo meus deveres de lado.</t>
  </si>
  <si>
    <t xml:space="preserve">Neglect my duties.</t>
  </si>
  <si>
    <t xml:space="preserve">Fico tranquilo na maior parte do tempo.</t>
  </si>
  <si>
    <t xml:space="preserve">Am relaxed most of the time.</t>
  </si>
  <si>
    <t xml:space="preserve">Estresso-me com facilidade.</t>
  </si>
  <si>
    <t xml:space="preserve">Get stressed out easily.</t>
  </si>
  <si>
    <t xml:space="preserve">Preocupo-me com as coisas.</t>
  </si>
  <si>
    <t xml:space="preserve">Worry about things.</t>
  </si>
  <si>
    <t xml:space="preserve">Raramente me irrito.</t>
  </si>
  <si>
    <t xml:space="preserve">Rarely get irritated.</t>
  </si>
  <si>
    <t xml:space="preserve">Meu humor muda muito.</t>
  </si>
  <si>
    <t xml:space="preserve">Change my mood a lot.</t>
  </si>
  <si>
    <t xml:space="preserve">Tenho muitas ideias boas.</t>
  </si>
  <si>
    <t xml:space="preserve">Have excellent ideas.</t>
  </si>
  <si>
    <t xml:space="preserve">Entendo as coisas rápido.</t>
  </si>
  <si>
    <t xml:space="preserve">Am quick to understand things.</t>
  </si>
  <si>
    <t xml:space="preserve">Tenho dificuldade de entender ideias abstratas.</t>
  </si>
  <si>
    <t xml:space="preserve">Have difficulty understanding abstract ideas.</t>
  </si>
  <si>
    <t xml:space="preserve">Gosto de pensar em jeitos novos de fazer as coisas.</t>
  </si>
  <si>
    <t xml:space="preserve">Love to think up new ways of doing things.</t>
  </si>
  <si>
    <t xml:space="preserve">Tenho vocabulário rico.</t>
  </si>
  <si>
    <t xml:space="preserve">Have a rich vocabulary.</t>
  </si>
  <si>
    <t xml:space="preserve">Interesses de carreira: 18 frases (modelo RIASEC)</t>
  </si>
  <si>
    <t xml:space="preserve">O modelo RIASEC (Holland) é a base do Interest Profiler do O*NET (Creative Commons 4.0, crédito ao Departamento do Trabalho dos EUA). As frases daqui são nossas.</t>
  </si>
  <si>
    <t xml:space="preserve">Resposta: 1 não curto, 2 tanto faz, 3 curto. Exemplo: 3. Na tela vira carinha triste, neutra e feliz.</t>
  </si>
  <si>
    <t xml:space="preserve">Resposta (1 a 3)</t>
  </si>
  <si>
    <t xml:space="preserve">Soma</t>
  </si>
  <si>
    <t xml:space="preserve">Combina com</t>
  </si>
  <si>
    <t xml:space="preserve">Realista (fazer com as mãos)</t>
  </si>
  <si>
    <t xml:space="preserve">Consertar uma máquina, uma moto ou um aparelho.</t>
  </si>
  <si>
    <t xml:space="preserve">Indústria, agro, construção, mecânica, logística</t>
  </si>
  <si>
    <t xml:space="preserve">Trabalhar ao ar livre, no campo ou numa obra.</t>
  </si>
  <si>
    <t xml:space="preserve">Investigativo (entender e descobrir)</t>
  </si>
  <si>
    <t xml:space="preserve">Tecnologia, saúde, qualidade, laboratório, dados</t>
  </si>
  <si>
    <t xml:space="preserve">Montar, instalar ou operar equipamentos.</t>
  </si>
  <si>
    <t xml:space="preserve">Artístico (criar)</t>
  </si>
  <si>
    <t xml:space="preserve">Moda, design, gastronomia, comunicação, eventos</t>
  </si>
  <si>
    <t xml:space="preserve">Descobrir por que uma coisa deu errado.</t>
  </si>
  <si>
    <t xml:space="preserve">Social (ajudar e ensinar)</t>
  </si>
  <si>
    <t xml:space="preserve">Saúde, educação, atendimento, hotelaria, cuidados</t>
  </si>
  <si>
    <t xml:space="preserve">Ler e pesquisar para aprender um assunto a fundo.</t>
  </si>
  <si>
    <t xml:space="preserve">Empreendedor (vender e liderar)</t>
  </si>
  <si>
    <t xml:space="preserve">Vendas, comércio, gerência, MEI e negócio próprio</t>
  </si>
  <si>
    <t xml:space="preserve">Analisar números ou resultados para tirar conclusões.</t>
  </si>
  <si>
    <t xml:space="preserve">Convencional (organizar)</t>
  </si>
  <si>
    <t xml:space="preserve">Administração, finanças, estoque, escritório, recepção</t>
  </si>
  <si>
    <t xml:space="preserve">Desenhar, fotografar, fazer vídeos ou decorar.</t>
  </si>
  <si>
    <t xml:space="preserve">Inventar receitas, roupas, peças ou textos.</t>
  </si>
  <si>
    <t xml:space="preserve">Tipo mais forte</t>
  </si>
  <si>
    <t xml:space="preserve">Montar uma vitrine, um cardápio ou uma página bonita.</t>
  </si>
  <si>
    <t xml:space="preserve">Atender e ajudar pessoas com problemas.</t>
  </si>
  <si>
    <t xml:space="preserve">Ensinar alguém a fazer uma tarefa.</t>
  </si>
  <si>
    <t xml:space="preserve">Cuidar de pessoas: crianças, idosos, pacientes.</t>
  </si>
  <si>
    <t xml:space="preserve">Convencer alguém a comprar ou a topar uma ideia.</t>
  </si>
  <si>
    <t xml:space="preserve">Liderar um grupo para bater uma meta.</t>
  </si>
  <si>
    <t xml:space="preserve">Abrir ou tocar o meu próprio negócio.</t>
  </si>
  <si>
    <t xml:space="preserve">Organizar documentos, estoque ou agenda.</t>
  </si>
  <si>
    <t xml:space="preserve">Lançar dados e conferir contas com cuidado.</t>
  </si>
  <si>
    <t xml:space="preserve">Seguir um passo a passo sempre do mesmo jeito.</t>
  </si>
  <si>
    <t xml:space="preserve">Desempenho do funcionário: 16 frases</t>
  </si>
  <si>
    <t xml:space="preserve">Uma versão para o próprio funcionário e outra para o gestor (a frase passa de 'eu' para 'essa pessoa'). Serve para desenvolver, com conversa, e não para decidir demissão sozinha.</t>
  </si>
  <si>
    <t xml:space="preserve">Resposta: 1 ainda não, 2 às vezes, 3 quase sempre, 4 sempre. Exemplo: 3. O funcionário sabe que está sendo avaliado e vê o resultado.</t>
  </si>
  <si>
    <t xml:space="preserve">Competência</t>
  </si>
  <si>
    <t xml:space="preserve">Eu (1 a 4)</t>
  </si>
  <si>
    <t xml:space="preserve">Gestor (1 a 4)</t>
  </si>
  <si>
    <t xml:space="preserve">Eu</t>
  </si>
  <si>
    <t xml:space="preserve">Gestor</t>
  </si>
  <si>
    <t xml:space="preserve">Diferença</t>
  </si>
  <si>
    <t xml:space="preserve">Qualidade do trabalho</t>
  </si>
  <si>
    <t xml:space="preserve">Entrego o trabalho como combinado.</t>
  </si>
  <si>
    <t xml:space="preserve">Confiro o meu trabalho antes de entregar.</t>
  </si>
  <si>
    <t xml:space="preserve">Pontualidade e prazos</t>
  </si>
  <si>
    <t xml:space="preserve">Chego no horário e aviso quando não puder vir.</t>
  </si>
  <si>
    <t xml:space="preserve">Cumpro os prazos que combinei.</t>
  </si>
  <si>
    <t xml:space="preserve">Atendimento</t>
  </si>
  <si>
    <t xml:space="preserve">Ajudo os colegas quando precisam.</t>
  </si>
  <si>
    <t xml:space="preserve">Iniciativa</t>
  </si>
  <si>
    <t xml:space="preserve">Aceito pedir ajuda e receber orientação.</t>
  </si>
  <si>
    <t xml:space="preserve">Segurança e normas</t>
  </si>
  <si>
    <t xml:space="preserve">Trato bem o cliente mesmo num dia difícil.</t>
  </si>
  <si>
    <t xml:space="preserve">Resolvo o problema do cliente ou levo a quem resolve.</t>
  </si>
  <si>
    <t xml:space="preserve">Aprendizado</t>
  </si>
  <si>
    <t xml:space="preserve">Vejo o que precisa ser feito sem esperar ordem.</t>
  </si>
  <si>
    <t xml:space="preserve">Sugiro melhorias no meu trabalho.</t>
  </si>
  <si>
    <t xml:space="preserve">Diferença positiva: o gestor vê mais do que a pessoa. Negativa: a pessoa se vê melhor. A conversa começa por aí. Cada competência liga a um curso.</t>
  </si>
  <si>
    <t xml:space="preserve">Uso os equipamentos de proteção e sigo as regras de segurança.</t>
  </si>
  <si>
    <t xml:space="preserve">Mantenho meu posto limpo e organizado.</t>
  </si>
  <si>
    <t xml:space="preserve">Explico com clareza o que preciso ou o que aconteceu.</t>
  </si>
  <si>
    <t xml:space="preserve">Escuto até o fim antes de responder.</t>
  </si>
  <si>
    <t xml:space="preserve">Aprendo com os erros e não repito.</t>
  </si>
  <si>
    <t xml:space="preserve">Procuro aprender coisas novas para o trabalho.</t>
  </si>
  <si>
    <t xml:space="preserve">Só o que ainda é usado: os dois testes. Catálogos de cursos de terceiros e dados regionais ficaram de fora, por decisão do GD em 06/10/2026.</t>
  </si>
  <si>
    <t xml:space="preserve">Fonte</t>
  </si>
  <si>
    <t xml:space="preserve">Endereço</t>
  </si>
  <si>
    <t xml:space="preserve">O que usei</t>
  </si>
  <si>
    <t xml:space="preserve">Como obtive</t>
  </si>
  <si>
    <t xml:space="preserve">IPIP (Big Five), licença</t>
  </si>
  <si>
    <t xml:space="preserve">https://ipip.ori.org/</t>
  </si>
  <si>
    <t xml:space="preserve">Itens e escalas em domínio público: uso e tradução livres, inclusive comercial</t>
  </si>
  <si>
    <t xml:space="preserve">Página aberta em 06/10/2026</t>
  </si>
  <si>
    <t xml:space="preserve">IPIP: marcadores Big Five</t>
  </si>
  <si>
    <t xml:space="preserve">https://ipip.ori.org/newBigFive5broadKey.htm</t>
  </si>
  <si>
    <t xml:space="preserve">Lista de itens por fator (as 25 frases da aba Perfil saem daqui)</t>
  </si>
  <si>
    <t xml:space="preserve">O*NET Interest Profiler (RIASEC)</t>
  </si>
  <si>
    <t xml:space="preserve">https://www.onetcenter.org/IP.html</t>
  </si>
  <si>
    <t xml:space="preserve">Licença Creative Commons 4.0 (crédito ao Departamento do Trabalho dos EUA). Usei só o modelo; as frases são nossas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</si>
</sst>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#,##0"/>
    <numFmt numFmtId="167" formatCode="General"/>
    <numFmt numFmtId="168" formatCode="0.0"/>
    <numFmt numFmtId="169" formatCode="0.00"/>
    <numFmt numFmtId="170" formatCode="0.000"/>
    <numFmt numFmtId="171" formatCode="\+0.0;\-0.0;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10"/>
      <color rgb="FF4B5563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11827"/>
      <name val="Arial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E5E7EB"/>
        <bgColor rgb="FFE8EEFF"/>
      </patternFill>
    </fill>
    <fill>
      <patternFill patternType="solid">
        <fgColor rgb="FF1F2937"/>
        <bgColor rgb="FF111827"/>
      </patternFill>
    </fill>
    <fill>
      <patternFill patternType="solid">
        <fgColor rgb="FFFFFF99"/>
        <bgColor rgb="FFFFF6D6"/>
      </patternFill>
    </fill>
    <fill>
      <patternFill patternType="solid">
        <fgColor rgb="FFB42318"/>
        <bgColor rgb="FFDC2626"/>
      </patternFill>
    </fill>
    <fill>
      <patternFill patternType="solid">
        <fgColor rgb="FF7F1D14"/>
        <bgColor rgb="FF8A2E08"/>
      </patternFill>
    </fill>
    <fill>
      <patternFill patternType="solid">
        <fgColor rgb="FFFDECEA"/>
        <bgColor rgb="FFF7EDE3"/>
      </patternFill>
    </fill>
    <fill>
      <patternFill patternType="solid">
        <fgColor rgb="FFFFC83A"/>
        <bgColor rgb="FFFF9900"/>
      </patternFill>
    </fill>
    <fill>
      <patternFill patternType="solid">
        <fgColor rgb="FFC2410C"/>
        <bgColor rgb="FFB45309"/>
      </patternFill>
    </fill>
    <fill>
      <patternFill patternType="solid">
        <fgColor rgb="FF8A2E08"/>
        <bgColor rgb="FF7F1D14"/>
      </patternFill>
    </fill>
    <fill>
      <patternFill patternType="solid">
        <fgColor rgb="FFFFF1E6"/>
        <bgColor rgb="FFFDECEA"/>
      </patternFill>
    </fill>
    <fill>
      <patternFill patternType="solid">
        <fgColor rgb="FF5C4200"/>
        <bgColor rgb="FF4A2A12"/>
      </patternFill>
    </fill>
    <fill>
      <patternFill patternType="solid">
        <fgColor rgb="FFFFF6D6"/>
        <bgColor rgb="FFFFF1E6"/>
      </patternFill>
    </fill>
    <fill>
      <patternFill patternType="solid">
        <fgColor rgb="FF1E6B3C"/>
        <bgColor rgb="FF008080"/>
      </patternFill>
    </fill>
    <fill>
      <patternFill patternType="solid">
        <fgColor rgb="FF123B2B"/>
        <bgColor rgb="FF1F2937"/>
      </patternFill>
    </fill>
    <fill>
      <patternFill patternType="solid">
        <fgColor rgb="FFE6F4EA"/>
        <bgColor rgb="FFEEF0F3"/>
      </patternFill>
    </fill>
    <fill>
      <patternFill patternType="solid">
        <fgColor rgb="FF1D4ED8"/>
        <bgColor rgb="FF0563C1"/>
      </patternFill>
    </fill>
    <fill>
      <patternFill patternType="solid">
        <fgColor rgb="FF1E3A8A"/>
        <bgColor rgb="FF1D4ED8"/>
      </patternFill>
    </fill>
    <fill>
      <patternFill patternType="solid">
        <fgColor rgb="FFE8EEFF"/>
        <bgColor rgb="FFEEF0F3"/>
      </patternFill>
    </fill>
    <fill>
      <patternFill patternType="solid">
        <fgColor rgb="FF6D28D9"/>
        <bgColor rgb="FF7C3AED"/>
      </patternFill>
    </fill>
    <fill>
      <patternFill patternType="solid">
        <fgColor rgb="FF4C1D95"/>
        <bgColor rgb="FF6D28D9"/>
      </patternFill>
    </fill>
    <fill>
      <patternFill patternType="solid">
        <fgColor rgb="FFF1E9FE"/>
        <bgColor rgb="FFE8EEFF"/>
      </patternFill>
    </fill>
    <fill>
      <patternFill patternType="solid">
        <fgColor rgb="FF7C4A24"/>
        <bgColor rgb="FF5C4200"/>
      </patternFill>
    </fill>
    <fill>
      <patternFill patternType="solid">
        <fgColor rgb="FF4A2A12"/>
        <bgColor rgb="FF5C4200"/>
      </patternFill>
    </fill>
    <fill>
      <patternFill patternType="solid">
        <fgColor rgb="FFF7EDE3"/>
        <bgColor rgb="FFFDECEA"/>
      </patternFill>
    </fill>
    <fill>
      <patternFill patternType="solid">
        <fgColor rgb="FFBE185D"/>
        <bgColor rgb="FFB42318"/>
      </patternFill>
    </fill>
    <fill>
      <patternFill patternType="solid">
        <fgColor rgb="FF831843"/>
        <bgColor rgb="FF7F1D14"/>
      </patternFill>
    </fill>
    <fill>
      <patternFill patternType="solid">
        <fgColor rgb="FFFDE7F0"/>
        <bgColor rgb="FFFDECEA"/>
      </patternFill>
    </fill>
    <fill>
      <patternFill patternType="solid">
        <fgColor rgb="FF111827"/>
        <bgColor rgb="FF1F2937"/>
      </patternFill>
    </fill>
    <fill>
      <patternFill patternType="solid">
        <fgColor rgb="FFEEF0F3"/>
        <bgColor rgb="FFE8EE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3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BBF7D0"/>
          <bgColor rgb="FF000000"/>
        </patternFill>
      </fill>
    </dxf>
    <dxf>
      <fill>
        <patternFill>
          <bgColor rgb="FFBBF7D0"/>
        </patternFill>
      </fill>
    </dxf>
    <dxf>
      <fill>
        <patternFill>
          <bgColor rgb="FFE5E7EB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1E6"/>
      <rgbColor rgb="FFFF00FF"/>
      <rgbColor rgb="FF00FFFF"/>
      <rgbColor rgb="FF7F1D14"/>
      <rgbColor rgb="FF1E6B3C"/>
      <rgbColor rgb="FF000080"/>
      <rgbColor rgb="FF7C4A24"/>
      <rgbColor rgb="FF6D28D9"/>
      <rgbColor rgb="FF008080"/>
      <rgbColor rgb="FFE5E7EB"/>
      <rgbColor rgb="FF4B5563"/>
      <rgbColor rgb="FFEEF0F3"/>
      <rgbColor rgb="FF831843"/>
      <rgbColor rgb="FFFFF6D6"/>
      <rgbColor rgb="FFE6F4EA"/>
      <rgbColor rgb="FF4C1D95"/>
      <rgbColor rgb="FFC2410C"/>
      <rgbColor rgb="FF0563C1"/>
      <rgbColor rgb="FFD1D5DB"/>
      <rgbColor rgb="FF000080"/>
      <rgbColor rgb="FFFF00FF"/>
      <rgbColor rgb="FFFFFF00"/>
      <rgbColor rgb="FF00FFFF"/>
      <rgbColor rgb="FF7C3AED"/>
      <rgbColor rgb="FFB42318"/>
      <rgbColor rgb="FF008080"/>
      <rgbColor rgb="FF0000FF"/>
      <rgbColor rgb="FF0EA5E9"/>
      <rgbColor rgb="FFE8EEFF"/>
      <rgbColor rgb="FFBBF7D0"/>
      <rgbColor rgb="FFFFFF99"/>
      <rgbColor rgb="FFF1E9FE"/>
      <rgbColor rgb="FFFDECEA"/>
      <rgbColor rgb="FFF7EDE3"/>
      <rgbColor rgb="FFFDE7F0"/>
      <rgbColor rgb="FF1D4ED8"/>
      <rgbColor rgb="FF33CCCC"/>
      <rgbColor rgb="FF99CC00"/>
      <rgbColor rgb="FFFFC83A"/>
      <rgbColor rgb="FFFF9900"/>
      <rgbColor rgb="FFB45309"/>
      <rgbColor rgb="FF6B7280"/>
      <rgbColor rgb="FF969696"/>
      <rgbColor rgb="FF111827"/>
      <rgbColor rgb="FF5C4200"/>
      <rgbColor rgb="FF123B2B"/>
      <rgbColor rgb="FF4A2A12"/>
      <rgbColor rgb="FF8A2E08"/>
      <rgbColor rgb="FFBE185D"/>
      <rgbColor rgb="FF1E3A8A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hyperlink" Target="https://ipip.ori.org/" TargetMode="External"/><Relationship Id="rId2" Type="http://schemas.openxmlformats.org/officeDocument/2006/relationships/hyperlink" Target="https://ipip.ori.org/newBigFive5broadKey.htm" TargetMode="External"/><Relationship Id="rId3" Type="http://schemas.openxmlformats.org/officeDocument/2006/relationships/hyperlink" Target="https://www.onetcenter.org/IP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937"/>
    <pageSetUpPr fitToPage="true"/>
  </sheetPr>
  <dimension ref="A1:D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</row>
    <row r="5" customFormat="false" ht="30" hidden="false" customHeight="true" outlineLevel="0" collapsed="false">
      <c r="A5" s="5" t="s">
        <v>3</v>
      </c>
      <c r="B5" s="5"/>
      <c r="C5" s="5"/>
      <c r="D5" s="5"/>
    </row>
    <row r="7" customFormat="false" ht="15" hidden="false" customHeight="false" outlineLevel="0" collapsed="false">
      <c r="A7" s="3" t="s">
        <v>4</v>
      </c>
      <c r="B7" s="4"/>
      <c r="C7" s="4"/>
      <c r="D7" s="4"/>
    </row>
    <row r="8" customFormat="false" ht="27.75" hidden="false" customHeight="true" outlineLevel="0" collapsed="false">
      <c r="A8" s="5" t="s">
        <v>5</v>
      </c>
      <c r="B8" s="5"/>
      <c r="C8" s="5"/>
      <c r="D8" s="5"/>
    </row>
    <row r="9" customFormat="false" ht="27.75" hidden="false" customHeight="true" outlineLevel="0" collapsed="false">
      <c r="A9" s="5" t="s">
        <v>6</v>
      </c>
      <c r="B9" s="5"/>
      <c r="C9" s="5"/>
      <c r="D9" s="5"/>
    </row>
    <row r="10" customFormat="false" ht="27.75" hidden="false" customHeight="true" outlineLevel="0" collapsed="false">
      <c r="A10" s="5" t="s">
        <v>7</v>
      </c>
      <c r="B10" s="5"/>
      <c r="C10" s="5"/>
      <c r="D10" s="5"/>
    </row>
    <row r="12" customFormat="false" ht="15" hidden="false" customHeight="false" outlineLevel="0" collapsed="false">
      <c r="A12" s="3" t="s">
        <v>8</v>
      </c>
      <c r="B12" s="4"/>
      <c r="C12" s="4"/>
      <c r="D12" s="4"/>
    </row>
    <row r="13" customFormat="false" ht="27.75" hidden="false" customHeight="true" outlineLevel="0" collapsed="false">
      <c r="A13" s="6" t="s">
        <v>9</v>
      </c>
      <c r="B13" s="7" t="s">
        <v>10</v>
      </c>
      <c r="C13" s="7"/>
      <c r="D13" s="7"/>
    </row>
    <row r="14" customFormat="false" ht="27.75" hidden="false" customHeight="true" outlineLevel="0" collapsed="false">
      <c r="A14" s="6" t="s">
        <v>11</v>
      </c>
      <c r="B14" s="7" t="s">
        <v>12</v>
      </c>
      <c r="C14" s="7"/>
      <c r="D14" s="7"/>
    </row>
    <row r="15" customFormat="false" ht="27.75" hidden="false" customHeight="true" outlineLevel="0" collapsed="false">
      <c r="A15" s="6" t="s">
        <v>13</v>
      </c>
      <c r="B15" s="7" t="s">
        <v>14</v>
      </c>
      <c r="C15" s="7"/>
      <c r="D15" s="7"/>
    </row>
    <row r="16" customFormat="false" ht="27.75" hidden="false" customHeight="true" outlineLevel="0" collapsed="false">
      <c r="A16" s="6" t="s">
        <v>15</v>
      </c>
      <c r="B16" s="7" t="s">
        <v>16</v>
      </c>
      <c r="C16" s="7"/>
      <c r="D16" s="7"/>
    </row>
    <row r="17" customFormat="false" ht="27.75" hidden="false" customHeight="true" outlineLevel="0" collapsed="false">
      <c r="A17" s="6" t="s">
        <v>17</v>
      </c>
      <c r="B17" s="7" t="s">
        <v>18</v>
      </c>
      <c r="C17" s="7"/>
      <c r="D17" s="7"/>
    </row>
    <row r="18" customFormat="false" ht="27.75" hidden="false" customHeight="true" outlineLevel="0" collapsed="false">
      <c r="A18" s="6" t="s">
        <v>19</v>
      </c>
      <c r="B18" s="7" t="s">
        <v>20</v>
      </c>
      <c r="C18" s="7"/>
      <c r="D18" s="7"/>
    </row>
    <row r="19" customFormat="false" ht="27.75" hidden="false" customHeight="true" outlineLevel="0" collapsed="false">
      <c r="A19" s="6" t="s">
        <v>21</v>
      </c>
      <c r="B19" s="7" t="s">
        <v>22</v>
      </c>
      <c r="C19" s="7"/>
      <c r="D19" s="7"/>
    </row>
    <row r="20" customFormat="false" ht="27.75" hidden="false" customHeight="true" outlineLevel="0" collapsed="false">
      <c r="A20" s="6" t="s">
        <v>23</v>
      </c>
      <c r="B20" s="7" t="s">
        <v>24</v>
      </c>
      <c r="C20" s="7"/>
      <c r="D20" s="7"/>
    </row>
    <row r="21" customFormat="false" ht="27.75" hidden="false" customHeight="true" outlineLevel="0" collapsed="false">
      <c r="A21" s="6" t="s">
        <v>25</v>
      </c>
      <c r="B21" s="7" t="s">
        <v>26</v>
      </c>
      <c r="C21" s="7"/>
      <c r="D21" s="7"/>
    </row>
    <row r="22" customFormat="false" ht="27.75" hidden="false" customHeight="true" outlineLevel="0" collapsed="false">
      <c r="A22" s="6" t="s">
        <v>27</v>
      </c>
      <c r="B22" s="7" t="s">
        <v>28</v>
      </c>
      <c r="C22" s="7"/>
      <c r="D22" s="7"/>
    </row>
    <row r="23" customFormat="false" ht="27.75" hidden="false" customHeight="true" outlineLevel="0" collapsed="false">
      <c r="A23" s="6" t="s">
        <v>29</v>
      </c>
      <c r="B23" s="7" t="s">
        <v>30</v>
      </c>
      <c r="C23" s="7"/>
      <c r="D23" s="7"/>
    </row>
    <row r="24" customFormat="false" ht="27.75" hidden="false" customHeight="true" outlineLevel="0" collapsed="false">
      <c r="A24" s="6" t="s">
        <v>31</v>
      </c>
      <c r="B24" s="7" t="s">
        <v>32</v>
      </c>
      <c r="C24" s="7"/>
      <c r="D24" s="7"/>
    </row>
    <row r="25" customFormat="false" ht="27.75" hidden="false" customHeight="true" outlineLevel="0" collapsed="false">
      <c r="A25" s="6" t="s">
        <v>33</v>
      </c>
      <c r="B25" s="7" t="s">
        <v>34</v>
      </c>
      <c r="C25" s="7"/>
      <c r="D25" s="7"/>
    </row>
    <row r="26" customFormat="false" ht="27.75" hidden="false" customHeight="true" outlineLevel="0" collapsed="false">
      <c r="A26" s="6" t="s">
        <v>35</v>
      </c>
      <c r="B26" s="7" t="s">
        <v>36</v>
      </c>
      <c r="C26" s="7"/>
      <c r="D26" s="7"/>
    </row>
    <row r="27" customFormat="false" ht="27.75" hidden="false" customHeight="true" outlineLevel="0" collapsed="false">
      <c r="A27" s="6" t="s">
        <v>37</v>
      </c>
      <c r="B27" s="7" t="s">
        <v>38</v>
      </c>
      <c r="C27" s="7"/>
      <c r="D27" s="7"/>
    </row>
    <row r="28" customFormat="false" ht="27.75" hidden="false" customHeight="true" outlineLevel="0" collapsed="false">
      <c r="A28" s="6" t="s">
        <v>39</v>
      </c>
      <c r="B28" s="7" t="s">
        <v>40</v>
      </c>
      <c r="C28" s="7"/>
      <c r="D28" s="7"/>
    </row>
    <row r="29" customFormat="false" ht="27.75" hidden="false" customHeight="true" outlineLevel="0" collapsed="false">
      <c r="A29" s="6" t="s">
        <v>41</v>
      </c>
      <c r="B29" s="7" t="s">
        <v>42</v>
      </c>
      <c r="C29" s="7"/>
      <c r="D29" s="7"/>
    </row>
    <row r="30" customFormat="false" ht="27.75" hidden="false" customHeight="true" outlineLevel="0" collapsed="false">
      <c r="A30" s="6" t="s">
        <v>43</v>
      </c>
      <c r="B30" s="7" t="s">
        <v>44</v>
      </c>
      <c r="C30" s="7"/>
      <c r="D30" s="7"/>
    </row>
    <row r="31" customFormat="false" ht="27.75" hidden="false" customHeight="true" outlineLevel="0" collapsed="false">
      <c r="A31" s="6" t="s">
        <v>45</v>
      </c>
      <c r="B31" s="7" t="s">
        <v>46</v>
      </c>
      <c r="C31" s="7"/>
      <c r="D31" s="7"/>
    </row>
    <row r="32" customFormat="false" ht="27.75" hidden="false" customHeight="true" outlineLevel="0" collapsed="false">
      <c r="A32" s="6" t="s">
        <v>47</v>
      </c>
      <c r="B32" s="7" t="s">
        <v>48</v>
      </c>
      <c r="C32" s="7"/>
      <c r="D32" s="7"/>
    </row>
    <row r="33" customFormat="false" ht="27.75" hidden="false" customHeight="true" outlineLevel="0" collapsed="false">
      <c r="A33" s="6" t="s">
        <v>49</v>
      </c>
      <c r="B33" s="7" t="s">
        <v>50</v>
      </c>
      <c r="C33" s="7"/>
      <c r="D33" s="7"/>
    </row>
    <row r="34" customFormat="false" ht="27.75" hidden="false" customHeight="true" outlineLevel="0" collapsed="false">
      <c r="A34" s="6" t="s">
        <v>51</v>
      </c>
      <c r="B34" s="7" t="s">
        <v>52</v>
      </c>
      <c r="C34" s="7"/>
      <c r="D34" s="7"/>
    </row>
    <row r="35" customFormat="false" ht="27.75" hidden="false" customHeight="true" outlineLevel="0" collapsed="false">
      <c r="A35" s="6" t="s">
        <v>53</v>
      </c>
      <c r="B35" s="7" t="s">
        <v>54</v>
      </c>
      <c r="C35" s="7"/>
      <c r="D35" s="7"/>
    </row>
    <row r="36" customFormat="false" ht="27.75" hidden="false" customHeight="true" outlineLevel="0" collapsed="false">
      <c r="A36" s="6" t="s">
        <v>55</v>
      </c>
      <c r="B36" s="7" t="s">
        <v>56</v>
      </c>
      <c r="C36" s="7"/>
      <c r="D36" s="7"/>
    </row>
    <row r="38" customFormat="false" ht="15" hidden="false" customHeight="false" outlineLevel="0" collapsed="false">
      <c r="A38" s="3" t="s">
        <v>57</v>
      </c>
      <c r="B38" s="4"/>
      <c r="C38" s="4"/>
      <c r="D38" s="4"/>
    </row>
    <row r="39" customFormat="false" ht="31.5" hidden="false" customHeight="true" outlineLevel="0" collapsed="false">
      <c r="A39" s="8" t="s">
        <v>58</v>
      </c>
      <c r="B39" s="8" t="s">
        <v>59</v>
      </c>
      <c r="C39" s="8" t="s">
        <v>60</v>
      </c>
    </row>
    <row r="40" customFormat="false" ht="30" hidden="false" customHeight="true" outlineLevel="0" collapsed="false">
      <c r="A40" s="7" t="s">
        <v>61</v>
      </c>
      <c r="B40" s="7" t="s">
        <v>62</v>
      </c>
      <c r="C40" s="7" t="s">
        <v>63</v>
      </c>
    </row>
    <row r="41" customFormat="false" ht="30" hidden="false" customHeight="true" outlineLevel="0" collapsed="false">
      <c r="A41" s="7" t="s">
        <v>64</v>
      </c>
      <c r="B41" s="7" t="s">
        <v>65</v>
      </c>
      <c r="C41" s="7" t="s">
        <v>66</v>
      </c>
    </row>
    <row r="42" customFormat="false" ht="30" hidden="false" customHeight="true" outlineLevel="0" collapsed="false">
      <c r="A42" s="7" t="s">
        <v>67</v>
      </c>
      <c r="B42" s="7" t="s">
        <v>68</v>
      </c>
      <c r="C42" s="7" t="s">
        <v>69</v>
      </c>
    </row>
    <row r="43" customFormat="false" ht="30" hidden="false" customHeight="true" outlineLevel="0" collapsed="false">
      <c r="A43" s="7" t="s">
        <v>70</v>
      </c>
      <c r="B43" s="7" t="s">
        <v>71</v>
      </c>
      <c r="C43" s="7" t="s">
        <v>72</v>
      </c>
    </row>
    <row r="44" customFormat="false" ht="30" hidden="false" customHeight="true" outlineLevel="0" collapsed="false">
      <c r="A44" s="7" t="s">
        <v>73</v>
      </c>
      <c r="B44" s="7" t="s">
        <v>74</v>
      </c>
      <c r="C44" s="7" t="s">
        <v>75</v>
      </c>
    </row>
    <row r="45" customFormat="false" ht="30" hidden="false" customHeight="true" outlineLevel="0" collapsed="false">
      <c r="A45" s="9" t="s">
        <v>76</v>
      </c>
      <c r="B45" s="9"/>
      <c r="C45" s="9"/>
      <c r="D45" s="9"/>
    </row>
    <row r="47" customFormat="false" ht="15" hidden="false" customHeight="false" outlineLevel="0" collapsed="false">
      <c r="A47" s="3" t="s">
        <v>77</v>
      </c>
      <c r="B47" s="4"/>
      <c r="C47" s="4"/>
      <c r="D47" s="4"/>
    </row>
    <row r="48" customFormat="false" ht="27.75" hidden="false" customHeight="true" outlineLevel="0" collapsed="false">
      <c r="A48" s="5" t="s">
        <v>78</v>
      </c>
      <c r="B48" s="5"/>
      <c r="C48" s="5"/>
      <c r="D48" s="5"/>
    </row>
    <row r="49" customFormat="false" ht="27.75" hidden="false" customHeight="true" outlineLevel="0" collapsed="false">
      <c r="A49" s="5" t="s">
        <v>79</v>
      </c>
      <c r="B49" s="5"/>
      <c r="C49" s="5"/>
      <c r="D49" s="5"/>
    </row>
    <row r="50" customFormat="false" ht="27.75" hidden="false" customHeight="true" outlineLevel="0" collapsed="false">
      <c r="A50" s="5" t="s">
        <v>80</v>
      </c>
      <c r="B50" s="5"/>
      <c r="C50" s="5"/>
      <c r="D50" s="5"/>
    </row>
    <row r="51" customFormat="false" ht="27.75" hidden="false" customHeight="true" outlineLevel="0" collapsed="false">
      <c r="A51" s="5" t="s">
        <v>81</v>
      </c>
      <c r="B51" s="5"/>
      <c r="C51" s="5"/>
      <c r="D51" s="5"/>
    </row>
    <row r="52" customFormat="false" ht="27.75" hidden="false" customHeight="true" outlineLevel="0" collapsed="false">
      <c r="A52" s="5" t="s">
        <v>82</v>
      </c>
      <c r="B52" s="5"/>
      <c r="C52" s="5"/>
      <c r="D52" s="5"/>
    </row>
    <row r="53" customFormat="false" ht="27.75" hidden="false" customHeight="true" outlineLevel="0" collapsed="false">
      <c r="A53" s="5" t="s">
        <v>83</v>
      </c>
      <c r="B53" s="5"/>
      <c r="C53" s="5"/>
      <c r="D53" s="5"/>
    </row>
    <row r="54" customFormat="false" ht="27.75" hidden="false" customHeight="true" outlineLevel="0" collapsed="false">
      <c r="A54" s="5" t="s">
        <v>84</v>
      </c>
      <c r="B54" s="5"/>
      <c r="C54" s="5"/>
      <c r="D54" s="5"/>
    </row>
    <row r="55" customFormat="false" ht="27.75" hidden="false" customHeight="true" outlineLevel="0" collapsed="false">
      <c r="A55" s="5" t="s">
        <v>85</v>
      </c>
      <c r="B55" s="5"/>
      <c r="C55" s="5"/>
      <c r="D55" s="5"/>
    </row>
    <row r="56" customFormat="false" ht="27.75" hidden="false" customHeight="true" outlineLevel="0" collapsed="false">
      <c r="A56" s="5" t="s">
        <v>86</v>
      </c>
      <c r="B56" s="5"/>
      <c r="C56" s="5"/>
      <c r="D56" s="5"/>
    </row>
    <row r="57" customFormat="false" ht="27.75" hidden="false" customHeight="true" outlineLevel="0" collapsed="false">
      <c r="A57" s="5" t="s">
        <v>87</v>
      </c>
      <c r="B57" s="5"/>
      <c r="C57" s="5"/>
      <c r="D57" s="5"/>
    </row>
    <row r="59" customFormat="false" ht="15" hidden="false" customHeight="false" outlineLevel="0" collapsed="false">
      <c r="A59" s="3" t="s">
        <v>88</v>
      </c>
      <c r="B59" s="4"/>
      <c r="C59" s="4"/>
      <c r="D59" s="4"/>
    </row>
    <row r="60" customFormat="false" ht="27.75" hidden="false" customHeight="true" outlineLevel="0" collapsed="false">
      <c r="A60" s="5" t="s">
        <v>89</v>
      </c>
      <c r="B60" s="5"/>
      <c r="C60" s="5"/>
      <c r="D60" s="5"/>
    </row>
    <row r="61" customFormat="false" ht="27.75" hidden="false" customHeight="true" outlineLevel="0" collapsed="false">
      <c r="A61" s="5" t="s">
        <v>90</v>
      </c>
      <c r="B61" s="5"/>
      <c r="C61" s="5"/>
      <c r="D61" s="5"/>
    </row>
    <row r="62" customFormat="false" ht="27.75" hidden="false" customHeight="true" outlineLevel="0" collapsed="false">
      <c r="A62" s="5" t="s">
        <v>91</v>
      </c>
      <c r="B62" s="5"/>
      <c r="C62" s="5"/>
      <c r="D62" s="5"/>
    </row>
    <row r="63" customFormat="false" ht="27.75" hidden="false" customHeight="true" outlineLevel="0" collapsed="false">
      <c r="A63" s="5" t="s">
        <v>92</v>
      </c>
      <c r="B63" s="5"/>
      <c r="C63" s="5"/>
      <c r="D63" s="5"/>
    </row>
    <row r="64" customFormat="false" ht="27.75" hidden="false" customHeight="true" outlineLevel="0" collapsed="false">
      <c r="A64" s="5" t="s">
        <v>93</v>
      </c>
      <c r="B64" s="5"/>
      <c r="C64" s="5"/>
      <c r="D64" s="5"/>
    </row>
    <row r="65" customFormat="false" ht="27.75" hidden="false" customHeight="true" outlineLevel="0" collapsed="false">
      <c r="A65" s="5" t="s">
        <v>94</v>
      </c>
      <c r="B65" s="5"/>
      <c r="C65" s="5"/>
      <c r="D65" s="5"/>
    </row>
    <row r="66" customFormat="false" ht="27.75" hidden="false" customHeight="true" outlineLevel="0" collapsed="false">
      <c r="A66" s="5" t="s">
        <v>95</v>
      </c>
      <c r="B66" s="5"/>
      <c r="C66" s="5"/>
      <c r="D66" s="5"/>
    </row>
    <row r="67" customFormat="false" ht="27.75" hidden="false" customHeight="true" outlineLevel="0" collapsed="false">
      <c r="A67" s="5" t="s">
        <v>96</v>
      </c>
      <c r="B67" s="5"/>
      <c r="C67" s="5"/>
      <c r="D67" s="5"/>
    </row>
    <row r="68" customFormat="false" ht="27.75" hidden="false" customHeight="true" outlineLevel="0" collapsed="false">
      <c r="A68" s="5" t="s">
        <v>97</v>
      </c>
      <c r="B68" s="5"/>
      <c r="C68" s="5"/>
      <c r="D68" s="5"/>
    </row>
    <row r="70" customFormat="false" ht="15" hidden="false" customHeight="false" outlineLevel="0" collapsed="false">
      <c r="A70" s="3" t="s">
        <v>98</v>
      </c>
      <c r="B70" s="4"/>
      <c r="C70" s="4"/>
      <c r="D70" s="4"/>
    </row>
    <row r="71" customFormat="false" ht="27.75" hidden="false" customHeight="true" outlineLevel="0" collapsed="false">
      <c r="A71" s="5" t="s">
        <v>99</v>
      </c>
      <c r="B71" s="5"/>
      <c r="C71" s="5"/>
      <c r="D71" s="5"/>
    </row>
    <row r="72" customFormat="false" ht="27.75" hidden="false" customHeight="true" outlineLevel="0" collapsed="false">
      <c r="A72" s="5" t="s">
        <v>100</v>
      </c>
      <c r="B72" s="5"/>
      <c r="C72" s="5"/>
      <c r="D72" s="5"/>
    </row>
    <row r="73" customFormat="false" ht="27.75" hidden="false" customHeight="true" outlineLevel="0" collapsed="false">
      <c r="A73" s="5" t="s">
        <v>101</v>
      </c>
      <c r="B73" s="5"/>
      <c r="C73" s="5"/>
      <c r="D73" s="5"/>
    </row>
    <row r="74" customFormat="false" ht="27.75" hidden="false" customHeight="true" outlineLevel="0" collapsed="false">
      <c r="A74" s="5" t="s">
        <v>102</v>
      </c>
      <c r="B74" s="5"/>
      <c r="C74" s="5"/>
      <c r="D74" s="5"/>
    </row>
    <row r="75" customFormat="false" ht="27.75" hidden="false" customHeight="true" outlineLevel="0" collapsed="false">
      <c r="A75" s="5" t="s">
        <v>103</v>
      </c>
      <c r="B75" s="5"/>
      <c r="C75" s="5"/>
      <c r="D75" s="5"/>
    </row>
    <row r="76" customFormat="false" ht="27.75" hidden="false" customHeight="true" outlineLevel="0" collapsed="false">
      <c r="A76" s="5" t="s">
        <v>104</v>
      </c>
      <c r="B76" s="5"/>
      <c r="C76" s="5"/>
      <c r="D76" s="5"/>
    </row>
    <row r="77" customFormat="false" ht="27.75" hidden="false" customHeight="true" outlineLevel="0" collapsed="false">
      <c r="A77" s="5" t="s">
        <v>105</v>
      </c>
      <c r="B77" s="5"/>
      <c r="C77" s="5"/>
      <c r="D77" s="5"/>
    </row>
    <row r="78" customFormat="false" ht="27.75" hidden="false" customHeight="true" outlineLevel="0" collapsed="false">
      <c r="A78" s="5" t="s">
        <v>106</v>
      </c>
      <c r="B78" s="5"/>
      <c r="C78" s="5"/>
      <c r="D78" s="5"/>
    </row>
    <row r="79" customFormat="false" ht="27.75" hidden="false" customHeight="true" outlineLevel="0" collapsed="false">
      <c r="A79" s="5" t="s">
        <v>107</v>
      </c>
      <c r="B79" s="5"/>
      <c r="C79" s="5"/>
      <c r="D79" s="5"/>
    </row>
    <row r="80" customFormat="false" ht="27.75" hidden="false" customHeight="true" outlineLevel="0" collapsed="false">
      <c r="A80" s="5" t="s">
        <v>108</v>
      </c>
      <c r="B80" s="5"/>
      <c r="C80" s="5"/>
      <c r="D80" s="5"/>
    </row>
  </sheetData>
  <mergeCells count="58">
    <mergeCell ref="A5:D5"/>
    <mergeCell ref="A8:D8"/>
    <mergeCell ref="A9:D9"/>
    <mergeCell ref="A10:D10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A45:D45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</mergeCells>
  <hyperlinks>
    <hyperlink ref="A13" location="'Parcerias'!A1" display="Parcerias"/>
    <hyperlink ref="A14" location="'Portal do parceiro'!A1" display="Portal do parceiro"/>
    <hyperlink ref="A15" location="'Escolas técnicas'!A1" display="Escolas técnicas"/>
    <hyperlink ref="A16" location="'Faculdades'!A1" display="Faculdades"/>
    <hyperlink ref="A17" location="'Cursos com parceiros'!A1" display="Cursos com parceiros"/>
    <hyperlink ref="A18" location="'Ideias de cursos'!A1" display="Ideias de cursos"/>
    <hyperlink ref="A19" location="'Cursos próprios'!A1" display="Cursos próprios"/>
    <hyperlink ref="A20" location="'Canais'!A1" display="Canais"/>
    <hyperlink ref="A21" location="'Sistema vivo'!A1" display="Sistema vivo"/>
    <hyperlink ref="A22" location="'IA para o dono'!A1" display="IA para o dono"/>
    <hyperlink ref="A23" location="'Comandos de voz'!A1" display="Comandos de voz"/>
    <hyperlink ref="A24" location="'Benchmark'!A1" display="Benchmark"/>
    <hyperlink ref="A25" location="'Prioridade'!A1" display="Prioridade"/>
    <hyperlink ref="A26" location="'Matching'!A1" display="Matching"/>
    <hyperlink ref="A27" location="'Matching exemplo'!A1" display="Matching exemplo"/>
    <hyperlink ref="A28" location="'Geografia'!A1" display="Geografia"/>
    <hyperlink ref="A29" location="'Cadastro'!A1" display="Cadastro"/>
    <hyperlink ref="A30" location="'Entrevista do currículo'!A1" display="Entrevista do currículo"/>
    <hyperlink ref="A31" location="'Tarefas por área'!A1" display="Tarefas por área"/>
    <hyperlink ref="A32" location="'Perfil'!A1" display="Perfil"/>
    <hyperlink ref="A33" location="'Interesses'!A1" display="Interesses"/>
    <hyperlink ref="A34" location="'Desempenho'!A1" display="Desempenho"/>
    <hyperlink ref="A35" location="'Currículos'!A1" display="Currículos"/>
    <hyperlink ref="A36" location="'Fontes'!A1" display="Font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31.5" hidden="false" customHeight="true" outlineLevel="0" collapsed="false">
      <c r="A4" s="8" t="s">
        <v>111</v>
      </c>
      <c r="B4" s="8" t="s">
        <v>112</v>
      </c>
      <c r="C4" s="8" t="s">
        <v>113</v>
      </c>
    </row>
    <row r="5" customFormat="false" ht="15" hidden="false" customHeight="false" outlineLevel="0" collapsed="false">
      <c r="A5" s="10" t="s">
        <v>114</v>
      </c>
      <c r="B5" s="11" t="n">
        <v>0.5</v>
      </c>
      <c r="C5" s="7" t="s">
        <v>115</v>
      </c>
    </row>
    <row r="6" customFormat="false" ht="15" hidden="false" customHeight="false" outlineLevel="0" collapsed="false">
      <c r="A6" s="10" t="s">
        <v>116</v>
      </c>
      <c r="B6" s="11" t="n">
        <v>0.3</v>
      </c>
      <c r="C6" s="7" t="s">
        <v>117</v>
      </c>
    </row>
    <row r="7" customFormat="false" ht="23.85" hidden="false" customHeight="false" outlineLevel="0" collapsed="false">
      <c r="A7" s="10" t="s">
        <v>118</v>
      </c>
      <c r="B7" s="12" t="n">
        <v>12</v>
      </c>
      <c r="C7" s="7" t="s">
        <v>119</v>
      </c>
    </row>
    <row r="8" customFormat="false" ht="23.85" hidden="false" customHeight="false" outlineLevel="0" collapsed="false">
      <c r="A8" s="10" t="s">
        <v>120</v>
      </c>
      <c r="B8" s="13" t="s">
        <v>121</v>
      </c>
      <c r="C8" s="7" t="s">
        <v>122</v>
      </c>
    </row>
    <row r="10" customFormat="false" ht="31.5" hidden="false" customHeight="true" outlineLevel="0" collapsed="false">
      <c r="A10" s="8" t="s">
        <v>123</v>
      </c>
      <c r="B10" s="8" t="s">
        <v>112</v>
      </c>
      <c r="C10" s="8" t="s">
        <v>124</v>
      </c>
    </row>
    <row r="11" customFormat="false" ht="15" hidden="false" customHeight="false" outlineLevel="0" collapsed="false">
      <c r="A11" s="10" t="s">
        <v>125</v>
      </c>
      <c r="B11" s="14" t="n">
        <v>200</v>
      </c>
      <c r="C11" s="7" t="s">
        <v>126</v>
      </c>
    </row>
    <row r="12" customFormat="false" ht="15" hidden="false" customHeight="false" outlineLevel="0" collapsed="false">
      <c r="A12" s="10" t="s">
        <v>127</v>
      </c>
      <c r="B12" s="14" t="n">
        <v>400</v>
      </c>
      <c r="C12" s="7" t="s">
        <v>126</v>
      </c>
    </row>
    <row r="13" customFormat="false" ht="15" hidden="false" customHeight="false" outlineLevel="0" collapsed="false">
      <c r="A13" s="10" t="s">
        <v>128</v>
      </c>
      <c r="B13" s="12" t="n">
        <v>10</v>
      </c>
      <c r="C13" s="7" t="s">
        <v>126</v>
      </c>
    </row>
    <row r="14" customFormat="false" ht="23.85" hidden="false" customHeight="false" outlineLevel="0" collapsed="false">
      <c r="A14" s="10" t="s">
        <v>129</v>
      </c>
      <c r="B14" s="15" t="n">
        <f aca="false">B11*B5+B12*B6*B7</f>
        <v>1540</v>
      </c>
      <c r="C14" s="7" t="s">
        <v>130</v>
      </c>
    </row>
    <row r="15" customFormat="false" ht="15" hidden="false" customHeight="false" outlineLevel="0" collapsed="false">
      <c r="A15" s="10" t="s">
        <v>131</v>
      </c>
      <c r="B15" s="15" t="n">
        <f aca="false">B14*B13</f>
        <v>15400</v>
      </c>
      <c r="C15" s="7" t="s">
        <v>132</v>
      </c>
    </row>
    <row r="17" customFormat="false" ht="31.5" hidden="false" customHeight="true" outlineLevel="0" collapsed="false">
      <c r="A17" s="8" t="s">
        <v>133</v>
      </c>
      <c r="B17" s="8"/>
      <c r="C17" s="8"/>
    </row>
    <row r="18" customFormat="false" ht="27.75" hidden="false" customHeight="true" outlineLevel="0" collapsed="false">
      <c r="A18" s="5" t="s">
        <v>134</v>
      </c>
      <c r="B18" s="5"/>
      <c r="C18" s="5"/>
    </row>
    <row r="19" customFormat="false" ht="27.75" hidden="false" customHeight="true" outlineLevel="0" collapsed="false">
      <c r="A19" s="5" t="s">
        <v>135</v>
      </c>
      <c r="B19" s="5"/>
      <c r="C19" s="5"/>
    </row>
    <row r="20" customFormat="false" ht="27.75" hidden="false" customHeight="true" outlineLevel="0" collapsed="false">
      <c r="A20" s="5" t="s">
        <v>136</v>
      </c>
      <c r="B20" s="5"/>
      <c r="C20" s="5"/>
    </row>
    <row r="21" customFormat="false" ht="27.75" hidden="false" customHeight="true" outlineLevel="0" collapsed="false">
      <c r="A21" s="5" t="s">
        <v>137</v>
      </c>
      <c r="B21" s="5"/>
      <c r="C21" s="5"/>
    </row>
    <row r="22" customFormat="false" ht="27.75" hidden="false" customHeight="true" outlineLevel="0" collapsed="false">
      <c r="A22" s="5" t="s">
        <v>138</v>
      </c>
      <c r="B22" s="5"/>
      <c r="C22" s="5"/>
    </row>
  </sheetData>
  <mergeCells count="5">
    <mergeCell ref="A18:C18"/>
    <mergeCell ref="A19:C19"/>
    <mergeCell ref="A20:C20"/>
    <mergeCell ref="A21:C21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4" min="3" style="0" width="40"/>
    <col collapsed="false" customWidth="true" hidden="false" outlineLevel="0" max="5" min="5" style="0" width="56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31.5" hidden="false" customHeight="true" outlineLevel="0" collapsed="false">
      <c r="A4" s="8" t="s">
        <v>141</v>
      </c>
      <c r="B4" s="8" t="s">
        <v>142</v>
      </c>
      <c r="C4" s="8" t="s">
        <v>143</v>
      </c>
      <c r="D4" s="8" t="s">
        <v>144</v>
      </c>
      <c r="E4" s="8" t="s">
        <v>111</v>
      </c>
    </row>
    <row r="5" customFormat="false" ht="23.85" hidden="false" customHeight="false" outlineLevel="0" collapsed="false">
      <c r="A5" s="10" t="s">
        <v>145</v>
      </c>
      <c r="B5" s="7" t="s">
        <v>146</v>
      </c>
      <c r="C5" s="7" t="s">
        <v>147</v>
      </c>
      <c r="D5" s="7" t="s">
        <v>148</v>
      </c>
      <c r="E5" s="7" t="s">
        <v>149</v>
      </c>
    </row>
    <row r="6" customFormat="false" ht="35.05" hidden="false" customHeight="false" outlineLevel="0" collapsed="false">
      <c r="A6" s="10" t="s">
        <v>150</v>
      </c>
      <c r="B6" s="7" t="s">
        <v>151</v>
      </c>
      <c r="C6" s="7" t="s">
        <v>147</v>
      </c>
      <c r="D6" s="7" t="s">
        <v>152</v>
      </c>
      <c r="E6" s="7" t="s">
        <v>153</v>
      </c>
    </row>
    <row r="7" customFormat="false" ht="35.05" hidden="false" customHeight="false" outlineLevel="0" collapsed="false">
      <c r="A7" s="10" t="s">
        <v>154</v>
      </c>
      <c r="B7" s="7" t="s">
        <v>155</v>
      </c>
      <c r="C7" s="7" t="s">
        <v>156</v>
      </c>
      <c r="D7" s="7" t="s">
        <v>157</v>
      </c>
      <c r="E7" s="7" t="s">
        <v>158</v>
      </c>
    </row>
    <row r="8" customFormat="false" ht="35.05" hidden="false" customHeight="false" outlineLevel="0" collapsed="false">
      <c r="A8" s="10" t="s">
        <v>159</v>
      </c>
      <c r="B8" s="7" t="s">
        <v>160</v>
      </c>
      <c r="C8" s="7" t="s">
        <v>161</v>
      </c>
      <c r="D8" s="7" t="s">
        <v>162</v>
      </c>
      <c r="E8" s="7" t="s">
        <v>163</v>
      </c>
    </row>
    <row r="9" customFormat="false" ht="35.05" hidden="false" customHeight="false" outlineLevel="0" collapsed="false">
      <c r="A9" s="10" t="s">
        <v>164</v>
      </c>
      <c r="B9" s="7" t="s">
        <v>165</v>
      </c>
      <c r="C9" s="7" t="s">
        <v>166</v>
      </c>
      <c r="D9" s="7" t="s">
        <v>167</v>
      </c>
      <c r="E9" s="7" t="s">
        <v>168</v>
      </c>
    </row>
    <row r="10" customFormat="false" ht="23.85" hidden="false" customHeight="false" outlineLevel="0" collapsed="false">
      <c r="A10" s="10" t="s">
        <v>169</v>
      </c>
      <c r="B10" s="7" t="s">
        <v>170</v>
      </c>
      <c r="C10" s="7" t="s">
        <v>171</v>
      </c>
      <c r="D10" s="7" t="s">
        <v>172</v>
      </c>
      <c r="E10" s="7" t="s">
        <v>173</v>
      </c>
    </row>
    <row r="11" customFormat="false" ht="23.85" hidden="false" customHeight="false" outlineLevel="0" collapsed="false">
      <c r="A11" s="10" t="s">
        <v>174</v>
      </c>
      <c r="B11" s="7" t="s">
        <v>175</v>
      </c>
      <c r="C11" s="7" t="s">
        <v>176</v>
      </c>
      <c r="D11" s="7" t="s">
        <v>177</v>
      </c>
      <c r="E11" s="7" t="s">
        <v>178</v>
      </c>
    </row>
    <row r="12" customFormat="false" ht="23.85" hidden="false" customHeight="false" outlineLevel="0" collapsed="false">
      <c r="A12" s="10" t="s">
        <v>179</v>
      </c>
      <c r="B12" s="7" t="s">
        <v>180</v>
      </c>
      <c r="C12" s="7" t="s">
        <v>181</v>
      </c>
      <c r="D12" s="7" t="s">
        <v>182</v>
      </c>
      <c r="E12" s="7" t="s">
        <v>183</v>
      </c>
    </row>
    <row r="13" customFormat="false" ht="23.85" hidden="false" customHeight="false" outlineLevel="0" collapsed="false">
      <c r="A13" s="10" t="s">
        <v>184</v>
      </c>
      <c r="B13" s="7" t="s">
        <v>185</v>
      </c>
      <c r="C13" s="7" t="s">
        <v>186</v>
      </c>
      <c r="D13" s="7" t="s">
        <v>187</v>
      </c>
      <c r="E13" s="7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tru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44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9" min="7" style="0" width="14"/>
    <col collapsed="false" customWidth="true" hidden="false" outlineLevel="0" max="10" min="10" style="0" width="16"/>
    <col collapsed="false" customWidth="true" hidden="false" outlineLevel="0" max="11" min="11" style="0" width="26"/>
    <col collapsed="false" customWidth="true" hidden="false" outlineLevel="0" max="12" min="12" style="0" width="18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189</v>
      </c>
    </row>
    <row r="2" customFormat="false" ht="15" hidden="false" customHeight="false" outlineLevel="0" collapsed="false">
      <c r="A2" s="2" t="s">
        <v>190</v>
      </c>
    </row>
    <row r="4" customFormat="false" ht="45.75" hidden="false" customHeight="true" outlineLevel="0" collapsed="false">
      <c r="A4" s="8" t="s">
        <v>191</v>
      </c>
      <c r="B4" s="8" t="s">
        <v>192</v>
      </c>
      <c r="C4" s="8" t="s">
        <v>193</v>
      </c>
      <c r="D4" s="8" t="s">
        <v>194</v>
      </c>
      <c r="E4" s="8" t="s">
        <v>125</v>
      </c>
      <c r="F4" s="8" t="s">
        <v>127</v>
      </c>
      <c r="G4" s="8" t="s">
        <v>114</v>
      </c>
      <c r="H4" s="8" t="s">
        <v>195</v>
      </c>
      <c r="I4" s="8" t="s">
        <v>129</v>
      </c>
      <c r="J4" s="8" t="s">
        <v>196</v>
      </c>
      <c r="K4" s="8" t="s">
        <v>197</v>
      </c>
      <c r="L4" s="8" t="s">
        <v>198</v>
      </c>
      <c r="M4" s="8" t="s">
        <v>113</v>
      </c>
    </row>
    <row r="5" customFormat="false" ht="23.85" hidden="false" customHeight="false" outlineLevel="0" collapsed="false">
      <c r="A5" s="16" t="s">
        <v>199</v>
      </c>
      <c r="B5" s="16" t="s">
        <v>200</v>
      </c>
      <c r="C5" s="16" t="s">
        <v>201</v>
      </c>
      <c r="D5" s="16" t="s">
        <v>202</v>
      </c>
      <c r="E5" s="17" t="n">
        <v>300</v>
      </c>
      <c r="F5" s="17" t="n">
        <v>450</v>
      </c>
      <c r="G5" s="18" t="n">
        <f aca="false">Parcerias!$B$5</f>
        <v>0.5</v>
      </c>
      <c r="H5" s="18" t="n">
        <f aca="false">Parcerias!$B$6</f>
        <v>0.3</v>
      </c>
      <c r="I5" s="19" t="n">
        <f aca="false">IF(OR(E5="",F5=""),"",E5*G5+F5*H5*Parcerias!$B$7)</f>
        <v>1770</v>
      </c>
      <c r="J5" s="16" t="s">
        <v>203</v>
      </c>
      <c r="K5" s="16" t="s">
        <v>204</v>
      </c>
      <c r="L5" s="16" t="s">
        <v>205</v>
      </c>
      <c r="M5" s="16" t="s">
        <v>206</v>
      </c>
    </row>
    <row r="6" customFormat="false" ht="23.85" hidden="false" customHeight="false" outlineLevel="0" collapsed="false">
      <c r="A6" s="16" t="s">
        <v>207</v>
      </c>
      <c r="B6" s="16"/>
      <c r="C6" s="16" t="s">
        <v>208</v>
      </c>
      <c r="D6" s="16"/>
      <c r="E6" s="17"/>
      <c r="F6" s="17"/>
      <c r="G6" s="18" t="n">
        <f aca="false">Parcerias!$B$5</f>
        <v>0.5</v>
      </c>
      <c r="H6" s="18" t="n">
        <f aca="false">Parcerias!$B$6</f>
        <v>0.3</v>
      </c>
      <c r="I6" s="19" t="str">
        <f aca="false">IF(OR(E6="",F6=""),"",E6*G6+F6*H6*Parcerias!$B$7)</f>
        <v/>
      </c>
      <c r="J6" s="16"/>
      <c r="K6" s="16"/>
      <c r="L6" s="16" t="s">
        <v>209</v>
      </c>
      <c r="M6" s="16" t="s">
        <v>210</v>
      </c>
    </row>
    <row r="7" customFormat="false" ht="15" hidden="false" customHeight="false" outlineLevel="0" collapsed="false">
      <c r="A7" s="16"/>
      <c r="B7" s="16"/>
      <c r="C7" s="16"/>
      <c r="D7" s="16"/>
      <c r="E7" s="17"/>
      <c r="F7" s="17"/>
      <c r="G7" s="18" t="n">
        <f aca="false">Parcerias!$B$5</f>
        <v>0.5</v>
      </c>
      <c r="H7" s="18" t="n">
        <f aca="false">Parcerias!$B$6</f>
        <v>0.3</v>
      </c>
      <c r="I7" s="19" t="str">
        <f aca="false">IF(OR(E7="",F7=""),"",E7*G7+F7*H7*Parcerias!$B$7)</f>
        <v/>
      </c>
      <c r="J7" s="16"/>
      <c r="K7" s="16"/>
      <c r="L7" s="16"/>
      <c r="M7" s="16"/>
    </row>
    <row r="8" customFormat="false" ht="15" hidden="false" customHeight="false" outlineLevel="0" collapsed="false">
      <c r="A8" s="16"/>
      <c r="B8" s="16"/>
      <c r="C8" s="16"/>
      <c r="D8" s="16"/>
      <c r="E8" s="17"/>
      <c r="F8" s="17"/>
      <c r="G8" s="18" t="n">
        <f aca="false">Parcerias!$B$5</f>
        <v>0.5</v>
      </c>
      <c r="H8" s="18" t="n">
        <f aca="false">Parcerias!$B$6</f>
        <v>0.3</v>
      </c>
      <c r="I8" s="19" t="str">
        <f aca="false">IF(OR(E8="",F8=""),"",E8*G8+F8*H8*Parcerias!$B$7)</f>
        <v/>
      </c>
      <c r="J8" s="16"/>
      <c r="K8" s="16"/>
      <c r="L8" s="16"/>
      <c r="M8" s="16"/>
    </row>
    <row r="9" customFormat="false" ht="15" hidden="false" customHeight="false" outlineLevel="0" collapsed="false">
      <c r="A9" s="16"/>
      <c r="B9" s="16"/>
      <c r="C9" s="16"/>
      <c r="D9" s="16"/>
      <c r="E9" s="17"/>
      <c r="F9" s="17"/>
      <c r="G9" s="18" t="n">
        <f aca="false">Parcerias!$B$5</f>
        <v>0.5</v>
      </c>
      <c r="H9" s="18" t="n">
        <f aca="false">Parcerias!$B$6</f>
        <v>0.3</v>
      </c>
      <c r="I9" s="19" t="str">
        <f aca="false">IF(OR(E9="",F9=""),"",E9*G9+F9*H9*Parcerias!$B$7)</f>
        <v/>
      </c>
      <c r="J9" s="16"/>
      <c r="K9" s="16"/>
      <c r="L9" s="16"/>
      <c r="M9" s="16"/>
    </row>
    <row r="10" customFormat="false" ht="15" hidden="false" customHeight="false" outlineLevel="0" collapsed="false">
      <c r="A10" s="16"/>
      <c r="B10" s="16"/>
      <c r="C10" s="16"/>
      <c r="D10" s="16"/>
      <c r="E10" s="17"/>
      <c r="F10" s="17"/>
      <c r="G10" s="18" t="n">
        <f aca="false">Parcerias!$B$5</f>
        <v>0.5</v>
      </c>
      <c r="H10" s="18" t="n">
        <f aca="false">Parcerias!$B$6</f>
        <v>0.3</v>
      </c>
      <c r="I10" s="19" t="str">
        <f aca="false">IF(OR(E10="",F10=""),"",E10*G10+F10*H10*Parcerias!$B$7)</f>
        <v/>
      </c>
      <c r="J10" s="16"/>
      <c r="K10" s="16"/>
      <c r="L10" s="16"/>
      <c r="M10" s="16"/>
    </row>
    <row r="11" customFormat="false" ht="15" hidden="false" customHeight="false" outlineLevel="0" collapsed="false">
      <c r="A11" s="16"/>
      <c r="B11" s="16"/>
      <c r="C11" s="16"/>
      <c r="D11" s="16"/>
      <c r="E11" s="17"/>
      <c r="F11" s="17"/>
      <c r="G11" s="18" t="n">
        <f aca="false">Parcerias!$B$5</f>
        <v>0.5</v>
      </c>
      <c r="H11" s="18" t="n">
        <f aca="false">Parcerias!$B$6</f>
        <v>0.3</v>
      </c>
      <c r="I11" s="19" t="str">
        <f aca="false">IF(OR(E11="",F11=""),"",E11*G11+F11*H11*Parcerias!$B$7)</f>
        <v/>
      </c>
      <c r="J11" s="16"/>
      <c r="K11" s="16"/>
      <c r="L11" s="16"/>
      <c r="M11" s="16"/>
    </row>
    <row r="12" customFormat="false" ht="15" hidden="false" customHeight="false" outlineLevel="0" collapsed="false">
      <c r="A12" s="16"/>
      <c r="B12" s="16"/>
      <c r="C12" s="16"/>
      <c r="D12" s="16"/>
      <c r="E12" s="17"/>
      <c r="F12" s="17"/>
      <c r="G12" s="18" t="n">
        <f aca="false">Parcerias!$B$5</f>
        <v>0.5</v>
      </c>
      <c r="H12" s="18" t="n">
        <f aca="false">Parcerias!$B$6</f>
        <v>0.3</v>
      </c>
      <c r="I12" s="19" t="str">
        <f aca="false">IF(OR(E12="",F12=""),"",E12*G12+F12*H12*Parcerias!$B$7)</f>
        <v/>
      </c>
      <c r="J12" s="16"/>
      <c r="K12" s="16"/>
      <c r="L12" s="16"/>
      <c r="M12" s="16"/>
    </row>
    <row r="13" customFormat="false" ht="15" hidden="false" customHeight="false" outlineLevel="0" collapsed="false">
      <c r="A13" s="16"/>
      <c r="B13" s="16"/>
      <c r="C13" s="16"/>
      <c r="D13" s="16"/>
      <c r="E13" s="17"/>
      <c r="F13" s="17"/>
      <c r="G13" s="18" t="n">
        <f aca="false">Parcerias!$B$5</f>
        <v>0.5</v>
      </c>
      <c r="H13" s="18" t="n">
        <f aca="false">Parcerias!$B$6</f>
        <v>0.3</v>
      </c>
      <c r="I13" s="19" t="str">
        <f aca="false">IF(OR(E13="",F13=""),"",E13*G13+F13*H13*Parcerias!$B$7)</f>
        <v/>
      </c>
      <c r="J13" s="16"/>
      <c r="K13" s="16"/>
      <c r="L13" s="16"/>
      <c r="M13" s="16"/>
    </row>
    <row r="14" customFormat="false" ht="15" hidden="false" customHeight="false" outlineLevel="0" collapsed="false">
      <c r="A14" s="16"/>
      <c r="B14" s="16"/>
      <c r="C14" s="16"/>
      <c r="D14" s="16"/>
      <c r="E14" s="17"/>
      <c r="F14" s="17"/>
      <c r="G14" s="18" t="n">
        <f aca="false">Parcerias!$B$5</f>
        <v>0.5</v>
      </c>
      <c r="H14" s="18" t="n">
        <f aca="false">Parcerias!$B$6</f>
        <v>0.3</v>
      </c>
      <c r="I14" s="19" t="str">
        <f aca="false">IF(OR(E14="",F14=""),"",E14*G14+F14*H14*Parcerias!$B$7)</f>
        <v/>
      </c>
      <c r="J14" s="16"/>
      <c r="K14" s="16"/>
      <c r="L14" s="16"/>
      <c r="M14" s="16"/>
    </row>
    <row r="15" customFormat="false" ht="15" hidden="false" customHeight="false" outlineLevel="0" collapsed="false">
      <c r="A15" s="16"/>
      <c r="B15" s="16"/>
      <c r="C15" s="16"/>
      <c r="D15" s="16"/>
      <c r="E15" s="17"/>
      <c r="F15" s="17"/>
      <c r="G15" s="18" t="n">
        <f aca="false">Parcerias!$B$5</f>
        <v>0.5</v>
      </c>
      <c r="H15" s="18" t="n">
        <f aca="false">Parcerias!$B$6</f>
        <v>0.3</v>
      </c>
      <c r="I15" s="19" t="str">
        <f aca="false">IF(OR(E15="",F15=""),"",E15*G15+F15*H15*Parcerias!$B$7)</f>
        <v/>
      </c>
      <c r="J15" s="16"/>
      <c r="K15" s="16"/>
      <c r="L15" s="16"/>
      <c r="M15" s="16"/>
    </row>
    <row r="16" customFormat="false" ht="15" hidden="false" customHeight="false" outlineLevel="0" collapsed="false">
      <c r="A16" s="16"/>
      <c r="B16" s="16"/>
      <c r="C16" s="16"/>
      <c r="D16" s="16"/>
      <c r="E16" s="17"/>
      <c r="F16" s="17"/>
      <c r="G16" s="18" t="n">
        <f aca="false">Parcerias!$B$5</f>
        <v>0.5</v>
      </c>
      <c r="H16" s="18" t="n">
        <f aca="false">Parcerias!$B$6</f>
        <v>0.3</v>
      </c>
      <c r="I16" s="19" t="str">
        <f aca="false">IF(OR(E16="",F16=""),"",E16*G16+F16*H16*Parcerias!$B$7)</f>
        <v/>
      </c>
      <c r="J16" s="16"/>
      <c r="K16" s="16"/>
      <c r="L16" s="16"/>
      <c r="M16" s="16"/>
    </row>
    <row r="17" customFormat="false" ht="15" hidden="false" customHeight="false" outlineLevel="0" collapsed="false">
      <c r="A17" s="16"/>
      <c r="B17" s="16"/>
      <c r="C17" s="16"/>
      <c r="D17" s="16"/>
      <c r="E17" s="17"/>
      <c r="F17" s="17"/>
      <c r="G17" s="18" t="n">
        <f aca="false">Parcerias!$B$5</f>
        <v>0.5</v>
      </c>
      <c r="H17" s="18" t="n">
        <f aca="false">Parcerias!$B$6</f>
        <v>0.3</v>
      </c>
      <c r="I17" s="19" t="str">
        <f aca="false">IF(OR(E17="",F17=""),"",E17*G17+F17*H17*Parcerias!$B$7)</f>
        <v/>
      </c>
      <c r="J17" s="16"/>
      <c r="K17" s="16"/>
      <c r="L17" s="16"/>
      <c r="M17" s="16"/>
    </row>
    <row r="18" customFormat="false" ht="15" hidden="false" customHeight="false" outlineLevel="0" collapsed="false">
      <c r="A18" s="16"/>
      <c r="B18" s="16"/>
      <c r="C18" s="16"/>
      <c r="D18" s="16"/>
      <c r="E18" s="17"/>
      <c r="F18" s="17"/>
      <c r="G18" s="18" t="n">
        <f aca="false">Parcerias!$B$5</f>
        <v>0.5</v>
      </c>
      <c r="H18" s="18" t="n">
        <f aca="false">Parcerias!$B$6</f>
        <v>0.3</v>
      </c>
      <c r="I18" s="19" t="str">
        <f aca="false">IF(OR(E18="",F18=""),"",E18*G18+F18*H18*Parcerias!$B$7)</f>
        <v/>
      </c>
      <c r="J18" s="16"/>
      <c r="K18" s="16"/>
      <c r="L18" s="16"/>
      <c r="M18" s="16"/>
    </row>
  </sheetData>
  <dataValidations count="3">
    <dataValidation allowBlank="true" errorStyle="stop" operator="between" showDropDown="false" showErrorMessage="false" showInputMessage="false" sqref="D5:D18" type="list">
      <formula1>"EAD,Presencial,Híbrido"</formula1>
      <formula2>0</formula2>
    </dataValidation>
    <dataValidation allowBlank="true" errorStyle="stop" operator="between" showDropDown="false" showErrorMessage="false" showInputMessage="false" sqref="L5:L18" type="list">
      <formula1>"Não contatada,Conversando,Proposta enviada,Fechada,Descartada"</formula1>
      <formula2>0</formula2>
    </dataValidation>
    <dataValidation allowBlank="true" errorStyle="stop" operator="between" showDropDown="false" showErrorMessage="false" showInputMessage="false" sqref="J5:J18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true"/>
  </sheetPr>
  <dimension ref="A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44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9" min="7" style="0" width="14"/>
    <col collapsed="false" customWidth="true" hidden="false" outlineLevel="0" max="10" min="10" style="0" width="16"/>
    <col collapsed="false" customWidth="true" hidden="false" outlineLevel="0" max="11" min="11" style="0" width="26"/>
    <col collapsed="false" customWidth="true" hidden="false" outlineLevel="0" max="12" min="12" style="0" width="18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211</v>
      </c>
    </row>
    <row r="2" customFormat="false" ht="15" hidden="false" customHeight="false" outlineLevel="0" collapsed="false">
      <c r="A2" s="2" t="s">
        <v>212</v>
      </c>
    </row>
    <row r="4" customFormat="false" ht="45.75" hidden="false" customHeight="true" outlineLevel="0" collapsed="false">
      <c r="A4" s="8" t="s">
        <v>191</v>
      </c>
      <c r="B4" s="8" t="s">
        <v>192</v>
      </c>
      <c r="C4" s="8" t="s">
        <v>193</v>
      </c>
      <c r="D4" s="8" t="s">
        <v>194</v>
      </c>
      <c r="E4" s="8" t="s">
        <v>125</v>
      </c>
      <c r="F4" s="8" t="s">
        <v>127</v>
      </c>
      <c r="G4" s="8" t="s">
        <v>114</v>
      </c>
      <c r="H4" s="8" t="s">
        <v>195</v>
      </c>
      <c r="I4" s="8" t="s">
        <v>129</v>
      </c>
      <c r="J4" s="8" t="s">
        <v>196</v>
      </c>
      <c r="K4" s="8" t="s">
        <v>197</v>
      </c>
      <c r="L4" s="8" t="s">
        <v>198</v>
      </c>
      <c r="M4" s="8" t="s">
        <v>113</v>
      </c>
    </row>
    <row r="5" customFormat="false" ht="23.85" hidden="false" customHeight="false" outlineLevel="0" collapsed="false">
      <c r="A5" s="16" t="s">
        <v>213</v>
      </c>
      <c r="B5" s="16" t="s">
        <v>200</v>
      </c>
      <c r="C5" s="16" t="s">
        <v>214</v>
      </c>
      <c r="D5" s="16" t="s">
        <v>215</v>
      </c>
      <c r="E5" s="17" t="n">
        <v>250</v>
      </c>
      <c r="F5" s="17" t="n">
        <v>380</v>
      </c>
      <c r="G5" s="18" t="n">
        <f aca="false">Parcerias!$B$5</f>
        <v>0.5</v>
      </c>
      <c r="H5" s="18" t="n">
        <f aca="false">Parcerias!$B$6</f>
        <v>0.3</v>
      </c>
      <c r="I5" s="19" t="n">
        <f aca="false">IF(OR(E5="",F5=""),"",E5*G5+F5*H5*Parcerias!$B$7)</f>
        <v>1493</v>
      </c>
      <c r="J5" s="16" t="s">
        <v>203</v>
      </c>
      <c r="K5" s="16" t="s">
        <v>204</v>
      </c>
      <c r="L5" s="16" t="s">
        <v>216</v>
      </c>
      <c r="M5" s="16" t="s">
        <v>206</v>
      </c>
    </row>
    <row r="6" customFormat="false" ht="15" hidden="false" customHeight="false" outlineLevel="0" collapsed="false">
      <c r="A6" s="16"/>
      <c r="B6" s="16"/>
      <c r="C6" s="16"/>
      <c r="D6" s="16"/>
      <c r="E6" s="17"/>
      <c r="F6" s="17"/>
      <c r="G6" s="18" t="n">
        <f aca="false">Parcerias!$B$5</f>
        <v>0.5</v>
      </c>
      <c r="H6" s="18" t="n">
        <f aca="false">Parcerias!$B$6</f>
        <v>0.3</v>
      </c>
      <c r="I6" s="19" t="str">
        <f aca="false">IF(OR(E6="",F6=""),"",E6*G6+F6*H6*Parcerias!$B$7)</f>
        <v/>
      </c>
      <c r="J6" s="16"/>
      <c r="K6" s="16"/>
      <c r="L6" s="16"/>
      <c r="M6" s="16"/>
    </row>
    <row r="7" customFormat="false" ht="15" hidden="false" customHeight="false" outlineLevel="0" collapsed="false">
      <c r="A7" s="16"/>
      <c r="B7" s="16"/>
      <c r="C7" s="16"/>
      <c r="D7" s="16"/>
      <c r="E7" s="17"/>
      <c r="F7" s="17"/>
      <c r="G7" s="18" t="n">
        <f aca="false">Parcerias!$B$5</f>
        <v>0.5</v>
      </c>
      <c r="H7" s="18" t="n">
        <f aca="false">Parcerias!$B$6</f>
        <v>0.3</v>
      </c>
      <c r="I7" s="19" t="str">
        <f aca="false">IF(OR(E7="",F7=""),"",E7*G7+F7*H7*Parcerias!$B$7)</f>
        <v/>
      </c>
      <c r="J7" s="16"/>
      <c r="K7" s="16"/>
      <c r="L7" s="16"/>
      <c r="M7" s="16"/>
    </row>
    <row r="8" customFormat="false" ht="15" hidden="false" customHeight="false" outlineLevel="0" collapsed="false">
      <c r="A8" s="16"/>
      <c r="B8" s="16"/>
      <c r="C8" s="16"/>
      <c r="D8" s="16"/>
      <c r="E8" s="17"/>
      <c r="F8" s="17"/>
      <c r="G8" s="18" t="n">
        <f aca="false">Parcerias!$B$5</f>
        <v>0.5</v>
      </c>
      <c r="H8" s="18" t="n">
        <f aca="false">Parcerias!$B$6</f>
        <v>0.3</v>
      </c>
      <c r="I8" s="19" t="str">
        <f aca="false">IF(OR(E8="",F8=""),"",E8*G8+F8*H8*Parcerias!$B$7)</f>
        <v/>
      </c>
      <c r="J8" s="16"/>
      <c r="K8" s="16"/>
      <c r="L8" s="16"/>
      <c r="M8" s="16"/>
    </row>
    <row r="9" customFormat="false" ht="15" hidden="false" customHeight="false" outlineLevel="0" collapsed="false">
      <c r="A9" s="16"/>
      <c r="B9" s="16"/>
      <c r="C9" s="16"/>
      <c r="D9" s="16"/>
      <c r="E9" s="17"/>
      <c r="F9" s="17"/>
      <c r="G9" s="18" t="n">
        <f aca="false">Parcerias!$B$5</f>
        <v>0.5</v>
      </c>
      <c r="H9" s="18" t="n">
        <f aca="false">Parcerias!$B$6</f>
        <v>0.3</v>
      </c>
      <c r="I9" s="19" t="str">
        <f aca="false">IF(OR(E9="",F9=""),"",E9*G9+F9*H9*Parcerias!$B$7)</f>
        <v/>
      </c>
      <c r="J9" s="16"/>
      <c r="K9" s="16"/>
      <c r="L9" s="16"/>
      <c r="M9" s="16"/>
    </row>
    <row r="10" customFormat="false" ht="15" hidden="false" customHeight="false" outlineLevel="0" collapsed="false">
      <c r="A10" s="16"/>
      <c r="B10" s="16"/>
      <c r="C10" s="16"/>
      <c r="D10" s="16"/>
      <c r="E10" s="17"/>
      <c r="F10" s="17"/>
      <c r="G10" s="18" t="n">
        <f aca="false">Parcerias!$B$5</f>
        <v>0.5</v>
      </c>
      <c r="H10" s="18" t="n">
        <f aca="false">Parcerias!$B$6</f>
        <v>0.3</v>
      </c>
      <c r="I10" s="19" t="str">
        <f aca="false">IF(OR(E10="",F10=""),"",E10*G10+F10*H10*Parcerias!$B$7)</f>
        <v/>
      </c>
      <c r="J10" s="16"/>
      <c r="K10" s="16"/>
      <c r="L10" s="16"/>
      <c r="M10" s="16"/>
    </row>
    <row r="11" customFormat="false" ht="15" hidden="false" customHeight="false" outlineLevel="0" collapsed="false">
      <c r="A11" s="16"/>
      <c r="B11" s="16"/>
      <c r="C11" s="16"/>
      <c r="D11" s="16"/>
      <c r="E11" s="17"/>
      <c r="F11" s="17"/>
      <c r="G11" s="18" t="n">
        <f aca="false">Parcerias!$B$5</f>
        <v>0.5</v>
      </c>
      <c r="H11" s="18" t="n">
        <f aca="false">Parcerias!$B$6</f>
        <v>0.3</v>
      </c>
      <c r="I11" s="19" t="str">
        <f aca="false">IF(OR(E11="",F11=""),"",E11*G11+F11*H11*Parcerias!$B$7)</f>
        <v/>
      </c>
      <c r="J11" s="16"/>
      <c r="K11" s="16"/>
      <c r="L11" s="16"/>
      <c r="M11" s="16"/>
    </row>
    <row r="12" customFormat="false" ht="15" hidden="false" customHeight="false" outlineLevel="0" collapsed="false">
      <c r="A12" s="16"/>
      <c r="B12" s="16"/>
      <c r="C12" s="16"/>
      <c r="D12" s="16"/>
      <c r="E12" s="17"/>
      <c r="F12" s="17"/>
      <c r="G12" s="18" t="n">
        <f aca="false">Parcerias!$B$5</f>
        <v>0.5</v>
      </c>
      <c r="H12" s="18" t="n">
        <f aca="false">Parcerias!$B$6</f>
        <v>0.3</v>
      </c>
      <c r="I12" s="19" t="str">
        <f aca="false">IF(OR(E12="",F12=""),"",E12*G12+F12*H12*Parcerias!$B$7)</f>
        <v/>
      </c>
      <c r="J12" s="16"/>
      <c r="K12" s="16"/>
      <c r="L12" s="16"/>
      <c r="M12" s="16"/>
    </row>
    <row r="13" customFormat="false" ht="15" hidden="false" customHeight="false" outlineLevel="0" collapsed="false">
      <c r="A13" s="16"/>
      <c r="B13" s="16"/>
      <c r="C13" s="16"/>
      <c r="D13" s="16"/>
      <c r="E13" s="17"/>
      <c r="F13" s="17"/>
      <c r="G13" s="18" t="n">
        <f aca="false">Parcerias!$B$5</f>
        <v>0.5</v>
      </c>
      <c r="H13" s="18" t="n">
        <f aca="false">Parcerias!$B$6</f>
        <v>0.3</v>
      </c>
      <c r="I13" s="19" t="str">
        <f aca="false">IF(OR(E13="",F13=""),"",E13*G13+F13*H13*Parcerias!$B$7)</f>
        <v/>
      </c>
      <c r="J13" s="16"/>
      <c r="K13" s="16"/>
      <c r="L13" s="16"/>
      <c r="M13" s="16"/>
    </row>
    <row r="14" customFormat="false" ht="15" hidden="false" customHeight="false" outlineLevel="0" collapsed="false">
      <c r="A14" s="16"/>
      <c r="B14" s="16"/>
      <c r="C14" s="16"/>
      <c r="D14" s="16"/>
      <c r="E14" s="17"/>
      <c r="F14" s="17"/>
      <c r="G14" s="18" t="n">
        <f aca="false">Parcerias!$B$5</f>
        <v>0.5</v>
      </c>
      <c r="H14" s="18" t="n">
        <f aca="false">Parcerias!$B$6</f>
        <v>0.3</v>
      </c>
      <c r="I14" s="19" t="str">
        <f aca="false">IF(OR(E14="",F14=""),"",E14*G14+F14*H14*Parcerias!$B$7)</f>
        <v/>
      </c>
      <c r="J14" s="16"/>
      <c r="K14" s="16"/>
      <c r="L14" s="16"/>
      <c r="M14" s="16"/>
    </row>
    <row r="15" customFormat="false" ht="15" hidden="false" customHeight="false" outlineLevel="0" collapsed="false">
      <c r="A15" s="16"/>
      <c r="B15" s="16"/>
      <c r="C15" s="16"/>
      <c r="D15" s="16"/>
      <c r="E15" s="17"/>
      <c r="F15" s="17"/>
      <c r="G15" s="18" t="n">
        <f aca="false">Parcerias!$B$5</f>
        <v>0.5</v>
      </c>
      <c r="H15" s="18" t="n">
        <f aca="false">Parcerias!$B$6</f>
        <v>0.3</v>
      </c>
      <c r="I15" s="19" t="str">
        <f aca="false">IF(OR(E15="",F15=""),"",E15*G15+F15*H15*Parcerias!$B$7)</f>
        <v/>
      </c>
      <c r="J15" s="16"/>
      <c r="K15" s="16"/>
      <c r="L15" s="16"/>
      <c r="M15" s="16"/>
    </row>
    <row r="16" customFormat="false" ht="15" hidden="false" customHeight="false" outlineLevel="0" collapsed="false">
      <c r="A16" s="16"/>
      <c r="B16" s="16"/>
      <c r="C16" s="16"/>
      <c r="D16" s="16"/>
      <c r="E16" s="17"/>
      <c r="F16" s="17"/>
      <c r="G16" s="18" t="n">
        <f aca="false">Parcerias!$B$5</f>
        <v>0.5</v>
      </c>
      <c r="H16" s="18" t="n">
        <f aca="false">Parcerias!$B$6</f>
        <v>0.3</v>
      </c>
      <c r="I16" s="19" t="str">
        <f aca="false">IF(OR(E16="",F16=""),"",E16*G16+F16*H16*Parcerias!$B$7)</f>
        <v/>
      </c>
      <c r="J16" s="16"/>
      <c r="K16" s="16"/>
      <c r="L16" s="16"/>
      <c r="M16" s="16"/>
    </row>
    <row r="17" customFormat="false" ht="15" hidden="false" customHeight="false" outlineLevel="0" collapsed="false">
      <c r="A17" s="16"/>
      <c r="B17" s="16"/>
      <c r="C17" s="16"/>
      <c r="D17" s="16"/>
      <c r="E17" s="17"/>
      <c r="F17" s="17"/>
      <c r="G17" s="18" t="n">
        <f aca="false">Parcerias!$B$5</f>
        <v>0.5</v>
      </c>
      <c r="H17" s="18" t="n">
        <f aca="false">Parcerias!$B$6</f>
        <v>0.3</v>
      </c>
      <c r="I17" s="19" t="str">
        <f aca="false">IF(OR(E17="",F17=""),"",E17*G17+F17*H17*Parcerias!$B$7)</f>
        <v/>
      </c>
      <c r="J17" s="16"/>
      <c r="K17" s="16"/>
      <c r="L17" s="16"/>
      <c r="M17" s="16"/>
    </row>
  </sheetData>
  <dataValidations count="3">
    <dataValidation allowBlank="true" errorStyle="stop" operator="between" showDropDown="false" showErrorMessage="false" showInputMessage="false" sqref="D5:D17" type="list">
      <formula1>"EAD,Presencial,Híbrido"</formula1>
      <formula2>0</formula2>
    </dataValidation>
    <dataValidation allowBlank="true" errorStyle="stop" operator="between" showDropDown="false" showErrorMessage="false" showInputMessage="false" sqref="L5:L17" type="list">
      <formula1>"Não contatada,Conversando,Proposta enviada,Fechada,Descartada"</formula1>
      <formula2>0</formula2>
    </dataValidation>
    <dataValidation allowBlank="true" errorStyle="stop" operator="between" showDropDown="false" showErrorMessage="false" showInputMessage="false" sqref="J5:J17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38"/>
    <col collapsed="false" customWidth="true" hidden="false" outlineLevel="0" max="5" min="5" style="0" width="11"/>
    <col collapsed="false" customWidth="true" hidden="false" outlineLevel="0" max="6" min="6" style="0" width="46"/>
    <col collapsed="false" customWidth="true" hidden="false" outlineLevel="0" max="7" min="7" style="0" width="30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4" customFormat="false" ht="31.5" hidden="false" customHeight="true" outlineLevel="0" collapsed="false">
      <c r="A4" s="8" t="s">
        <v>219</v>
      </c>
      <c r="B4" s="8" t="s">
        <v>220</v>
      </c>
      <c r="C4" s="8" t="s">
        <v>193</v>
      </c>
      <c r="D4" s="8" t="s">
        <v>221</v>
      </c>
      <c r="E4" s="8" t="s">
        <v>222</v>
      </c>
      <c r="F4" s="8" t="s">
        <v>223</v>
      </c>
      <c r="G4" s="8" t="s">
        <v>224</v>
      </c>
      <c r="H4" s="8" t="s">
        <v>198</v>
      </c>
    </row>
    <row r="5" customFormat="false" ht="15" hidden="false" customHeight="false" outlineLevel="0" collapsed="false">
      <c r="A5" s="13" t="n">
        <v>1</v>
      </c>
      <c r="B5" s="7" t="s">
        <v>225</v>
      </c>
      <c r="C5" s="7" t="s">
        <v>226</v>
      </c>
      <c r="D5" s="7" t="s">
        <v>227</v>
      </c>
      <c r="E5" s="13" t="n">
        <v>10</v>
      </c>
      <c r="F5" s="7" t="s">
        <v>228</v>
      </c>
      <c r="G5" s="16"/>
      <c r="H5" s="12" t="s">
        <v>229</v>
      </c>
    </row>
    <row r="6" customFormat="false" ht="15" hidden="false" customHeight="false" outlineLevel="0" collapsed="false">
      <c r="A6" s="13" t="n">
        <v>2</v>
      </c>
      <c r="B6" s="7" t="s">
        <v>230</v>
      </c>
      <c r="C6" s="7" t="s">
        <v>231</v>
      </c>
      <c r="D6" s="7" t="s">
        <v>227</v>
      </c>
      <c r="E6" s="13" t="n">
        <v>20</v>
      </c>
      <c r="F6" s="7" t="s">
        <v>228</v>
      </c>
      <c r="G6" s="16"/>
      <c r="H6" s="12" t="s">
        <v>229</v>
      </c>
    </row>
    <row r="7" customFormat="false" ht="15" hidden="false" customHeight="false" outlineLevel="0" collapsed="false">
      <c r="A7" s="13" t="n">
        <v>3</v>
      </c>
      <c r="B7" s="7" t="s">
        <v>230</v>
      </c>
      <c r="C7" s="7" t="s">
        <v>232</v>
      </c>
      <c r="D7" s="7" t="s">
        <v>227</v>
      </c>
      <c r="E7" s="13" t="n">
        <v>8</v>
      </c>
      <c r="F7" s="7" t="s">
        <v>228</v>
      </c>
      <c r="G7" s="16"/>
      <c r="H7" s="12" t="s">
        <v>229</v>
      </c>
    </row>
    <row r="8" customFormat="false" ht="15" hidden="false" customHeight="false" outlineLevel="0" collapsed="false">
      <c r="A8" s="13" t="n">
        <v>4</v>
      </c>
      <c r="B8" s="7" t="s">
        <v>230</v>
      </c>
      <c r="C8" s="7" t="s">
        <v>233</v>
      </c>
      <c r="D8" s="7" t="s">
        <v>227</v>
      </c>
      <c r="E8" s="13" t="n">
        <v>20</v>
      </c>
      <c r="F8" s="7" t="s">
        <v>228</v>
      </c>
      <c r="G8" s="16"/>
      <c r="H8" s="12" t="s">
        <v>229</v>
      </c>
    </row>
    <row r="9" customFormat="false" ht="15" hidden="false" customHeight="false" outlineLevel="0" collapsed="false">
      <c r="A9" s="13" t="n">
        <v>5</v>
      </c>
      <c r="B9" s="7" t="s">
        <v>230</v>
      </c>
      <c r="C9" s="7" t="s">
        <v>234</v>
      </c>
      <c r="D9" s="7" t="s">
        <v>227</v>
      </c>
      <c r="E9" s="13" t="n">
        <v>20</v>
      </c>
      <c r="F9" s="7" t="s">
        <v>228</v>
      </c>
      <c r="G9" s="16"/>
      <c r="H9" s="12" t="s">
        <v>229</v>
      </c>
    </row>
    <row r="10" customFormat="false" ht="15" hidden="false" customHeight="false" outlineLevel="0" collapsed="false">
      <c r="A10" s="13" t="n">
        <v>6</v>
      </c>
      <c r="B10" s="7" t="s">
        <v>230</v>
      </c>
      <c r="C10" s="7" t="s">
        <v>235</v>
      </c>
      <c r="D10" s="7" t="s">
        <v>227</v>
      </c>
      <c r="E10" s="13" t="n">
        <v>12</v>
      </c>
      <c r="F10" s="7" t="s">
        <v>228</v>
      </c>
      <c r="G10" s="16"/>
      <c r="H10" s="12" t="s">
        <v>229</v>
      </c>
    </row>
    <row r="11" customFormat="false" ht="15" hidden="false" customHeight="false" outlineLevel="0" collapsed="false">
      <c r="A11" s="13" t="n">
        <v>7</v>
      </c>
      <c r="B11" s="7" t="s">
        <v>236</v>
      </c>
      <c r="C11" s="7" t="s">
        <v>237</v>
      </c>
      <c r="D11" s="7" t="s">
        <v>227</v>
      </c>
      <c r="E11" s="13" t="n">
        <v>10</v>
      </c>
      <c r="F11" s="7" t="s">
        <v>228</v>
      </c>
      <c r="G11" s="16"/>
      <c r="H11" s="12" t="s">
        <v>229</v>
      </c>
    </row>
    <row r="12" customFormat="false" ht="15" hidden="false" customHeight="false" outlineLevel="0" collapsed="false">
      <c r="A12" s="13" t="n">
        <v>8</v>
      </c>
      <c r="B12" s="7" t="s">
        <v>236</v>
      </c>
      <c r="C12" s="7" t="s">
        <v>238</v>
      </c>
      <c r="D12" s="7" t="s">
        <v>239</v>
      </c>
      <c r="E12" s="13" t="n">
        <v>40</v>
      </c>
      <c r="F12" s="7" t="s">
        <v>240</v>
      </c>
      <c r="G12" s="16"/>
      <c r="H12" s="12" t="s">
        <v>229</v>
      </c>
    </row>
    <row r="13" customFormat="false" ht="23.85" hidden="false" customHeight="false" outlineLevel="0" collapsed="false">
      <c r="A13" s="13" t="n">
        <v>9</v>
      </c>
      <c r="B13" s="7" t="s">
        <v>236</v>
      </c>
      <c r="C13" s="7" t="s">
        <v>241</v>
      </c>
      <c r="D13" s="7" t="s">
        <v>239</v>
      </c>
      <c r="E13" s="13" t="s">
        <v>242</v>
      </c>
      <c r="F13" s="7" t="s">
        <v>240</v>
      </c>
      <c r="G13" s="16"/>
      <c r="H13" s="12" t="s">
        <v>229</v>
      </c>
    </row>
    <row r="14" customFormat="false" ht="23.85" hidden="false" customHeight="false" outlineLevel="0" collapsed="false">
      <c r="A14" s="13" t="n">
        <v>10</v>
      </c>
      <c r="B14" s="7" t="s">
        <v>236</v>
      </c>
      <c r="C14" s="7" t="s">
        <v>243</v>
      </c>
      <c r="D14" s="7" t="s">
        <v>239</v>
      </c>
      <c r="E14" s="13" t="s">
        <v>242</v>
      </c>
      <c r="F14" s="7" t="s">
        <v>240</v>
      </c>
      <c r="G14" s="16"/>
      <c r="H14" s="12" t="s">
        <v>229</v>
      </c>
    </row>
    <row r="15" customFormat="false" ht="23.85" hidden="false" customHeight="false" outlineLevel="0" collapsed="false">
      <c r="A15" s="13" t="n">
        <v>11</v>
      </c>
      <c r="B15" s="7" t="s">
        <v>236</v>
      </c>
      <c r="C15" s="7" t="s">
        <v>244</v>
      </c>
      <c r="D15" s="7" t="s">
        <v>239</v>
      </c>
      <c r="E15" s="13" t="s">
        <v>242</v>
      </c>
      <c r="F15" s="7" t="s">
        <v>240</v>
      </c>
      <c r="G15" s="16"/>
      <c r="H15" s="12" t="s">
        <v>229</v>
      </c>
    </row>
    <row r="16" customFormat="false" ht="23.85" hidden="false" customHeight="false" outlineLevel="0" collapsed="false">
      <c r="A16" s="13" t="n">
        <v>12</v>
      </c>
      <c r="B16" s="7" t="s">
        <v>236</v>
      </c>
      <c r="C16" s="7" t="s">
        <v>245</v>
      </c>
      <c r="D16" s="7" t="s">
        <v>239</v>
      </c>
      <c r="E16" s="13" t="s">
        <v>242</v>
      </c>
      <c r="F16" s="7" t="s">
        <v>240</v>
      </c>
      <c r="G16" s="16"/>
      <c r="H16" s="12" t="s">
        <v>229</v>
      </c>
    </row>
    <row r="17" customFormat="false" ht="23.85" hidden="false" customHeight="false" outlineLevel="0" collapsed="false">
      <c r="A17" s="13" t="n">
        <v>13</v>
      </c>
      <c r="B17" s="7" t="s">
        <v>236</v>
      </c>
      <c r="C17" s="7" t="s">
        <v>246</v>
      </c>
      <c r="D17" s="7" t="s">
        <v>239</v>
      </c>
      <c r="E17" s="13" t="s">
        <v>242</v>
      </c>
      <c r="F17" s="7" t="s">
        <v>240</v>
      </c>
      <c r="G17" s="16"/>
      <c r="H17" s="12" t="s">
        <v>229</v>
      </c>
    </row>
    <row r="18" customFormat="false" ht="23.85" hidden="false" customHeight="false" outlineLevel="0" collapsed="false">
      <c r="A18" s="13" t="n">
        <v>14</v>
      </c>
      <c r="B18" s="7" t="s">
        <v>236</v>
      </c>
      <c r="C18" s="7" t="s">
        <v>247</v>
      </c>
      <c r="D18" s="7" t="s">
        <v>239</v>
      </c>
      <c r="E18" s="13" t="s">
        <v>242</v>
      </c>
      <c r="F18" s="7" t="s">
        <v>240</v>
      </c>
      <c r="G18" s="16"/>
      <c r="H18" s="12" t="s">
        <v>229</v>
      </c>
    </row>
    <row r="19" customFormat="false" ht="23.85" hidden="false" customHeight="false" outlineLevel="0" collapsed="false">
      <c r="A19" s="13" t="n">
        <v>15</v>
      </c>
      <c r="B19" s="7" t="s">
        <v>236</v>
      </c>
      <c r="C19" s="7" t="s">
        <v>248</v>
      </c>
      <c r="D19" s="7" t="s">
        <v>239</v>
      </c>
      <c r="E19" s="13" t="s">
        <v>242</v>
      </c>
      <c r="F19" s="7" t="s">
        <v>240</v>
      </c>
      <c r="G19" s="16"/>
      <c r="H19" s="12" t="s">
        <v>229</v>
      </c>
    </row>
    <row r="20" customFormat="false" ht="15" hidden="false" customHeight="false" outlineLevel="0" collapsed="false">
      <c r="A20" s="13" t="n">
        <v>16</v>
      </c>
      <c r="B20" s="7" t="s">
        <v>236</v>
      </c>
      <c r="C20" s="7" t="s">
        <v>249</v>
      </c>
      <c r="D20" s="7" t="s">
        <v>227</v>
      </c>
      <c r="E20" s="13" t="n">
        <v>30</v>
      </c>
      <c r="F20" s="7" t="s">
        <v>228</v>
      </c>
      <c r="G20" s="16"/>
      <c r="H20" s="12" t="s">
        <v>229</v>
      </c>
    </row>
    <row r="21" customFormat="false" ht="23.85" hidden="false" customHeight="false" outlineLevel="0" collapsed="false">
      <c r="A21" s="13" t="n">
        <v>17</v>
      </c>
      <c r="B21" s="7" t="s">
        <v>250</v>
      </c>
      <c r="C21" s="7" t="s">
        <v>251</v>
      </c>
      <c r="D21" s="7" t="s">
        <v>239</v>
      </c>
      <c r="E21" s="13" t="s">
        <v>242</v>
      </c>
      <c r="F21" s="7" t="s">
        <v>240</v>
      </c>
      <c r="G21" s="16"/>
      <c r="H21" s="12" t="s">
        <v>229</v>
      </c>
    </row>
    <row r="22" customFormat="false" ht="23.85" hidden="false" customHeight="false" outlineLevel="0" collapsed="false">
      <c r="A22" s="13" t="n">
        <v>18</v>
      </c>
      <c r="B22" s="7" t="s">
        <v>250</v>
      </c>
      <c r="C22" s="7" t="s">
        <v>252</v>
      </c>
      <c r="D22" s="7" t="s">
        <v>239</v>
      </c>
      <c r="E22" s="13" t="s">
        <v>242</v>
      </c>
      <c r="F22" s="7" t="s">
        <v>240</v>
      </c>
      <c r="G22" s="16"/>
      <c r="H22" s="12" t="s">
        <v>229</v>
      </c>
    </row>
    <row r="23" customFormat="false" ht="23.85" hidden="false" customHeight="false" outlineLevel="0" collapsed="false">
      <c r="A23" s="13" t="n">
        <v>19</v>
      </c>
      <c r="B23" s="7" t="s">
        <v>250</v>
      </c>
      <c r="C23" s="7" t="s">
        <v>253</v>
      </c>
      <c r="D23" s="7" t="s">
        <v>239</v>
      </c>
      <c r="E23" s="13" t="s">
        <v>242</v>
      </c>
      <c r="F23" s="7" t="s">
        <v>240</v>
      </c>
      <c r="G23" s="16"/>
      <c r="H23" s="12" t="s">
        <v>229</v>
      </c>
    </row>
    <row r="24" customFormat="false" ht="15" hidden="false" customHeight="false" outlineLevel="0" collapsed="false">
      <c r="A24" s="13" t="n">
        <v>20</v>
      </c>
      <c r="B24" s="7" t="s">
        <v>250</v>
      </c>
      <c r="C24" s="7" t="s">
        <v>254</v>
      </c>
      <c r="D24" s="7" t="s">
        <v>227</v>
      </c>
      <c r="E24" s="13" t="n">
        <v>40</v>
      </c>
      <c r="F24" s="7" t="s">
        <v>228</v>
      </c>
      <c r="G24" s="16"/>
      <c r="H24" s="12" t="s">
        <v>229</v>
      </c>
    </row>
    <row r="25" customFormat="false" ht="15" hidden="false" customHeight="false" outlineLevel="0" collapsed="false">
      <c r="A25" s="13" t="n">
        <v>21</v>
      </c>
      <c r="B25" s="7" t="s">
        <v>250</v>
      </c>
      <c r="C25" s="7" t="s">
        <v>255</v>
      </c>
      <c r="D25" s="7" t="s">
        <v>227</v>
      </c>
      <c r="E25" s="13" t="n">
        <v>8</v>
      </c>
      <c r="F25" s="7" t="s">
        <v>228</v>
      </c>
      <c r="G25" s="16"/>
      <c r="H25" s="12" t="s">
        <v>229</v>
      </c>
    </row>
    <row r="26" customFormat="false" ht="15" hidden="false" customHeight="false" outlineLevel="0" collapsed="false">
      <c r="A26" s="13" t="n">
        <v>22</v>
      </c>
      <c r="B26" s="7" t="s">
        <v>256</v>
      </c>
      <c r="C26" s="7" t="s">
        <v>257</v>
      </c>
      <c r="D26" s="7" t="s">
        <v>227</v>
      </c>
      <c r="E26" s="13" t="n">
        <v>12</v>
      </c>
      <c r="F26" s="7" t="s">
        <v>228</v>
      </c>
      <c r="G26" s="16"/>
      <c r="H26" s="12" t="s">
        <v>229</v>
      </c>
    </row>
    <row r="27" customFormat="false" ht="15" hidden="false" customHeight="false" outlineLevel="0" collapsed="false">
      <c r="A27" s="13" t="n">
        <v>23</v>
      </c>
      <c r="B27" s="7" t="s">
        <v>256</v>
      </c>
      <c r="C27" s="7" t="s">
        <v>258</v>
      </c>
      <c r="D27" s="7" t="s">
        <v>227</v>
      </c>
      <c r="E27" s="13" t="n">
        <v>12</v>
      </c>
      <c r="F27" s="7" t="s">
        <v>228</v>
      </c>
      <c r="G27" s="16"/>
      <c r="H27" s="12" t="s">
        <v>229</v>
      </c>
    </row>
    <row r="28" customFormat="false" ht="15" hidden="false" customHeight="false" outlineLevel="0" collapsed="false">
      <c r="A28" s="13" t="n">
        <v>24</v>
      </c>
      <c r="B28" s="7" t="s">
        <v>256</v>
      </c>
      <c r="C28" s="7" t="s">
        <v>259</v>
      </c>
      <c r="D28" s="7" t="s">
        <v>227</v>
      </c>
      <c r="E28" s="13" t="n">
        <v>12</v>
      </c>
      <c r="F28" s="7" t="s">
        <v>228</v>
      </c>
      <c r="G28" s="16"/>
      <c r="H28" s="12" t="s">
        <v>229</v>
      </c>
    </row>
    <row r="29" customFormat="false" ht="23.85" hidden="false" customHeight="false" outlineLevel="0" collapsed="false">
      <c r="A29" s="13" t="n">
        <v>25</v>
      </c>
      <c r="B29" s="7" t="s">
        <v>256</v>
      </c>
      <c r="C29" s="7" t="s">
        <v>260</v>
      </c>
      <c r="D29" s="7" t="s">
        <v>239</v>
      </c>
      <c r="E29" s="13" t="s">
        <v>242</v>
      </c>
      <c r="F29" s="7" t="s">
        <v>240</v>
      </c>
      <c r="G29" s="16"/>
      <c r="H29" s="12" t="s">
        <v>229</v>
      </c>
    </row>
    <row r="30" customFormat="false" ht="15" hidden="false" customHeight="false" outlineLevel="0" collapsed="false">
      <c r="A30" s="13" t="n">
        <v>26</v>
      </c>
      <c r="B30" s="7" t="s">
        <v>261</v>
      </c>
      <c r="C30" s="7" t="s">
        <v>262</v>
      </c>
      <c r="D30" s="7" t="s">
        <v>227</v>
      </c>
      <c r="E30" s="13" t="n">
        <v>12</v>
      </c>
      <c r="F30" s="7" t="s">
        <v>228</v>
      </c>
      <c r="G30" s="16"/>
      <c r="H30" s="12" t="s">
        <v>229</v>
      </c>
    </row>
    <row r="31" customFormat="false" ht="15" hidden="false" customHeight="false" outlineLevel="0" collapsed="false">
      <c r="A31" s="13" t="n">
        <v>27</v>
      </c>
      <c r="B31" s="7" t="s">
        <v>261</v>
      </c>
      <c r="C31" s="7" t="s">
        <v>263</v>
      </c>
      <c r="D31" s="7" t="s">
        <v>227</v>
      </c>
      <c r="E31" s="13" t="n">
        <v>20</v>
      </c>
      <c r="F31" s="7" t="s">
        <v>228</v>
      </c>
      <c r="G31" s="16"/>
      <c r="H31" s="12" t="s">
        <v>229</v>
      </c>
    </row>
    <row r="32" customFormat="false" ht="23.85" hidden="false" customHeight="false" outlineLevel="0" collapsed="false">
      <c r="A32" s="13" t="n">
        <v>28</v>
      </c>
      <c r="B32" s="7" t="s">
        <v>261</v>
      </c>
      <c r="C32" s="7" t="s">
        <v>264</v>
      </c>
      <c r="D32" s="7" t="s">
        <v>239</v>
      </c>
      <c r="E32" s="13" t="s">
        <v>242</v>
      </c>
      <c r="F32" s="7" t="s">
        <v>240</v>
      </c>
      <c r="G32" s="16"/>
      <c r="H32" s="12" t="s">
        <v>229</v>
      </c>
    </row>
    <row r="33" customFormat="false" ht="15" hidden="false" customHeight="false" outlineLevel="0" collapsed="false">
      <c r="A33" s="13" t="n">
        <v>29</v>
      </c>
      <c r="B33" s="7" t="s">
        <v>261</v>
      </c>
      <c r="C33" s="7" t="s">
        <v>265</v>
      </c>
      <c r="D33" s="7" t="s">
        <v>227</v>
      </c>
      <c r="E33" s="13" t="n">
        <v>40</v>
      </c>
      <c r="F33" s="7" t="s">
        <v>228</v>
      </c>
      <c r="G33" s="16"/>
      <c r="H33" s="12" t="s">
        <v>229</v>
      </c>
    </row>
    <row r="34" customFormat="false" ht="15" hidden="false" customHeight="false" outlineLevel="0" collapsed="false">
      <c r="A34" s="13" t="n">
        <v>30</v>
      </c>
      <c r="B34" s="7" t="s">
        <v>266</v>
      </c>
      <c r="C34" s="7" t="s">
        <v>267</v>
      </c>
      <c r="D34" s="7" t="s">
        <v>227</v>
      </c>
      <c r="E34" s="13" t="n">
        <v>20</v>
      </c>
      <c r="F34" s="7" t="s">
        <v>228</v>
      </c>
      <c r="G34" s="16"/>
      <c r="H34" s="12" t="s">
        <v>229</v>
      </c>
    </row>
    <row r="35" customFormat="false" ht="23.85" hidden="false" customHeight="false" outlineLevel="0" collapsed="false">
      <c r="A35" s="13" t="n">
        <v>31</v>
      </c>
      <c r="B35" s="7" t="s">
        <v>266</v>
      </c>
      <c r="C35" s="7" t="s">
        <v>268</v>
      </c>
      <c r="D35" s="7" t="s">
        <v>239</v>
      </c>
      <c r="E35" s="13" t="s">
        <v>242</v>
      </c>
      <c r="F35" s="7" t="s">
        <v>240</v>
      </c>
      <c r="G35" s="16"/>
      <c r="H35" s="12" t="s">
        <v>229</v>
      </c>
    </row>
  </sheetData>
  <autoFilter ref="A4:H35"/>
  <dataValidations count="1">
    <dataValidation allowBlank="true" errorStyle="stop" operator="between" showDropDown="false" showErrorMessage="false" showInputMessage="false" sqref="H5:H35" type="list">
      <formula1>"Sem parceiro,Conversando,Fechado"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B3C"/>
    <pageSetUpPr fitToPage="true"/>
  </sheetPr>
  <dimension ref="A1:J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10" min="9" style="0" width="11"/>
  </cols>
  <sheetData>
    <row r="1" customFormat="false" ht="17.35" hidden="false" customHeight="false" outlineLevel="0" collapsed="false">
      <c r="A1" s="1" t="s">
        <v>269</v>
      </c>
    </row>
    <row r="2" customFormat="false" ht="15" hidden="false" customHeight="false" outlineLevel="0" collapsed="false">
      <c r="A2" s="2" t="s">
        <v>270</v>
      </c>
    </row>
    <row r="3" customFormat="false" ht="15" hidden="false" customHeight="false" outlineLevel="0" collapsed="false">
      <c r="B3" s="20" t="s">
        <v>271</v>
      </c>
      <c r="C3" s="21" t="n">
        <f aca="false">COUNTA(C8:C300)</f>
        <v>71</v>
      </c>
    </row>
    <row r="4" customFormat="false" ht="15" hidden="false" customHeight="false" outlineLevel="0" collapsed="false">
      <c r="B4" s="20" t="s">
        <v>272</v>
      </c>
      <c r="C4" s="12" t="n">
        <v>200</v>
      </c>
    </row>
    <row r="5" customFormat="false" ht="35.05" hidden="false" customHeight="false" outlineLevel="0" collapsed="false">
      <c r="B5" s="20" t="s">
        <v>273</v>
      </c>
      <c r="C5" s="21" t="n">
        <f aca="false">MAX(0,C4-C3)</f>
        <v>129</v>
      </c>
    </row>
    <row r="7" customFormat="false" ht="31.5" hidden="false" customHeight="true" outlineLevel="0" collapsed="false">
      <c r="A7" s="8" t="s">
        <v>219</v>
      </c>
      <c r="B7" s="8" t="s">
        <v>220</v>
      </c>
      <c r="C7" s="8" t="s">
        <v>193</v>
      </c>
      <c r="D7" s="8" t="s">
        <v>222</v>
      </c>
      <c r="E7" s="8" t="s">
        <v>274</v>
      </c>
      <c r="F7" s="8" t="s">
        <v>275</v>
      </c>
      <c r="G7" s="8" t="s">
        <v>276</v>
      </c>
      <c r="H7" s="8" t="s">
        <v>277</v>
      </c>
      <c r="I7" s="8" t="s">
        <v>278</v>
      </c>
      <c r="J7" s="8" t="s">
        <v>279</v>
      </c>
    </row>
    <row r="8" customFormat="false" ht="15" hidden="false" customHeight="false" outlineLevel="0" collapsed="false">
      <c r="A8" s="13" t="n">
        <v>1</v>
      </c>
      <c r="B8" s="7" t="s">
        <v>280</v>
      </c>
      <c r="C8" s="7" t="s">
        <v>281</v>
      </c>
      <c r="D8" s="13" t="n">
        <v>6</v>
      </c>
      <c r="E8" s="7" t="s">
        <v>282</v>
      </c>
      <c r="F8" s="13" t="str">
        <f aca="false">INDEX(Prioridade!$B$5:$J$9,MATCH(F$7,Prioridade!$A$5:$A$9,0),MATCH($B8,Prioridade!$B$4:$J$4,0))</f>
        <v>Média</v>
      </c>
      <c r="G8" s="13" t="str">
        <f aca="false">INDEX(Prioridade!$B$5:$J$9,MATCH(G$7,Prioridade!$A$5:$A$9,0),MATCH($B8,Prioridade!$B$4:$J$4,0))</f>
        <v>Alta</v>
      </c>
      <c r="H8" s="13" t="str">
        <f aca="false">INDEX(Prioridade!$B$5:$J$9,MATCH(H$7,Prioridade!$A$5:$A$9,0),MATCH($B8,Prioridade!$B$4:$J$4,0))</f>
        <v>Média</v>
      </c>
      <c r="I8" s="13" t="str">
        <f aca="false">INDEX(Prioridade!$B$5:$J$9,MATCH(I$7,Prioridade!$A$5:$A$9,0),MATCH($B8,Prioridade!$B$4:$J$4,0))</f>
        <v>Alta</v>
      </c>
      <c r="J8" s="13" t="str">
        <f aca="false">INDEX(Prioridade!$B$5:$J$9,MATCH(J$7,Prioridade!$A$5:$A$9,0),MATCH($B8,Prioridade!$B$4:$J$4,0))</f>
        <v>Média</v>
      </c>
    </row>
    <row r="9" customFormat="false" ht="15" hidden="false" customHeight="false" outlineLevel="0" collapsed="false">
      <c r="A9" s="13" t="n">
        <v>2</v>
      </c>
      <c r="B9" s="7" t="s">
        <v>280</v>
      </c>
      <c r="C9" s="7" t="s">
        <v>283</v>
      </c>
      <c r="D9" s="13" t="n">
        <v>8</v>
      </c>
      <c r="E9" s="7" t="s">
        <v>284</v>
      </c>
      <c r="F9" s="13" t="str">
        <f aca="false">INDEX(Prioridade!$B$5:$J$9,MATCH(F$7,Prioridade!$A$5:$A$9,0),MATCH($B9,Prioridade!$B$4:$J$4,0))</f>
        <v>Média</v>
      </c>
      <c r="G9" s="13" t="str">
        <f aca="false">INDEX(Prioridade!$B$5:$J$9,MATCH(G$7,Prioridade!$A$5:$A$9,0),MATCH($B9,Prioridade!$B$4:$J$4,0))</f>
        <v>Alta</v>
      </c>
      <c r="H9" s="13" t="str">
        <f aca="false">INDEX(Prioridade!$B$5:$J$9,MATCH(H$7,Prioridade!$A$5:$A$9,0),MATCH($B9,Prioridade!$B$4:$J$4,0))</f>
        <v>Média</v>
      </c>
      <c r="I9" s="13" t="str">
        <f aca="false">INDEX(Prioridade!$B$5:$J$9,MATCH(I$7,Prioridade!$A$5:$A$9,0),MATCH($B9,Prioridade!$B$4:$J$4,0))</f>
        <v>Alta</v>
      </c>
      <c r="J9" s="13" t="str">
        <f aca="false">INDEX(Prioridade!$B$5:$J$9,MATCH(J$7,Prioridade!$A$5:$A$9,0),MATCH($B9,Prioridade!$B$4:$J$4,0))</f>
        <v>Média</v>
      </c>
    </row>
    <row r="10" customFormat="false" ht="15" hidden="false" customHeight="false" outlineLevel="0" collapsed="false">
      <c r="A10" s="13" t="n">
        <v>3</v>
      </c>
      <c r="B10" s="7" t="s">
        <v>280</v>
      </c>
      <c r="C10" s="7" t="s">
        <v>285</v>
      </c>
      <c r="D10" s="13" t="n">
        <v>4</v>
      </c>
      <c r="E10" s="7" t="s">
        <v>286</v>
      </c>
      <c r="F10" s="13" t="str">
        <f aca="false">INDEX(Prioridade!$B$5:$J$9,MATCH(F$7,Prioridade!$A$5:$A$9,0),MATCH($B10,Prioridade!$B$4:$J$4,0))</f>
        <v>Média</v>
      </c>
      <c r="G10" s="13" t="str">
        <f aca="false">INDEX(Prioridade!$B$5:$J$9,MATCH(G$7,Prioridade!$A$5:$A$9,0),MATCH($B10,Prioridade!$B$4:$J$4,0))</f>
        <v>Alta</v>
      </c>
      <c r="H10" s="13" t="str">
        <f aca="false">INDEX(Prioridade!$B$5:$J$9,MATCH(H$7,Prioridade!$A$5:$A$9,0),MATCH($B10,Prioridade!$B$4:$J$4,0))</f>
        <v>Média</v>
      </c>
      <c r="I10" s="13" t="str">
        <f aca="false">INDEX(Prioridade!$B$5:$J$9,MATCH(I$7,Prioridade!$A$5:$A$9,0),MATCH($B10,Prioridade!$B$4:$J$4,0))</f>
        <v>Alta</v>
      </c>
      <c r="J10" s="13" t="str">
        <f aca="false">INDEX(Prioridade!$B$5:$J$9,MATCH(J$7,Prioridade!$A$5:$A$9,0),MATCH($B10,Prioridade!$B$4:$J$4,0))</f>
        <v>Média</v>
      </c>
    </row>
    <row r="11" customFormat="false" ht="15" hidden="false" customHeight="false" outlineLevel="0" collapsed="false">
      <c r="A11" s="13" t="n">
        <v>4</v>
      </c>
      <c r="B11" s="7" t="s">
        <v>280</v>
      </c>
      <c r="C11" s="7" t="s">
        <v>287</v>
      </c>
      <c r="D11" s="13" t="n">
        <v>8</v>
      </c>
      <c r="E11" s="7" t="s">
        <v>288</v>
      </c>
      <c r="F11" s="13" t="str">
        <f aca="false">INDEX(Prioridade!$B$5:$J$9,MATCH(F$7,Prioridade!$A$5:$A$9,0),MATCH($B11,Prioridade!$B$4:$J$4,0))</f>
        <v>Média</v>
      </c>
      <c r="G11" s="13" t="str">
        <f aca="false">INDEX(Prioridade!$B$5:$J$9,MATCH(G$7,Prioridade!$A$5:$A$9,0),MATCH($B11,Prioridade!$B$4:$J$4,0))</f>
        <v>Alta</v>
      </c>
      <c r="H11" s="13" t="str">
        <f aca="false">INDEX(Prioridade!$B$5:$J$9,MATCH(H$7,Prioridade!$A$5:$A$9,0),MATCH($B11,Prioridade!$B$4:$J$4,0))</f>
        <v>Média</v>
      </c>
      <c r="I11" s="13" t="str">
        <f aca="false">INDEX(Prioridade!$B$5:$J$9,MATCH(I$7,Prioridade!$A$5:$A$9,0),MATCH($B11,Prioridade!$B$4:$J$4,0))</f>
        <v>Alta</v>
      </c>
      <c r="J11" s="13" t="str">
        <f aca="false">INDEX(Prioridade!$B$5:$J$9,MATCH(J$7,Prioridade!$A$5:$A$9,0),MATCH($B11,Prioridade!$B$4:$J$4,0))</f>
        <v>Média</v>
      </c>
    </row>
    <row r="12" customFormat="false" ht="15" hidden="false" customHeight="false" outlineLevel="0" collapsed="false">
      <c r="A12" s="13" t="n">
        <v>5</v>
      </c>
      <c r="B12" s="7" t="s">
        <v>280</v>
      </c>
      <c r="C12" s="7" t="s">
        <v>289</v>
      </c>
      <c r="D12" s="13" t="n">
        <v>4</v>
      </c>
      <c r="E12" s="7" t="s">
        <v>290</v>
      </c>
      <c r="F12" s="13" t="str">
        <f aca="false">INDEX(Prioridade!$B$5:$J$9,MATCH(F$7,Prioridade!$A$5:$A$9,0),MATCH($B12,Prioridade!$B$4:$J$4,0))</f>
        <v>Média</v>
      </c>
      <c r="G12" s="13" t="str">
        <f aca="false">INDEX(Prioridade!$B$5:$J$9,MATCH(G$7,Prioridade!$A$5:$A$9,0),MATCH($B12,Prioridade!$B$4:$J$4,0))</f>
        <v>Alta</v>
      </c>
      <c r="H12" s="13" t="str">
        <f aca="false">INDEX(Prioridade!$B$5:$J$9,MATCH(H$7,Prioridade!$A$5:$A$9,0),MATCH($B12,Prioridade!$B$4:$J$4,0))</f>
        <v>Média</v>
      </c>
      <c r="I12" s="13" t="str">
        <f aca="false">INDEX(Prioridade!$B$5:$J$9,MATCH(I$7,Prioridade!$A$5:$A$9,0),MATCH($B12,Prioridade!$B$4:$J$4,0))</f>
        <v>Alta</v>
      </c>
      <c r="J12" s="13" t="str">
        <f aca="false">INDEX(Prioridade!$B$5:$J$9,MATCH(J$7,Prioridade!$A$5:$A$9,0),MATCH($B12,Prioridade!$B$4:$J$4,0))</f>
        <v>Média</v>
      </c>
    </row>
    <row r="13" customFormat="false" ht="15" hidden="false" customHeight="false" outlineLevel="0" collapsed="false">
      <c r="A13" s="13" t="n">
        <v>6</v>
      </c>
      <c r="B13" s="7" t="s">
        <v>280</v>
      </c>
      <c r="C13" s="7" t="s">
        <v>291</v>
      </c>
      <c r="D13" s="13" t="n">
        <v>3</v>
      </c>
      <c r="E13" s="7" t="s">
        <v>292</v>
      </c>
      <c r="F13" s="13" t="str">
        <f aca="false">INDEX(Prioridade!$B$5:$J$9,MATCH(F$7,Prioridade!$A$5:$A$9,0),MATCH($B13,Prioridade!$B$4:$J$4,0))</f>
        <v>Média</v>
      </c>
      <c r="G13" s="13" t="str">
        <f aca="false">INDEX(Prioridade!$B$5:$J$9,MATCH(G$7,Prioridade!$A$5:$A$9,0),MATCH($B13,Prioridade!$B$4:$J$4,0))</f>
        <v>Alta</v>
      </c>
      <c r="H13" s="13" t="str">
        <f aca="false">INDEX(Prioridade!$B$5:$J$9,MATCH(H$7,Prioridade!$A$5:$A$9,0),MATCH($B13,Prioridade!$B$4:$J$4,0))</f>
        <v>Média</v>
      </c>
      <c r="I13" s="13" t="str">
        <f aca="false">INDEX(Prioridade!$B$5:$J$9,MATCH(I$7,Prioridade!$A$5:$A$9,0),MATCH($B13,Prioridade!$B$4:$J$4,0))</f>
        <v>Alta</v>
      </c>
      <c r="J13" s="13" t="str">
        <f aca="false">INDEX(Prioridade!$B$5:$J$9,MATCH(J$7,Prioridade!$A$5:$A$9,0),MATCH($B13,Prioridade!$B$4:$J$4,0))</f>
        <v>Média</v>
      </c>
    </row>
    <row r="14" customFormat="false" ht="15" hidden="false" customHeight="false" outlineLevel="0" collapsed="false">
      <c r="A14" s="13" t="n">
        <v>7</v>
      </c>
      <c r="B14" s="7" t="s">
        <v>280</v>
      </c>
      <c r="C14" s="7" t="s">
        <v>293</v>
      </c>
      <c r="D14" s="13" t="n">
        <v>5</v>
      </c>
      <c r="E14" s="7" t="s">
        <v>294</v>
      </c>
      <c r="F14" s="13" t="str">
        <f aca="false">INDEX(Prioridade!$B$5:$J$9,MATCH(F$7,Prioridade!$A$5:$A$9,0),MATCH($B14,Prioridade!$B$4:$J$4,0))</f>
        <v>Média</v>
      </c>
      <c r="G14" s="13" t="str">
        <f aca="false">INDEX(Prioridade!$B$5:$J$9,MATCH(G$7,Prioridade!$A$5:$A$9,0),MATCH($B14,Prioridade!$B$4:$J$4,0))</f>
        <v>Alta</v>
      </c>
      <c r="H14" s="13" t="str">
        <f aca="false">INDEX(Prioridade!$B$5:$J$9,MATCH(H$7,Prioridade!$A$5:$A$9,0),MATCH($B14,Prioridade!$B$4:$J$4,0))</f>
        <v>Média</v>
      </c>
      <c r="I14" s="13" t="str">
        <f aca="false">INDEX(Prioridade!$B$5:$J$9,MATCH(I$7,Prioridade!$A$5:$A$9,0),MATCH($B14,Prioridade!$B$4:$J$4,0))</f>
        <v>Alta</v>
      </c>
      <c r="J14" s="13" t="str">
        <f aca="false">INDEX(Prioridade!$B$5:$J$9,MATCH(J$7,Prioridade!$A$5:$A$9,0),MATCH($B14,Prioridade!$B$4:$J$4,0))</f>
        <v>Média</v>
      </c>
    </row>
    <row r="15" customFormat="false" ht="15" hidden="false" customHeight="false" outlineLevel="0" collapsed="false">
      <c r="A15" s="13" t="n">
        <v>8</v>
      </c>
      <c r="B15" s="7" t="s">
        <v>280</v>
      </c>
      <c r="C15" s="7" t="s">
        <v>295</v>
      </c>
      <c r="D15" s="13" t="n">
        <v>6</v>
      </c>
      <c r="E15" s="7" t="s">
        <v>296</v>
      </c>
      <c r="F15" s="13" t="str">
        <f aca="false">INDEX(Prioridade!$B$5:$J$9,MATCH(F$7,Prioridade!$A$5:$A$9,0),MATCH($B15,Prioridade!$B$4:$J$4,0))</f>
        <v>Média</v>
      </c>
      <c r="G15" s="13" t="str">
        <f aca="false">INDEX(Prioridade!$B$5:$J$9,MATCH(G$7,Prioridade!$A$5:$A$9,0),MATCH($B15,Prioridade!$B$4:$J$4,0))</f>
        <v>Alta</v>
      </c>
      <c r="H15" s="13" t="str">
        <f aca="false">INDEX(Prioridade!$B$5:$J$9,MATCH(H$7,Prioridade!$A$5:$A$9,0),MATCH($B15,Prioridade!$B$4:$J$4,0))</f>
        <v>Média</v>
      </c>
      <c r="I15" s="13" t="str">
        <f aca="false">INDEX(Prioridade!$B$5:$J$9,MATCH(I$7,Prioridade!$A$5:$A$9,0),MATCH($B15,Prioridade!$B$4:$J$4,0))</f>
        <v>Alta</v>
      </c>
      <c r="J15" s="13" t="str">
        <f aca="false">INDEX(Prioridade!$B$5:$J$9,MATCH(J$7,Prioridade!$A$5:$A$9,0),MATCH($B15,Prioridade!$B$4:$J$4,0))</f>
        <v>Média</v>
      </c>
    </row>
    <row r="16" customFormat="false" ht="15" hidden="false" customHeight="false" outlineLevel="0" collapsed="false">
      <c r="A16" s="13" t="n">
        <v>9</v>
      </c>
      <c r="B16" s="7" t="s">
        <v>280</v>
      </c>
      <c r="C16" s="7" t="s">
        <v>297</v>
      </c>
      <c r="D16" s="13" t="n">
        <v>6</v>
      </c>
      <c r="E16" s="7" t="s">
        <v>298</v>
      </c>
      <c r="F16" s="13" t="str">
        <f aca="false">INDEX(Prioridade!$B$5:$J$9,MATCH(F$7,Prioridade!$A$5:$A$9,0),MATCH($B16,Prioridade!$B$4:$J$4,0))</f>
        <v>Média</v>
      </c>
      <c r="G16" s="13" t="str">
        <f aca="false">INDEX(Prioridade!$B$5:$J$9,MATCH(G$7,Prioridade!$A$5:$A$9,0),MATCH($B16,Prioridade!$B$4:$J$4,0))</f>
        <v>Alta</v>
      </c>
      <c r="H16" s="13" t="str">
        <f aca="false">INDEX(Prioridade!$B$5:$J$9,MATCH(H$7,Prioridade!$A$5:$A$9,0),MATCH($B16,Prioridade!$B$4:$J$4,0))</f>
        <v>Média</v>
      </c>
      <c r="I16" s="13" t="str">
        <f aca="false">INDEX(Prioridade!$B$5:$J$9,MATCH(I$7,Prioridade!$A$5:$A$9,0),MATCH($B16,Prioridade!$B$4:$J$4,0))</f>
        <v>Alta</v>
      </c>
      <c r="J16" s="13" t="str">
        <f aca="false">INDEX(Prioridade!$B$5:$J$9,MATCH(J$7,Prioridade!$A$5:$A$9,0),MATCH($B16,Prioridade!$B$4:$J$4,0))</f>
        <v>Média</v>
      </c>
    </row>
    <row r="17" customFormat="false" ht="15" hidden="false" customHeight="false" outlineLevel="0" collapsed="false">
      <c r="A17" s="13" t="n">
        <v>10</v>
      </c>
      <c r="B17" s="7" t="s">
        <v>280</v>
      </c>
      <c r="C17" s="7" t="s">
        <v>299</v>
      </c>
      <c r="D17" s="13" t="n">
        <v>4</v>
      </c>
      <c r="E17" s="7" t="s">
        <v>300</v>
      </c>
      <c r="F17" s="13" t="str">
        <f aca="false">INDEX(Prioridade!$B$5:$J$9,MATCH(F$7,Prioridade!$A$5:$A$9,0),MATCH($B17,Prioridade!$B$4:$J$4,0))</f>
        <v>Média</v>
      </c>
      <c r="G17" s="13" t="str">
        <f aca="false">INDEX(Prioridade!$B$5:$J$9,MATCH(G$7,Prioridade!$A$5:$A$9,0),MATCH($B17,Prioridade!$B$4:$J$4,0))</f>
        <v>Alta</v>
      </c>
      <c r="H17" s="13" t="str">
        <f aca="false">INDEX(Prioridade!$B$5:$J$9,MATCH(H$7,Prioridade!$A$5:$A$9,0),MATCH($B17,Prioridade!$B$4:$J$4,0))</f>
        <v>Média</v>
      </c>
      <c r="I17" s="13" t="str">
        <f aca="false">INDEX(Prioridade!$B$5:$J$9,MATCH(I$7,Prioridade!$A$5:$A$9,0),MATCH($B17,Prioridade!$B$4:$J$4,0))</f>
        <v>Alta</v>
      </c>
      <c r="J17" s="13" t="str">
        <f aca="false">INDEX(Prioridade!$B$5:$J$9,MATCH(J$7,Prioridade!$A$5:$A$9,0),MATCH($B17,Prioridade!$B$4:$J$4,0))</f>
        <v>Média</v>
      </c>
    </row>
    <row r="18" customFormat="false" ht="15" hidden="false" customHeight="false" outlineLevel="0" collapsed="false">
      <c r="A18" s="13" t="n">
        <v>11</v>
      </c>
      <c r="B18" s="7" t="s">
        <v>280</v>
      </c>
      <c r="C18" s="7" t="s">
        <v>301</v>
      </c>
      <c r="D18" s="13" t="n">
        <v>10</v>
      </c>
      <c r="E18" s="7" t="s">
        <v>302</v>
      </c>
      <c r="F18" s="13" t="str">
        <f aca="false">INDEX(Prioridade!$B$5:$J$9,MATCH(F$7,Prioridade!$A$5:$A$9,0),MATCH($B18,Prioridade!$B$4:$J$4,0))</f>
        <v>Média</v>
      </c>
      <c r="G18" s="13" t="str">
        <f aca="false">INDEX(Prioridade!$B$5:$J$9,MATCH(G$7,Prioridade!$A$5:$A$9,0),MATCH($B18,Prioridade!$B$4:$J$4,0))</f>
        <v>Alta</v>
      </c>
      <c r="H18" s="13" t="str">
        <f aca="false">INDEX(Prioridade!$B$5:$J$9,MATCH(H$7,Prioridade!$A$5:$A$9,0),MATCH($B18,Prioridade!$B$4:$J$4,0))</f>
        <v>Média</v>
      </c>
      <c r="I18" s="13" t="str">
        <f aca="false">INDEX(Prioridade!$B$5:$J$9,MATCH(I$7,Prioridade!$A$5:$A$9,0),MATCH($B18,Prioridade!$B$4:$J$4,0))</f>
        <v>Alta</v>
      </c>
      <c r="J18" s="13" t="str">
        <f aca="false">INDEX(Prioridade!$B$5:$J$9,MATCH(J$7,Prioridade!$A$5:$A$9,0),MATCH($B18,Prioridade!$B$4:$J$4,0))</f>
        <v>Média</v>
      </c>
    </row>
    <row r="19" customFormat="false" ht="15" hidden="false" customHeight="false" outlineLevel="0" collapsed="false">
      <c r="A19" s="13" t="n">
        <v>12</v>
      </c>
      <c r="B19" s="7" t="s">
        <v>280</v>
      </c>
      <c r="C19" s="7" t="s">
        <v>303</v>
      </c>
      <c r="D19" s="13" t="n">
        <v>6</v>
      </c>
      <c r="E19" s="7" t="s">
        <v>304</v>
      </c>
      <c r="F19" s="13" t="str">
        <f aca="false">INDEX(Prioridade!$B$5:$J$9,MATCH(F$7,Prioridade!$A$5:$A$9,0),MATCH($B19,Prioridade!$B$4:$J$4,0))</f>
        <v>Média</v>
      </c>
      <c r="G19" s="13" t="str">
        <f aca="false">INDEX(Prioridade!$B$5:$J$9,MATCH(G$7,Prioridade!$A$5:$A$9,0),MATCH($B19,Prioridade!$B$4:$J$4,0))</f>
        <v>Alta</v>
      </c>
      <c r="H19" s="13" t="str">
        <f aca="false">INDEX(Prioridade!$B$5:$J$9,MATCH(H$7,Prioridade!$A$5:$A$9,0),MATCH($B19,Prioridade!$B$4:$J$4,0))</f>
        <v>Média</v>
      </c>
      <c r="I19" s="13" t="str">
        <f aca="false">INDEX(Prioridade!$B$5:$J$9,MATCH(I$7,Prioridade!$A$5:$A$9,0),MATCH($B19,Prioridade!$B$4:$J$4,0))</f>
        <v>Alta</v>
      </c>
      <c r="J19" s="13" t="str">
        <f aca="false">INDEX(Prioridade!$B$5:$J$9,MATCH(J$7,Prioridade!$A$5:$A$9,0),MATCH($B19,Prioridade!$B$4:$J$4,0))</f>
        <v>Média</v>
      </c>
    </row>
    <row r="20" customFormat="false" ht="15" hidden="false" customHeight="false" outlineLevel="0" collapsed="false">
      <c r="A20" s="13" t="n">
        <v>13</v>
      </c>
      <c r="B20" s="7" t="s">
        <v>280</v>
      </c>
      <c r="C20" s="7" t="s">
        <v>305</v>
      </c>
      <c r="D20" s="13" t="n">
        <v>4</v>
      </c>
      <c r="E20" s="7" t="s">
        <v>306</v>
      </c>
      <c r="F20" s="13" t="str">
        <f aca="false">INDEX(Prioridade!$B$5:$J$9,MATCH(F$7,Prioridade!$A$5:$A$9,0),MATCH($B20,Prioridade!$B$4:$J$4,0))</f>
        <v>Média</v>
      </c>
      <c r="G20" s="13" t="str">
        <f aca="false">INDEX(Prioridade!$B$5:$J$9,MATCH(G$7,Prioridade!$A$5:$A$9,0),MATCH($B20,Prioridade!$B$4:$J$4,0))</f>
        <v>Alta</v>
      </c>
      <c r="H20" s="13" t="str">
        <f aca="false">INDEX(Prioridade!$B$5:$J$9,MATCH(H$7,Prioridade!$A$5:$A$9,0),MATCH($B20,Prioridade!$B$4:$J$4,0))</f>
        <v>Média</v>
      </c>
      <c r="I20" s="13" t="str">
        <f aca="false">INDEX(Prioridade!$B$5:$J$9,MATCH(I$7,Prioridade!$A$5:$A$9,0),MATCH($B20,Prioridade!$B$4:$J$4,0))</f>
        <v>Alta</v>
      </c>
      <c r="J20" s="13" t="str">
        <f aca="false">INDEX(Prioridade!$B$5:$J$9,MATCH(J$7,Prioridade!$A$5:$A$9,0),MATCH($B20,Prioridade!$B$4:$J$4,0))</f>
        <v>Média</v>
      </c>
    </row>
    <row r="21" customFormat="false" ht="15" hidden="false" customHeight="false" outlineLevel="0" collapsed="false">
      <c r="A21" s="13" t="n">
        <v>14</v>
      </c>
      <c r="B21" s="7" t="s">
        <v>280</v>
      </c>
      <c r="C21" s="7" t="s">
        <v>307</v>
      </c>
      <c r="D21" s="13" t="n">
        <v>4</v>
      </c>
      <c r="E21" s="7" t="s">
        <v>308</v>
      </c>
      <c r="F21" s="13" t="str">
        <f aca="false">INDEX(Prioridade!$B$5:$J$9,MATCH(F$7,Prioridade!$A$5:$A$9,0),MATCH($B21,Prioridade!$B$4:$J$4,0))</f>
        <v>Média</v>
      </c>
      <c r="G21" s="13" t="str">
        <f aca="false">INDEX(Prioridade!$B$5:$J$9,MATCH(G$7,Prioridade!$A$5:$A$9,0),MATCH($B21,Prioridade!$B$4:$J$4,0))</f>
        <v>Alta</v>
      </c>
      <c r="H21" s="13" t="str">
        <f aca="false">INDEX(Prioridade!$B$5:$J$9,MATCH(H$7,Prioridade!$A$5:$A$9,0),MATCH($B21,Prioridade!$B$4:$J$4,0))</f>
        <v>Média</v>
      </c>
      <c r="I21" s="13" t="str">
        <f aca="false">INDEX(Prioridade!$B$5:$J$9,MATCH(I$7,Prioridade!$A$5:$A$9,0),MATCH($B21,Prioridade!$B$4:$J$4,0))</f>
        <v>Alta</v>
      </c>
      <c r="J21" s="13" t="str">
        <f aca="false">INDEX(Prioridade!$B$5:$J$9,MATCH(J$7,Prioridade!$A$5:$A$9,0),MATCH($B21,Prioridade!$B$4:$J$4,0))</f>
        <v>Média</v>
      </c>
    </row>
    <row r="22" customFormat="false" ht="15" hidden="false" customHeight="false" outlineLevel="0" collapsed="false">
      <c r="A22" s="13" t="n">
        <v>15</v>
      </c>
      <c r="B22" s="7" t="s">
        <v>280</v>
      </c>
      <c r="C22" s="7" t="s">
        <v>309</v>
      </c>
      <c r="D22" s="13" t="n">
        <v>3</v>
      </c>
      <c r="E22" s="7" t="s">
        <v>310</v>
      </c>
      <c r="F22" s="13" t="str">
        <f aca="false">INDEX(Prioridade!$B$5:$J$9,MATCH(F$7,Prioridade!$A$5:$A$9,0),MATCH($B22,Prioridade!$B$4:$J$4,0))</f>
        <v>Média</v>
      </c>
      <c r="G22" s="13" t="str">
        <f aca="false">INDEX(Prioridade!$B$5:$J$9,MATCH(G$7,Prioridade!$A$5:$A$9,0),MATCH($B22,Prioridade!$B$4:$J$4,0))</f>
        <v>Alta</v>
      </c>
      <c r="H22" s="13" t="str">
        <f aca="false">INDEX(Prioridade!$B$5:$J$9,MATCH(H$7,Prioridade!$A$5:$A$9,0),MATCH($B22,Prioridade!$B$4:$J$4,0))</f>
        <v>Média</v>
      </c>
      <c r="I22" s="13" t="str">
        <f aca="false">INDEX(Prioridade!$B$5:$J$9,MATCH(I$7,Prioridade!$A$5:$A$9,0),MATCH($B22,Prioridade!$B$4:$J$4,0))</f>
        <v>Alta</v>
      </c>
      <c r="J22" s="13" t="str">
        <f aca="false">INDEX(Prioridade!$B$5:$J$9,MATCH(J$7,Prioridade!$A$5:$A$9,0),MATCH($B22,Prioridade!$B$4:$J$4,0))</f>
        <v>Média</v>
      </c>
    </row>
    <row r="23" customFormat="false" ht="15" hidden="false" customHeight="false" outlineLevel="0" collapsed="false">
      <c r="A23" s="13" t="n">
        <v>16</v>
      </c>
      <c r="B23" s="7" t="s">
        <v>280</v>
      </c>
      <c r="C23" s="7" t="s">
        <v>311</v>
      </c>
      <c r="D23" s="13" t="n">
        <v>4</v>
      </c>
      <c r="E23" s="7" t="s">
        <v>312</v>
      </c>
      <c r="F23" s="13" t="str">
        <f aca="false">INDEX(Prioridade!$B$5:$J$9,MATCH(F$7,Prioridade!$A$5:$A$9,0),MATCH($B23,Prioridade!$B$4:$J$4,0))</f>
        <v>Média</v>
      </c>
      <c r="G23" s="13" t="str">
        <f aca="false">INDEX(Prioridade!$B$5:$J$9,MATCH(G$7,Prioridade!$A$5:$A$9,0),MATCH($B23,Prioridade!$B$4:$J$4,0))</f>
        <v>Alta</v>
      </c>
      <c r="H23" s="13" t="str">
        <f aca="false">INDEX(Prioridade!$B$5:$J$9,MATCH(H$7,Prioridade!$A$5:$A$9,0),MATCH($B23,Prioridade!$B$4:$J$4,0))</f>
        <v>Média</v>
      </c>
      <c r="I23" s="13" t="str">
        <f aca="false">INDEX(Prioridade!$B$5:$J$9,MATCH(I$7,Prioridade!$A$5:$A$9,0),MATCH($B23,Prioridade!$B$4:$J$4,0))</f>
        <v>Alta</v>
      </c>
      <c r="J23" s="13" t="str">
        <f aca="false">INDEX(Prioridade!$B$5:$J$9,MATCH(J$7,Prioridade!$A$5:$A$9,0),MATCH($B23,Prioridade!$B$4:$J$4,0))</f>
        <v>Média</v>
      </c>
    </row>
    <row r="24" customFormat="false" ht="15" hidden="false" customHeight="false" outlineLevel="0" collapsed="false">
      <c r="A24" s="13" t="n">
        <v>17</v>
      </c>
      <c r="B24" s="7" t="s">
        <v>280</v>
      </c>
      <c r="C24" s="7" t="s">
        <v>313</v>
      </c>
      <c r="D24" s="13" t="n">
        <v>6</v>
      </c>
      <c r="E24" s="7" t="s">
        <v>314</v>
      </c>
      <c r="F24" s="13" t="str">
        <f aca="false">INDEX(Prioridade!$B$5:$J$9,MATCH(F$7,Prioridade!$A$5:$A$9,0),MATCH($B24,Prioridade!$B$4:$J$4,0))</f>
        <v>Média</v>
      </c>
      <c r="G24" s="13" t="str">
        <f aca="false">INDEX(Prioridade!$B$5:$J$9,MATCH(G$7,Prioridade!$A$5:$A$9,0),MATCH($B24,Prioridade!$B$4:$J$4,0))</f>
        <v>Alta</v>
      </c>
      <c r="H24" s="13" t="str">
        <f aca="false">INDEX(Prioridade!$B$5:$J$9,MATCH(H$7,Prioridade!$A$5:$A$9,0),MATCH($B24,Prioridade!$B$4:$J$4,0))</f>
        <v>Média</v>
      </c>
      <c r="I24" s="13" t="str">
        <f aca="false">INDEX(Prioridade!$B$5:$J$9,MATCH(I$7,Prioridade!$A$5:$A$9,0),MATCH($B24,Prioridade!$B$4:$J$4,0))</f>
        <v>Alta</v>
      </c>
      <c r="J24" s="13" t="str">
        <f aca="false">INDEX(Prioridade!$B$5:$J$9,MATCH(J$7,Prioridade!$A$5:$A$9,0),MATCH($B24,Prioridade!$B$4:$J$4,0))</f>
        <v>Média</v>
      </c>
    </row>
    <row r="25" customFormat="false" ht="15" hidden="false" customHeight="false" outlineLevel="0" collapsed="false">
      <c r="A25" s="13" t="n">
        <v>18</v>
      </c>
      <c r="B25" s="7" t="s">
        <v>280</v>
      </c>
      <c r="C25" s="7" t="s">
        <v>315</v>
      </c>
      <c r="D25" s="13" t="n">
        <v>6</v>
      </c>
      <c r="E25" s="7" t="s">
        <v>316</v>
      </c>
      <c r="F25" s="13" t="str">
        <f aca="false">INDEX(Prioridade!$B$5:$J$9,MATCH(F$7,Prioridade!$A$5:$A$9,0),MATCH($B25,Prioridade!$B$4:$J$4,0))</f>
        <v>Média</v>
      </c>
      <c r="G25" s="13" t="str">
        <f aca="false">INDEX(Prioridade!$B$5:$J$9,MATCH(G$7,Prioridade!$A$5:$A$9,0),MATCH($B25,Prioridade!$B$4:$J$4,0))</f>
        <v>Alta</v>
      </c>
      <c r="H25" s="13" t="str">
        <f aca="false">INDEX(Prioridade!$B$5:$J$9,MATCH(H$7,Prioridade!$A$5:$A$9,0),MATCH($B25,Prioridade!$B$4:$J$4,0))</f>
        <v>Média</v>
      </c>
      <c r="I25" s="13" t="str">
        <f aca="false">INDEX(Prioridade!$B$5:$J$9,MATCH(I$7,Prioridade!$A$5:$A$9,0),MATCH($B25,Prioridade!$B$4:$J$4,0))</f>
        <v>Alta</v>
      </c>
      <c r="J25" s="13" t="str">
        <f aca="false">INDEX(Prioridade!$B$5:$J$9,MATCH(J$7,Prioridade!$A$5:$A$9,0),MATCH($B25,Prioridade!$B$4:$J$4,0))</f>
        <v>Média</v>
      </c>
    </row>
    <row r="26" customFormat="false" ht="15" hidden="false" customHeight="false" outlineLevel="0" collapsed="false">
      <c r="A26" s="13" t="n">
        <v>19</v>
      </c>
      <c r="B26" s="7" t="s">
        <v>280</v>
      </c>
      <c r="C26" s="7" t="s">
        <v>317</v>
      </c>
      <c r="D26" s="13" t="n">
        <v>5</v>
      </c>
      <c r="E26" s="7" t="s">
        <v>318</v>
      </c>
      <c r="F26" s="13" t="str">
        <f aca="false">INDEX(Prioridade!$B$5:$J$9,MATCH(F$7,Prioridade!$A$5:$A$9,0),MATCH($B26,Prioridade!$B$4:$J$4,0))</f>
        <v>Média</v>
      </c>
      <c r="G26" s="13" t="str">
        <f aca="false">INDEX(Prioridade!$B$5:$J$9,MATCH(G$7,Prioridade!$A$5:$A$9,0),MATCH($B26,Prioridade!$B$4:$J$4,0))</f>
        <v>Alta</v>
      </c>
      <c r="H26" s="13" t="str">
        <f aca="false">INDEX(Prioridade!$B$5:$J$9,MATCH(H$7,Prioridade!$A$5:$A$9,0),MATCH($B26,Prioridade!$B$4:$J$4,0))</f>
        <v>Média</v>
      </c>
      <c r="I26" s="13" t="str">
        <f aca="false">INDEX(Prioridade!$B$5:$J$9,MATCH(I$7,Prioridade!$A$5:$A$9,0),MATCH($B26,Prioridade!$B$4:$J$4,0))</f>
        <v>Alta</v>
      </c>
      <c r="J26" s="13" t="str">
        <f aca="false">INDEX(Prioridade!$B$5:$J$9,MATCH(J$7,Prioridade!$A$5:$A$9,0),MATCH($B26,Prioridade!$B$4:$J$4,0))</f>
        <v>Média</v>
      </c>
    </row>
    <row r="27" customFormat="false" ht="15" hidden="false" customHeight="false" outlineLevel="0" collapsed="false">
      <c r="A27" s="13" t="n">
        <v>20</v>
      </c>
      <c r="B27" s="7" t="s">
        <v>280</v>
      </c>
      <c r="C27" s="7" t="s">
        <v>319</v>
      </c>
      <c r="D27" s="13" t="n">
        <v>6</v>
      </c>
      <c r="E27" s="7" t="s">
        <v>320</v>
      </c>
      <c r="F27" s="13" t="str">
        <f aca="false">INDEX(Prioridade!$B$5:$J$9,MATCH(F$7,Prioridade!$A$5:$A$9,0),MATCH($B27,Prioridade!$B$4:$J$4,0))</f>
        <v>Média</v>
      </c>
      <c r="G27" s="13" t="str">
        <f aca="false">INDEX(Prioridade!$B$5:$J$9,MATCH(G$7,Prioridade!$A$5:$A$9,0),MATCH($B27,Prioridade!$B$4:$J$4,0))</f>
        <v>Alta</v>
      </c>
      <c r="H27" s="13" t="str">
        <f aca="false">INDEX(Prioridade!$B$5:$J$9,MATCH(H$7,Prioridade!$A$5:$A$9,0),MATCH($B27,Prioridade!$B$4:$J$4,0))</f>
        <v>Média</v>
      </c>
      <c r="I27" s="13" t="str">
        <f aca="false">INDEX(Prioridade!$B$5:$J$9,MATCH(I$7,Prioridade!$A$5:$A$9,0),MATCH($B27,Prioridade!$B$4:$J$4,0))</f>
        <v>Alta</v>
      </c>
      <c r="J27" s="13" t="str">
        <f aca="false">INDEX(Prioridade!$B$5:$J$9,MATCH(J$7,Prioridade!$A$5:$A$9,0),MATCH($B27,Prioridade!$B$4:$J$4,0))</f>
        <v>Média</v>
      </c>
    </row>
    <row r="28" customFormat="false" ht="15" hidden="false" customHeight="false" outlineLevel="0" collapsed="false">
      <c r="A28" s="13" t="n">
        <v>21</v>
      </c>
      <c r="B28" s="7" t="s">
        <v>225</v>
      </c>
      <c r="C28" s="7" t="s">
        <v>321</v>
      </c>
      <c r="D28" s="13" t="n">
        <v>2</v>
      </c>
      <c r="E28" s="7" t="s">
        <v>322</v>
      </c>
      <c r="F28" s="13" t="str">
        <f aca="false">INDEX(Prioridade!$B$5:$J$9,MATCH(F$7,Prioridade!$A$5:$A$9,0),MATCH($B28,Prioridade!$B$4:$J$4,0))</f>
        <v>Alta</v>
      </c>
      <c r="G28" s="13" t="str">
        <f aca="false">INDEX(Prioridade!$B$5:$J$9,MATCH(G$7,Prioridade!$A$5:$A$9,0),MATCH($B28,Prioridade!$B$4:$J$4,0))</f>
        <v>Alta</v>
      </c>
      <c r="H28" s="13" t="str">
        <f aca="false">INDEX(Prioridade!$B$5:$J$9,MATCH(H$7,Prioridade!$A$5:$A$9,0),MATCH($B28,Prioridade!$B$4:$J$4,0))</f>
        <v>Alta</v>
      </c>
      <c r="I28" s="13" t="str">
        <f aca="false">INDEX(Prioridade!$B$5:$J$9,MATCH(I$7,Prioridade!$A$5:$A$9,0),MATCH($B28,Prioridade!$B$4:$J$4,0))</f>
        <v>Alta</v>
      </c>
      <c r="J28" s="13" t="str">
        <f aca="false">INDEX(Prioridade!$B$5:$J$9,MATCH(J$7,Prioridade!$A$5:$A$9,0),MATCH($B28,Prioridade!$B$4:$J$4,0))</f>
        <v>Alta</v>
      </c>
    </row>
    <row r="29" customFormat="false" ht="15" hidden="false" customHeight="false" outlineLevel="0" collapsed="false">
      <c r="A29" s="13" t="n">
        <v>22</v>
      </c>
      <c r="B29" s="7" t="s">
        <v>225</v>
      </c>
      <c r="C29" s="7" t="s">
        <v>323</v>
      </c>
      <c r="D29" s="13" t="n">
        <v>3</v>
      </c>
      <c r="E29" s="7" t="s">
        <v>324</v>
      </c>
      <c r="F29" s="13" t="str">
        <f aca="false">INDEX(Prioridade!$B$5:$J$9,MATCH(F$7,Prioridade!$A$5:$A$9,0),MATCH($B29,Prioridade!$B$4:$J$4,0))</f>
        <v>Alta</v>
      </c>
      <c r="G29" s="13" t="str">
        <f aca="false">INDEX(Prioridade!$B$5:$J$9,MATCH(G$7,Prioridade!$A$5:$A$9,0),MATCH($B29,Prioridade!$B$4:$J$4,0))</f>
        <v>Alta</v>
      </c>
      <c r="H29" s="13" t="str">
        <f aca="false">INDEX(Prioridade!$B$5:$J$9,MATCH(H$7,Prioridade!$A$5:$A$9,0),MATCH($B29,Prioridade!$B$4:$J$4,0))</f>
        <v>Alta</v>
      </c>
      <c r="I29" s="13" t="str">
        <f aca="false">INDEX(Prioridade!$B$5:$J$9,MATCH(I$7,Prioridade!$A$5:$A$9,0),MATCH($B29,Prioridade!$B$4:$J$4,0))</f>
        <v>Alta</v>
      </c>
      <c r="J29" s="13" t="str">
        <f aca="false">INDEX(Prioridade!$B$5:$J$9,MATCH(J$7,Prioridade!$A$5:$A$9,0),MATCH($B29,Prioridade!$B$4:$J$4,0))</f>
        <v>Alta</v>
      </c>
    </row>
    <row r="30" customFormat="false" ht="15" hidden="false" customHeight="false" outlineLevel="0" collapsed="false">
      <c r="A30" s="13" t="n">
        <v>23</v>
      </c>
      <c r="B30" s="7" t="s">
        <v>225</v>
      </c>
      <c r="C30" s="7" t="s">
        <v>325</v>
      </c>
      <c r="D30" s="13" t="n">
        <v>6</v>
      </c>
      <c r="E30" s="7" t="s">
        <v>326</v>
      </c>
      <c r="F30" s="13" t="str">
        <f aca="false">INDEX(Prioridade!$B$5:$J$9,MATCH(F$7,Prioridade!$A$5:$A$9,0),MATCH($B30,Prioridade!$B$4:$J$4,0))</f>
        <v>Alta</v>
      </c>
      <c r="G30" s="13" t="str">
        <f aca="false">INDEX(Prioridade!$B$5:$J$9,MATCH(G$7,Prioridade!$A$5:$A$9,0),MATCH($B30,Prioridade!$B$4:$J$4,0))</f>
        <v>Alta</v>
      </c>
      <c r="H30" s="13" t="str">
        <f aca="false">INDEX(Prioridade!$B$5:$J$9,MATCH(H$7,Prioridade!$A$5:$A$9,0),MATCH($B30,Prioridade!$B$4:$J$4,0))</f>
        <v>Alta</v>
      </c>
      <c r="I30" s="13" t="str">
        <f aca="false">INDEX(Prioridade!$B$5:$J$9,MATCH(I$7,Prioridade!$A$5:$A$9,0),MATCH($B30,Prioridade!$B$4:$J$4,0))</f>
        <v>Alta</v>
      </c>
      <c r="J30" s="13" t="str">
        <f aca="false">INDEX(Prioridade!$B$5:$J$9,MATCH(J$7,Prioridade!$A$5:$A$9,0),MATCH($B30,Prioridade!$B$4:$J$4,0))</f>
        <v>Alta</v>
      </c>
    </row>
    <row r="31" customFormat="false" ht="15" hidden="false" customHeight="false" outlineLevel="0" collapsed="false">
      <c r="A31" s="13" t="n">
        <v>24</v>
      </c>
      <c r="B31" s="7" t="s">
        <v>225</v>
      </c>
      <c r="C31" s="7" t="s">
        <v>327</v>
      </c>
      <c r="D31" s="13" t="n">
        <v>4</v>
      </c>
      <c r="E31" s="7" t="s">
        <v>328</v>
      </c>
      <c r="F31" s="13" t="str">
        <f aca="false">INDEX(Prioridade!$B$5:$J$9,MATCH(F$7,Prioridade!$A$5:$A$9,0),MATCH($B31,Prioridade!$B$4:$J$4,0))</f>
        <v>Alta</v>
      </c>
      <c r="G31" s="13" t="str">
        <f aca="false">INDEX(Prioridade!$B$5:$J$9,MATCH(G$7,Prioridade!$A$5:$A$9,0),MATCH($B31,Prioridade!$B$4:$J$4,0))</f>
        <v>Alta</v>
      </c>
      <c r="H31" s="13" t="str">
        <f aca="false">INDEX(Prioridade!$B$5:$J$9,MATCH(H$7,Prioridade!$A$5:$A$9,0),MATCH($B31,Prioridade!$B$4:$J$4,0))</f>
        <v>Alta</v>
      </c>
      <c r="I31" s="13" t="str">
        <f aca="false">INDEX(Prioridade!$B$5:$J$9,MATCH(I$7,Prioridade!$A$5:$A$9,0),MATCH($B31,Prioridade!$B$4:$J$4,0))</f>
        <v>Alta</v>
      </c>
      <c r="J31" s="13" t="str">
        <f aca="false">INDEX(Prioridade!$B$5:$J$9,MATCH(J$7,Prioridade!$A$5:$A$9,0),MATCH($B31,Prioridade!$B$4:$J$4,0))</f>
        <v>Alta</v>
      </c>
    </row>
    <row r="32" customFormat="false" ht="15" hidden="false" customHeight="false" outlineLevel="0" collapsed="false">
      <c r="A32" s="13" t="n">
        <v>25</v>
      </c>
      <c r="B32" s="7" t="s">
        <v>225</v>
      </c>
      <c r="C32" s="7" t="s">
        <v>329</v>
      </c>
      <c r="D32" s="13" t="n">
        <v>8</v>
      </c>
      <c r="E32" s="7" t="s">
        <v>330</v>
      </c>
      <c r="F32" s="13" t="str">
        <f aca="false">INDEX(Prioridade!$B$5:$J$9,MATCH(F$7,Prioridade!$A$5:$A$9,0),MATCH($B32,Prioridade!$B$4:$J$4,0))</f>
        <v>Alta</v>
      </c>
      <c r="G32" s="13" t="str">
        <f aca="false">INDEX(Prioridade!$B$5:$J$9,MATCH(G$7,Prioridade!$A$5:$A$9,0),MATCH($B32,Prioridade!$B$4:$J$4,0))</f>
        <v>Alta</v>
      </c>
      <c r="H32" s="13" t="str">
        <f aca="false">INDEX(Prioridade!$B$5:$J$9,MATCH(H$7,Prioridade!$A$5:$A$9,0),MATCH($B32,Prioridade!$B$4:$J$4,0))</f>
        <v>Alta</v>
      </c>
      <c r="I32" s="13" t="str">
        <f aca="false">INDEX(Prioridade!$B$5:$J$9,MATCH(I$7,Prioridade!$A$5:$A$9,0),MATCH($B32,Prioridade!$B$4:$J$4,0))</f>
        <v>Alta</v>
      </c>
      <c r="J32" s="13" t="str">
        <f aca="false">INDEX(Prioridade!$B$5:$J$9,MATCH(J$7,Prioridade!$A$5:$A$9,0),MATCH($B32,Prioridade!$B$4:$J$4,0))</f>
        <v>Alta</v>
      </c>
    </row>
    <row r="33" customFormat="false" ht="15" hidden="false" customHeight="false" outlineLevel="0" collapsed="false">
      <c r="A33" s="13" t="n">
        <v>26</v>
      </c>
      <c r="B33" s="7" t="s">
        <v>225</v>
      </c>
      <c r="C33" s="7" t="s">
        <v>331</v>
      </c>
      <c r="D33" s="13" t="n">
        <v>10</v>
      </c>
      <c r="E33" s="7" t="s">
        <v>332</v>
      </c>
      <c r="F33" s="13" t="str">
        <f aca="false">INDEX(Prioridade!$B$5:$J$9,MATCH(F$7,Prioridade!$A$5:$A$9,0),MATCH($B33,Prioridade!$B$4:$J$4,0))</f>
        <v>Alta</v>
      </c>
      <c r="G33" s="13" t="str">
        <f aca="false">INDEX(Prioridade!$B$5:$J$9,MATCH(G$7,Prioridade!$A$5:$A$9,0),MATCH($B33,Prioridade!$B$4:$J$4,0))</f>
        <v>Alta</v>
      </c>
      <c r="H33" s="13" t="str">
        <f aca="false">INDEX(Prioridade!$B$5:$J$9,MATCH(H$7,Prioridade!$A$5:$A$9,0),MATCH($B33,Prioridade!$B$4:$J$4,0))</f>
        <v>Alta</v>
      </c>
      <c r="I33" s="13" t="str">
        <f aca="false">INDEX(Prioridade!$B$5:$J$9,MATCH(I$7,Prioridade!$A$5:$A$9,0),MATCH($B33,Prioridade!$B$4:$J$4,0))</f>
        <v>Alta</v>
      </c>
      <c r="J33" s="13" t="str">
        <f aca="false">INDEX(Prioridade!$B$5:$J$9,MATCH(J$7,Prioridade!$A$5:$A$9,0),MATCH($B33,Prioridade!$B$4:$J$4,0))</f>
        <v>Alta</v>
      </c>
    </row>
    <row r="34" customFormat="false" ht="15" hidden="false" customHeight="false" outlineLevel="0" collapsed="false">
      <c r="A34" s="13" t="n">
        <v>27</v>
      </c>
      <c r="B34" s="7" t="s">
        <v>225</v>
      </c>
      <c r="C34" s="7" t="s">
        <v>333</v>
      </c>
      <c r="D34" s="13" t="n">
        <v>6</v>
      </c>
      <c r="E34" s="7" t="s">
        <v>334</v>
      </c>
      <c r="F34" s="13" t="str">
        <f aca="false">INDEX(Prioridade!$B$5:$J$9,MATCH(F$7,Prioridade!$A$5:$A$9,0),MATCH($B34,Prioridade!$B$4:$J$4,0))</f>
        <v>Alta</v>
      </c>
      <c r="G34" s="13" t="str">
        <f aca="false">INDEX(Prioridade!$B$5:$J$9,MATCH(G$7,Prioridade!$A$5:$A$9,0),MATCH($B34,Prioridade!$B$4:$J$4,0))</f>
        <v>Alta</v>
      </c>
      <c r="H34" s="13" t="str">
        <f aca="false">INDEX(Prioridade!$B$5:$J$9,MATCH(H$7,Prioridade!$A$5:$A$9,0),MATCH($B34,Prioridade!$B$4:$J$4,0))</f>
        <v>Alta</v>
      </c>
      <c r="I34" s="13" t="str">
        <f aca="false">INDEX(Prioridade!$B$5:$J$9,MATCH(I$7,Prioridade!$A$5:$A$9,0),MATCH($B34,Prioridade!$B$4:$J$4,0))</f>
        <v>Alta</v>
      </c>
      <c r="J34" s="13" t="str">
        <f aca="false">INDEX(Prioridade!$B$5:$J$9,MATCH(J$7,Prioridade!$A$5:$A$9,0),MATCH($B34,Prioridade!$B$4:$J$4,0))</f>
        <v>Alta</v>
      </c>
    </row>
    <row r="35" customFormat="false" ht="15" hidden="false" customHeight="false" outlineLevel="0" collapsed="false">
      <c r="A35" s="13" t="n">
        <v>28</v>
      </c>
      <c r="B35" s="7" t="s">
        <v>225</v>
      </c>
      <c r="C35" s="7" t="s">
        <v>335</v>
      </c>
      <c r="D35" s="13" t="n">
        <v>4</v>
      </c>
      <c r="E35" s="7" t="s">
        <v>336</v>
      </c>
      <c r="F35" s="13" t="str">
        <f aca="false">INDEX(Prioridade!$B$5:$J$9,MATCH(F$7,Prioridade!$A$5:$A$9,0),MATCH($B35,Prioridade!$B$4:$J$4,0))</f>
        <v>Alta</v>
      </c>
      <c r="G35" s="13" t="str">
        <f aca="false">INDEX(Prioridade!$B$5:$J$9,MATCH(G$7,Prioridade!$A$5:$A$9,0),MATCH($B35,Prioridade!$B$4:$J$4,0))</f>
        <v>Alta</v>
      </c>
      <c r="H35" s="13" t="str">
        <f aca="false">INDEX(Prioridade!$B$5:$J$9,MATCH(H$7,Prioridade!$A$5:$A$9,0),MATCH($B35,Prioridade!$B$4:$J$4,0))</f>
        <v>Alta</v>
      </c>
      <c r="I35" s="13" t="str">
        <f aca="false">INDEX(Prioridade!$B$5:$J$9,MATCH(I$7,Prioridade!$A$5:$A$9,0),MATCH($B35,Prioridade!$B$4:$J$4,0))</f>
        <v>Alta</v>
      </c>
      <c r="J35" s="13" t="str">
        <f aca="false">INDEX(Prioridade!$B$5:$J$9,MATCH(J$7,Prioridade!$A$5:$A$9,0),MATCH($B35,Prioridade!$B$4:$J$4,0))</f>
        <v>Alta</v>
      </c>
    </row>
    <row r="36" customFormat="false" ht="15" hidden="false" customHeight="false" outlineLevel="0" collapsed="false">
      <c r="A36" s="13" t="n">
        <v>29</v>
      </c>
      <c r="B36" s="7" t="s">
        <v>225</v>
      </c>
      <c r="C36" s="7" t="s">
        <v>337</v>
      </c>
      <c r="D36" s="13" t="n">
        <v>3</v>
      </c>
      <c r="E36" s="7" t="s">
        <v>338</v>
      </c>
      <c r="F36" s="13" t="str">
        <f aca="false">INDEX(Prioridade!$B$5:$J$9,MATCH(F$7,Prioridade!$A$5:$A$9,0),MATCH($B36,Prioridade!$B$4:$J$4,0))</f>
        <v>Alta</v>
      </c>
      <c r="G36" s="13" t="str">
        <f aca="false">INDEX(Prioridade!$B$5:$J$9,MATCH(G$7,Prioridade!$A$5:$A$9,0),MATCH($B36,Prioridade!$B$4:$J$4,0))</f>
        <v>Alta</v>
      </c>
      <c r="H36" s="13" t="str">
        <f aca="false">INDEX(Prioridade!$B$5:$J$9,MATCH(H$7,Prioridade!$A$5:$A$9,0),MATCH($B36,Prioridade!$B$4:$J$4,0))</f>
        <v>Alta</v>
      </c>
      <c r="I36" s="13" t="str">
        <f aca="false">INDEX(Prioridade!$B$5:$J$9,MATCH(I$7,Prioridade!$A$5:$A$9,0),MATCH($B36,Prioridade!$B$4:$J$4,0))</f>
        <v>Alta</v>
      </c>
      <c r="J36" s="13" t="str">
        <f aca="false">INDEX(Prioridade!$B$5:$J$9,MATCH(J$7,Prioridade!$A$5:$A$9,0),MATCH($B36,Prioridade!$B$4:$J$4,0))</f>
        <v>Alta</v>
      </c>
    </row>
    <row r="37" customFormat="false" ht="15" hidden="false" customHeight="false" outlineLevel="0" collapsed="false">
      <c r="A37" s="13" t="n">
        <v>30</v>
      </c>
      <c r="B37" s="7" t="s">
        <v>225</v>
      </c>
      <c r="C37" s="7" t="s">
        <v>339</v>
      </c>
      <c r="D37" s="13" t="n">
        <v>3</v>
      </c>
      <c r="E37" s="7" t="s">
        <v>340</v>
      </c>
      <c r="F37" s="13" t="str">
        <f aca="false">INDEX(Prioridade!$B$5:$J$9,MATCH(F$7,Prioridade!$A$5:$A$9,0),MATCH($B37,Prioridade!$B$4:$J$4,0))</f>
        <v>Alta</v>
      </c>
      <c r="G37" s="13" t="str">
        <f aca="false">INDEX(Prioridade!$B$5:$J$9,MATCH(G$7,Prioridade!$A$5:$A$9,0),MATCH($B37,Prioridade!$B$4:$J$4,0))</f>
        <v>Alta</v>
      </c>
      <c r="H37" s="13" t="str">
        <f aca="false">INDEX(Prioridade!$B$5:$J$9,MATCH(H$7,Prioridade!$A$5:$A$9,0),MATCH($B37,Prioridade!$B$4:$J$4,0))</f>
        <v>Alta</v>
      </c>
      <c r="I37" s="13" t="str">
        <f aca="false">INDEX(Prioridade!$B$5:$J$9,MATCH(I$7,Prioridade!$A$5:$A$9,0),MATCH($B37,Prioridade!$B$4:$J$4,0))</f>
        <v>Alta</v>
      </c>
      <c r="J37" s="13" t="str">
        <f aca="false">INDEX(Prioridade!$B$5:$J$9,MATCH(J$7,Prioridade!$A$5:$A$9,0),MATCH($B37,Prioridade!$B$4:$J$4,0))</f>
        <v>Alta</v>
      </c>
    </row>
    <row r="38" customFormat="false" ht="15" hidden="false" customHeight="false" outlineLevel="0" collapsed="false">
      <c r="A38" s="13" t="n">
        <v>31</v>
      </c>
      <c r="B38" s="7" t="s">
        <v>225</v>
      </c>
      <c r="C38" s="7" t="s">
        <v>341</v>
      </c>
      <c r="D38" s="13" t="n">
        <v>6</v>
      </c>
      <c r="E38" s="7" t="s">
        <v>342</v>
      </c>
      <c r="F38" s="13" t="str">
        <f aca="false">INDEX(Prioridade!$B$5:$J$9,MATCH(F$7,Prioridade!$A$5:$A$9,0),MATCH($B38,Prioridade!$B$4:$J$4,0))</f>
        <v>Alta</v>
      </c>
      <c r="G38" s="13" t="str">
        <f aca="false">INDEX(Prioridade!$B$5:$J$9,MATCH(G$7,Prioridade!$A$5:$A$9,0),MATCH($B38,Prioridade!$B$4:$J$4,0))</f>
        <v>Alta</v>
      </c>
      <c r="H38" s="13" t="str">
        <f aca="false">INDEX(Prioridade!$B$5:$J$9,MATCH(H$7,Prioridade!$A$5:$A$9,0),MATCH($B38,Prioridade!$B$4:$J$4,0))</f>
        <v>Alta</v>
      </c>
      <c r="I38" s="13" t="str">
        <f aca="false">INDEX(Prioridade!$B$5:$J$9,MATCH(I$7,Prioridade!$A$5:$A$9,0),MATCH($B38,Prioridade!$B$4:$J$4,0))</f>
        <v>Alta</v>
      </c>
      <c r="J38" s="13" t="str">
        <f aca="false">INDEX(Prioridade!$B$5:$J$9,MATCH(J$7,Prioridade!$A$5:$A$9,0),MATCH($B38,Prioridade!$B$4:$J$4,0))</f>
        <v>Alta</v>
      </c>
    </row>
    <row r="39" customFormat="false" ht="15" hidden="false" customHeight="false" outlineLevel="0" collapsed="false">
      <c r="A39" s="13" t="n">
        <v>32</v>
      </c>
      <c r="B39" s="7" t="s">
        <v>225</v>
      </c>
      <c r="C39" s="7" t="s">
        <v>343</v>
      </c>
      <c r="D39" s="13" t="n">
        <v>4</v>
      </c>
      <c r="E39" s="7" t="s">
        <v>344</v>
      </c>
      <c r="F39" s="13" t="str">
        <f aca="false">INDEX(Prioridade!$B$5:$J$9,MATCH(F$7,Prioridade!$A$5:$A$9,0),MATCH($B39,Prioridade!$B$4:$J$4,0))</f>
        <v>Alta</v>
      </c>
      <c r="G39" s="13" t="str">
        <f aca="false">INDEX(Prioridade!$B$5:$J$9,MATCH(G$7,Prioridade!$A$5:$A$9,0),MATCH($B39,Prioridade!$B$4:$J$4,0))</f>
        <v>Alta</v>
      </c>
      <c r="H39" s="13" t="str">
        <f aca="false">INDEX(Prioridade!$B$5:$J$9,MATCH(H$7,Prioridade!$A$5:$A$9,0),MATCH($B39,Prioridade!$B$4:$J$4,0))</f>
        <v>Alta</v>
      </c>
      <c r="I39" s="13" t="str">
        <f aca="false">INDEX(Prioridade!$B$5:$J$9,MATCH(I$7,Prioridade!$A$5:$A$9,0),MATCH($B39,Prioridade!$B$4:$J$4,0))</f>
        <v>Alta</v>
      </c>
      <c r="J39" s="13" t="str">
        <f aca="false">INDEX(Prioridade!$B$5:$J$9,MATCH(J$7,Prioridade!$A$5:$A$9,0),MATCH($B39,Prioridade!$B$4:$J$4,0))</f>
        <v>Alta</v>
      </c>
    </row>
    <row r="40" customFormat="false" ht="15" hidden="false" customHeight="false" outlineLevel="0" collapsed="false">
      <c r="A40" s="13" t="n">
        <v>33</v>
      </c>
      <c r="B40" s="7" t="s">
        <v>225</v>
      </c>
      <c r="C40" s="7" t="s">
        <v>345</v>
      </c>
      <c r="D40" s="13" t="n">
        <v>5</v>
      </c>
      <c r="E40" s="7" t="s">
        <v>346</v>
      </c>
      <c r="F40" s="13" t="str">
        <f aca="false">INDEX(Prioridade!$B$5:$J$9,MATCH(F$7,Prioridade!$A$5:$A$9,0),MATCH($B40,Prioridade!$B$4:$J$4,0))</f>
        <v>Alta</v>
      </c>
      <c r="G40" s="13" t="str">
        <f aca="false">INDEX(Prioridade!$B$5:$J$9,MATCH(G$7,Prioridade!$A$5:$A$9,0),MATCH($B40,Prioridade!$B$4:$J$4,0))</f>
        <v>Alta</v>
      </c>
      <c r="H40" s="13" t="str">
        <f aca="false">INDEX(Prioridade!$B$5:$J$9,MATCH(H$7,Prioridade!$A$5:$A$9,0),MATCH($B40,Prioridade!$B$4:$J$4,0))</f>
        <v>Alta</v>
      </c>
      <c r="I40" s="13" t="str">
        <f aca="false">INDEX(Prioridade!$B$5:$J$9,MATCH(I$7,Prioridade!$A$5:$A$9,0),MATCH($B40,Prioridade!$B$4:$J$4,0))</f>
        <v>Alta</v>
      </c>
      <c r="J40" s="13" t="str">
        <f aca="false">INDEX(Prioridade!$B$5:$J$9,MATCH(J$7,Prioridade!$A$5:$A$9,0),MATCH($B40,Prioridade!$B$4:$J$4,0))</f>
        <v>Alta</v>
      </c>
    </row>
    <row r="41" customFormat="false" ht="15" hidden="false" customHeight="false" outlineLevel="0" collapsed="false">
      <c r="A41" s="13" t="n">
        <v>34</v>
      </c>
      <c r="B41" s="7" t="s">
        <v>225</v>
      </c>
      <c r="C41" s="7" t="s">
        <v>347</v>
      </c>
      <c r="D41" s="13" t="n">
        <v>3</v>
      </c>
      <c r="E41" s="7" t="s">
        <v>348</v>
      </c>
      <c r="F41" s="13" t="str">
        <f aca="false">INDEX(Prioridade!$B$5:$J$9,MATCH(F$7,Prioridade!$A$5:$A$9,0),MATCH($B41,Prioridade!$B$4:$J$4,0))</f>
        <v>Alta</v>
      </c>
      <c r="G41" s="13" t="str">
        <f aca="false">INDEX(Prioridade!$B$5:$J$9,MATCH(G$7,Prioridade!$A$5:$A$9,0),MATCH($B41,Prioridade!$B$4:$J$4,0))</f>
        <v>Alta</v>
      </c>
      <c r="H41" s="13" t="str">
        <f aca="false">INDEX(Prioridade!$B$5:$J$9,MATCH(H$7,Prioridade!$A$5:$A$9,0),MATCH($B41,Prioridade!$B$4:$J$4,0))</f>
        <v>Alta</v>
      </c>
      <c r="I41" s="13" t="str">
        <f aca="false">INDEX(Prioridade!$B$5:$J$9,MATCH(I$7,Prioridade!$A$5:$A$9,0),MATCH($B41,Prioridade!$B$4:$J$4,0))</f>
        <v>Alta</v>
      </c>
      <c r="J41" s="13" t="str">
        <f aca="false">INDEX(Prioridade!$B$5:$J$9,MATCH(J$7,Prioridade!$A$5:$A$9,0),MATCH($B41,Prioridade!$B$4:$J$4,0))</f>
        <v>Alta</v>
      </c>
    </row>
    <row r="42" customFormat="false" ht="15" hidden="false" customHeight="false" outlineLevel="0" collapsed="false">
      <c r="A42" s="13" t="n">
        <v>35</v>
      </c>
      <c r="B42" s="7" t="s">
        <v>225</v>
      </c>
      <c r="C42" s="7" t="s">
        <v>349</v>
      </c>
      <c r="D42" s="13" t="n">
        <v>8</v>
      </c>
      <c r="E42" s="7" t="s">
        <v>350</v>
      </c>
      <c r="F42" s="13" t="str">
        <f aca="false">INDEX(Prioridade!$B$5:$J$9,MATCH(F$7,Prioridade!$A$5:$A$9,0),MATCH($B42,Prioridade!$B$4:$J$4,0))</f>
        <v>Alta</v>
      </c>
      <c r="G42" s="13" t="str">
        <f aca="false">INDEX(Prioridade!$B$5:$J$9,MATCH(G$7,Prioridade!$A$5:$A$9,0),MATCH($B42,Prioridade!$B$4:$J$4,0))</f>
        <v>Alta</v>
      </c>
      <c r="H42" s="13" t="str">
        <f aca="false">INDEX(Prioridade!$B$5:$J$9,MATCH(H$7,Prioridade!$A$5:$A$9,0),MATCH($B42,Prioridade!$B$4:$J$4,0))</f>
        <v>Alta</v>
      </c>
      <c r="I42" s="13" t="str">
        <f aca="false">INDEX(Prioridade!$B$5:$J$9,MATCH(I$7,Prioridade!$A$5:$A$9,0),MATCH($B42,Prioridade!$B$4:$J$4,0))</f>
        <v>Alta</v>
      </c>
      <c r="J42" s="13" t="str">
        <f aca="false">INDEX(Prioridade!$B$5:$J$9,MATCH(J$7,Prioridade!$A$5:$A$9,0),MATCH($B42,Prioridade!$B$4:$J$4,0))</f>
        <v>Alta</v>
      </c>
    </row>
    <row r="43" customFormat="false" ht="15" hidden="false" customHeight="false" outlineLevel="0" collapsed="false">
      <c r="A43" s="13" t="n">
        <v>36</v>
      </c>
      <c r="B43" s="7" t="s">
        <v>225</v>
      </c>
      <c r="C43" s="7" t="s">
        <v>351</v>
      </c>
      <c r="D43" s="13" t="n">
        <v>8</v>
      </c>
      <c r="E43" s="7" t="s">
        <v>352</v>
      </c>
      <c r="F43" s="13" t="str">
        <f aca="false">INDEX(Prioridade!$B$5:$J$9,MATCH(F$7,Prioridade!$A$5:$A$9,0),MATCH($B43,Prioridade!$B$4:$J$4,0))</f>
        <v>Alta</v>
      </c>
      <c r="G43" s="13" t="str">
        <f aca="false">INDEX(Prioridade!$B$5:$J$9,MATCH(G$7,Prioridade!$A$5:$A$9,0),MATCH($B43,Prioridade!$B$4:$J$4,0))</f>
        <v>Alta</v>
      </c>
      <c r="H43" s="13" t="str">
        <f aca="false">INDEX(Prioridade!$B$5:$J$9,MATCH(H$7,Prioridade!$A$5:$A$9,0),MATCH($B43,Prioridade!$B$4:$J$4,0))</f>
        <v>Alta</v>
      </c>
      <c r="I43" s="13" t="str">
        <f aca="false">INDEX(Prioridade!$B$5:$J$9,MATCH(I$7,Prioridade!$A$5:$A$9,0),MATCH($B43,Prioridade!$B$4:$J$4,0))</f>
        <v>Alta</v>
      </c>
      <c r="J43" s="13" t="str">
        <f aca="false">INDEX(Prioridade!$B$5:$J$9,MATCH(J$7,Prioridade!$A$5:$A$9,0),MATCH($B43,Prioridade!$B$4:$J$4,0))</f>
        <v>Alta</v>
      </c>
    </row>
    <row r="44" customFormat="false" ht="15" hidden="false" customHeight="false" outlineLevel="0" collapsed="false">
      <c r="A44" s="13" t="n">
        <v>37</v>
      </c>
      <c r="B44" s="7" t="s">
        <v>225</v>
      </c>
      <c r="C44" s="7" t="s">
        <v>353</v>
      </c>
      <c r="D44" s="13" t="n">
        <v>10</v>
      </c>
      <c r="E44" s="7" t="s">
        <v>354</v>
      </c>
      <c r="F44" s="13" t="str">
        <f aca="false">INDEX(Prioridade!$B$5:$J$9,MATCH(F$7,Prioridade!$A$5:$A$9,0),MATCH($B44,Prioridade!$B$4:$J$4,0))</f>
        <v>Alta</v>
      </c>
      <c r="G44" s="13" t="str">
        <f aca="false">INDEX(Prioridade!$B$5:$J$9,MATCH(G$7,Prioridade!$A$5:$A$9,0),MATCH($B44,Prioridade!$B$4:$J$4,0))</f>
        <v>Alta</v>
      </c>
      <c r="H44" s="13" t="str">
        <f aca="false">INDEX(Prioridade!$B$5:$J$9,MATCH(H$7,Prioridade!$A$5:$A$9,0),MATCH($B44,Prioridade!$B$4:$J$4,0))</f>
        <v>Alta</v>
      </c>
      <c r="I44" s="13" t="str">
        <f aca="false">INDEX(Prioridade!$B$5:$J$9,MATCH(I$7,Prioridade!$A$5:$A$9,0),MATCH($B44,Prioridade!$B$4:$J$4,0))</f>
        <v>Alta</v>
      </c>
      <c r="J44" s="13" t="str">
        <f aca="false">INDEX(Prioridade!$B$5:$J$9,MATCH(J$7,Prioridade!$A$5:$A$9,0),MATCH($B44,Prioridade!$B$4:$J$4,0))</f>
        <v>Alta</v>
      </c>
    </row>
    <row r="45" customFormat="false" ht="15" hidden="false" customHeight="false" outlineLevel="0" collapsed="false">
      <c r="A45" s="13" t="n">
        <v>38</v>
      </c>
      <c r="B45" s="7" t="s">
        <v>225</v>
      </c>
      <c r="C45" s="7" t="s">
        <v>355</v>
      </c>
      <c r="D45" s="13" t="n">
        <v>10</v>
      </c>
      <c r="E45" s="7" t="s">
        <v>354</v>
      </c>
      <c r="F45" s="13" t="str">
        <f aca="false">INDEX(Prioridade!$B$5:$J$9,MATCH(F$7,Prioridade!$A$5:$A$9,0),MATCH($B45,Prioridade!$B$4:$J$4,0))</f>
        <v>Alta</v>
      </c>
      <c r="G45" s="13" t="str">
        <f aca="false">INDEX(Prioridade!$B$5:$J$9,MATCH(G$7,Prioridade!$A$5:$A$9,0),MATCH($B45,Prioridade!$B$4:$J$4,0))</f>
        <v>Alta</v>
      </c>
      <c r="H45" s="13" t="str">
        <f aca="false">INDEX(Prioridade!$B$5:$J$9,MATCH(H$7,Prioridade!$A$5:$A$9,0),MATCH($B45,Prioridade!$B$4:$J$4,0))</f>
        <v>Alta</v>
      </c>
      <c r="I45" s="13" t="str">
        <f aca="false">INDEX(Prioridade!$B$5:$J$9,MATCH(I$7,Prioridade!$A$5:$A$9,0),MATCH($B45,Prioridade!$B$4:$J$4,0))</f>
        <v>Alta</v>
      </c>
      <c r="J45" s="13" t="str">
        <f aca="false">INDEX(Prioridade!$B$5:$J$9,MATCH(J$7,Prioridade!$A$5:$A$9,0),MATCH($B45,Prioridade!$B$4:$J$4,0))</f>
        <v>Alta</v>
      </c>
    </row>
    <row r="46" customFormat="false" ht="15" hidden="false" customHeight="false" outlineLevel="0" collapsed="false">
      <c r="A46" s="13" t="n">
        <v>39</v>
      </c>
      <c r="B46" s="7" t="s">
        <v>230</v>
      </c>
      <c r="C46" s="7" t="s">
        <v>356</v>
      </c>
      <c r="D46" s="13" t="n">
        <v>8</v>
      </c>
      <c r="E46" s="7" t="s">
        <v>357</v>
      </c>
      <c r="F46" s="13" t="str">
        <f aca="false">INDEX(Prioridade!$B$5:$J$9,MATCH(F$7,Prioridade!$A$5:$A$9,0),MATCH($B46,Prioridade!$B$4:$J$4,0))</f>
        <v>Média</v>
      </c>
      <c r="G46" s="13" t="str">
        <f aca="false">INDEX(Prioridade!$B$5:$J$9,MATCH(G$7,Prioridade!$A$5:$A$9,0),MATCH($B46,Prioridade!$B$4:$J$4,0))</f>
        <v>Alta</v>
      </c>
      <c r="H46" s="13" t="str">
        <f aca="false">INDEX(Prioridade!$B$5:$J$9,MATCH(H$7,Prioridade!$A$5:$A$9,0),MATCH($B46,Prioridade!$B$4:$J$4,0))</f>
        <v>Média</v>
      </c>
      <c r="I46" s="13" t="str">
        <f aca="false">INDEX(Prioridade!$B$5:$J$9,MATCH(I$7,Prioridade!$A$5:$A$9,0),MATCH($B46,Prioridade!$B$4:$J$4,0))</f>
        <v>Média</v>
      </c>
      <c r="J46" s="13" t="str">
        <f aca="false">INDEX(Prioridade!$B$5:$J$9,MATCH(J$7,Prioridade!$A$5:$A$9,0),MATCH($B46,Prioridade!$B$4:$J$4,0))</f>
        <v>Média</v>
      </c>
    </row>
    <row r="47" customFormat="false" ht="15" hidden="false" customHeight="false" outlineLevel="0" collapsed="false">
      <c r="A47" s="13" t="n">
        <v>40</v>
      </c>
      <c r="B47" s="7" t="s">
        <v>230</v>
      </c>
      <c r="C47" s="7" t="s">
        <v>358</v>
      </c>
      <c r="D47" s="13" t="n">
        <v>6</v>
      </c>
      <c r="E47" s="7" t="s">
        <v>359</v>
      </c>
      <c r="F47" s="13" t="str">
        <f aca="false">INDEX(Prioridade!$B$5:$J$9,MATCH(F$7,Prioridade!$A$5:$A$9,0),MATCH($B47,Prioridade!$B$4:$J$4,0))</f>
        <v>Média</v>
      </c>
      <c r="G47" s="13" t="str">
        <f aca="false">INDEX(Prioridade!$B$5:$J$9,MATCH(G$7,Prioridade!$A$5:$A$9,0),MATCH($B47,Prioridade!$B$4:$J$4,0))</f>
        <v>Alta</v>
      </c>
      <c r="H47" s="13" t="str">
        <f aca="false">INDEX(Prioridade!$B$5:$J$9,MATCH(H$7,Prioridade!$A$5:$A$9,0),MATCH($B47,Prioridade!$B$4:$J$4,0))</f>
        <v>Média</v>
      </c>
      <c r="I47" s="13" t="str">
        <f aca="false">INDEX(Prioridade!$B$5:$J$9,MATCH(I$7,Prioridade!$A$5:$A$9,0),MATCH($B47,Prioridade!$B$4:$J$4,0))</f>
        <v>Média</v>
      </c>
      <c r="J47" s="13" t="str">
        <f aca="false">INDEX(Prioridade!$B$5:$J$9,MATCH(J$7,Prioridade!$A$5:$A$9,0),MATCH($B47,Prioridade!$B$4:$J$4,0))</f>
        <v>Média</v>
      </c>
    </row>
    <row r="48" customFormat="false" ht="15" hidden="false" customHeight="false" outlineLevel="0" collapsed="false">
      <c r="A48" s="13" t="n">
        <v>41</v>
      </c>
      <c r="B48" s="7" t="s">
        <v>230</v>
      </c>
      <c r="C48" s="7" t="s">
        <v>360</v>
      </c>
      <c r="D48" s="13" t="n">
        <v>6</v>
      </c>
      <c r="E48" s="7" t="s">
        <v>361</v>
      </c>
      <c r="F48" s="13" t="str">
        <f aca="false">INDEX(Prioridade!$B$5:$J$9,MATCH(F$7,Prioridade!$A$5:$A$9,0),MATCH($B48,Prioridade!$B$4:$J$4,0))</f>
        <v>Média</v>
      </c>
      <c r="G48" s="13" t="str">
        <f aca="false">INDEX(Prioridade!$B$5:$J$9,MATCH(G$7,Prioridade!$A$5:$A$9,0),MATCH($B48,Prioridade!$B$4:$J$4,0))</f>
        <v>Alta</v>
      </c>
      <c r="H48" s="13" t="str">
        <f aca="false">INDEX(Prioridade!$B$5:$J$9,MATCH(H$7,Prioridade!$A$5:$A$9,0),MATCH($B48,Prioridade!$B$4:$J$4,0))</f>
        <v>Média</v>
      </c>
      <c r="I48" s="13" t="str">
        <f aca="false">INDEX(Prioridade!$B$5:$J$9,MATCH(I$7,Prioridade!$A$5:$A$9,0),MATCH($B48,Prioridade!$B$4:$J$4,0))</f>
        <v>Média</v>
      </c>
      <c r="J48" s="13" t="str">
        <f aca="false">INDEX(Prioridade!$B$5:$J$9,MATCH(J$7,Prioridade!$A$5:$A$9,0),MATCH($B48,Prioridade!$B$4:$J$4,0))</f>
        <v>Média</v>
      </c>
    </row>
    <row r="49" customFormat="false" ht="15" hidden="false" customHeight="false" outlineLevel="0" collapsed="false">
      <c r="A49" s="13" t="n">
        <v>42</v>
      </c>
      <c r="B49" s="7" t="s">
        <v>230</v>
      </c>
      <c r="C49" s="7" t="s">
        <v>362</v>
      </c>
      <c r="D49" s="13" t="n">
        <v>6</v>
      </c>
      <c r="E49" s="7" t="s">
        <v>363</v>
      </c>
      <c r="F49" s="13" t="str">
        <f aca="false">INDEX(Prioridade!$B$5:$J$9,MATCH(F$7,Prioridade!$A$5:$A$9,0),MATCH($B49,Prioridade!$B$4:$J$4,0))</f>
        <v>Média</v>
      </c>
      <c r="G49" s="13" t="str">
        <f aca="false">INDEX(Prioridade!$B$5:$J$9,MATCH(G$7,Prioridade!$A$5:$A$9,0),MATCH($B49,Prioridade!$B$4:$J$4,0))</f>
        <v>Alta</v>
      </c>
      <c r="H49" s="13" t="str">
        <f aca="false">INDEX(Prioridade!$B$5:$J$9,MATCH(H$7,Prioridade!$A$5:$A$9,0),MATCH($B49,Prioridade!$B$4:$J$4,0))</f>
        <v>Média</v>
      </c>
      <c r="I49" s="13" t="str">
        <f aca="false">INDEX(Prioridade!$B$5:$J$9,MATCH(I$7,Prioridade!$A$5:$A$9,0),MATCH($B49,Prioridade!$B$4:$J$4,0))</f>
        <v>Média</v>
      </c>
      <c r="J49" s="13" t="str">
        <f aca="false">INDEX(Prioridade!$B$5:$J$9,MATCH(J$7,Prioridade!$A$5:$A$9,0),MATCH($B49,Prioridade!$B$4:$J$4,0))</f>
        <v>Média</v>
      </c>
    </row>
    <row r="50" customFormat="false" ht="15" hidden="false" customHeight="false" outlineLevel="0" collapsed="false">
      <c r="A50" s="13" t="n">
        <v>43</v>
      </c>
      <c r="B50" s="7" t="s">
        <v>230</v>
      </c>
      <c r="C50" s="7" t="s">
        <v>364</v>
      </c>
      <c r="D50" s="13" t="n">
        <v>8</v>
      </c>
      <c r="E50" s="7" t="s">
        <v>365</v>
      </c>
      <c r="F50" s="13" t="str">
        <f aca="false">INDEX(Prioridade!$B$5:$J$9,MATCH(F$7,Prioridade!$A$5:$A$9,0),MATCH($B50,Prioridade!$B$4:$J$4,0))</f>
        <v>Média</v>
      </c>
      <c r="G50" s="13" t="str">
        <f aca="false">INDEX(Prioridade!$B$5:$J$9,MATCH(G$7,Prioridade!$A$5:$A$9,0),MATCH($B50,Prioridade!$B$4:$J$4,0))</f>
        <v>Alta</v>
      </c>
      <c r="H50" s="13" t="str">
        <f aca="false">INDEX(Prioridade!$B$5:$J$9,MATCH(H$7,Prioridade!$A$5:$A$9,0),MATCH($B50,Prioridade!$B$4:$J$4,0))</f>
        <v>Média</v>
      </c>
      <c r="I50" s="13" t="str">
        <f aca="false">INDEX(Prioridade!$B$5:$J$9,MATCH(I$7,Prioridade!$A$5:$A$9,0),MATCH($B50,Prioridade!$B$4:$J$4,0))</f>
        <v>Média</v>
      </c>
      <c r="J50" s="13" t="str">
        <f aca="false">INDEX(Prioridade!$B$5:$J$9,MATCH(J$7,Prioridade!$A$5:$A$9,0),MATCH($B50,Prioridade!$B$4:$J$4,0))</f>
        <v>Média</v>
      </c>
    </row>
    <row r="51" customFormat="false" ht="15" hidden="false" customHeight="false" outlineLevel="0" collapsed="false">
      <c r="A51" s="13" t="n">
        <v>44</v>
      </c>
      <c r="B51" s="7" t="s">
        <v>230</v>
      </c>
      <c r="C51" s="7" t="s">
        <v>366</v>
      </c>
      <c r="D51" s="13" t="n">
        <v>4</v>
      </c>
      <c r="E51" s="7" t="s">
        <v>367</v>
      </c>
      <c r="F51" s="13" t="str">
        <f aca="false">INDEX(Prioridade!$B$5:$J$9,MATCH(F$7,Prioridade!$A$5:$A$9,0),MATCH($B51,Prioridade!$B$4:$J$4,0))</f>
        <v>Média</v>
      </c>
      <c r="G51" s="13" t="str">
        <f aca="false">INDEX(Prioridade!$B$5:$J$9,MATCH(G$7,Prioridade!$A$5:$A$9,0),MATCH($B51,Prioridade!$B$4:$J$4,0))</f>
        <v>Alta</v>
      </c>
      <c r="H51" s="13" t="str">
        <f aca="false">INDEX(Prioridade!$B$5:$J$9,MATCH(H$7,Prioridade!$A$5:$A$9,0),MATCH($B51,Prioridade!$B$4:$J$4,0))</f>
        <v>Média</v>
      </c>
      <c r="I51" s="13" t="str">
        <f aca="false">INDEX(Prioridade!$B$5:$J$9,MATCH(I$7,Prioridade!$A$5:$A$9,0),MATCH($B51,Prioridade!$B$4:$J$4,0))</f>
        <v>Média</v>
      </c>
      <c r="J51" s="13" t="str">
        <f aca="false">INDEX(Prioridade!$B$5:$J$9,MATCH(J$7,Prioridade!$A$5:$A$9,0),MATCH($B51,Prioridade!$B$4:$J$4,0))</f>
        <v>Média</v>
      </c>
    </row>
    <row r="52" customFormat="false" ht="15" hidden="false" customHeight="false" outlineLevel="0" collapsed="false">
      <c r="A52" s="13" t="n">
        <v>45</v>
      </c>
      <c r="B52" s="7" t="s">
        <v>230</v>
      </c>
      <c r="C52" s="7" t="s">
        <v>368</v>
      </c>
      <c r="D52" s="13" t="n">
        <v>6</v>
      </c>
      <c r="E52" s="7" t="s">
        <v>369</v>
      </c>
      <c r="F52" s="13" t="str">
        <f aca="false">INDEX(Prioridade!$B$5:$J$9,MATCH(F$7,Prioridade!$A$5:$A$9,0),MATCH($B52,Prioridade!$B$4:$J$4,0))</f>
        <v>Média</v>
      </c>
      <c r="G52" s="13" t="str">
        <f aca="false">INDEX(Prioridade!$B$5:$J$9,MATCH(G$7,Prioridade!$A$5:$A$9,0),MATCH($B52,Prioridade!$B$4:$J$4,0))</f>
        <v>Alta</v>
      </c>
      <c r="H52" s="13" t="str">
        <f aca="false">INDEX(Prioridade!$B$5:$J$9,MATCH(H$7,Prioridade!$A$5:$A$9,0),MATCH($B52,Prioridade!$B$4:$J$4,0))</f>
        <v>Média</v>
      </c>
      <c r="I52" s="13" t="str">
        <f aca="false">INDEX(Prioridade!$B$5:$J$9,MATCH(I$7,Prioridade!$A$5:$A$9,0),MATCH($B52,Prioridade!$B$4:$J$4,0))</f>
        <v>Média</v>
      </c>
      <c r="J52" s="13" t="str">
        <f aca="false">INDEX(Prioridade!$B$5:$J$9,MATCH(J$7,Prioridade!$A$5:$A$9,0),MATCH($B52,Prioridade!$B$4:$J$4,0))</f>
        <v>Média</v>
      </c>
    </row>
    <row r="53" customFormat="false" ht="15" hidden="false" customHeight="false" outlineLevel="0" collapsed="false">
      <c r="A53" s="13" t="n">
        <v>46</v>
      </c>
      <c r="B53" s="7" t="s">
        <v>230</v>
      </c>
      <c r="C53" s="7" t="s">
        <v>370</v>
      </c>
      <c r="D53" s="13" t="n">
        <v>8</v>
      </c>
      <c r="E53" s="7" t="s">
        <v>371</v>
      </c>
      <c r="F53" s="13" t="str">
        <f aca="false">INDEX(Prioridade!$B$5:$J$9,MATCH(F$7,Prioridade!$A$5:$A$9,0),MATCH($B53,Prioridade!$B$4:$J$4,0))</f>
        <v>Média</v>
      </c>
      <c r="G53" s="13" t="str">
        <f aca="false">INDEX(Prioridade!$B$5:$J$9,MATCH(G$7,Prioridade!$A$5:$A$9,0),MATCH($B53,Prioridade!$B$4:$J$4,0))</f>
        <v>Alta</v>
      </c>
      <c r="H53" s="13" t="str">
        <f aca="false">INDEX(Prioridade!$B$5:$J$9,MATCH(H$7,Prioridade!$A$5:$A$9,0),MATCH($B53,Prioridade!$B$4:$J$4,0))</f>
        <v>Média</v>
      </c>
      <c r="I53" s="13" t="str">
        <f aca="false">INDEX(Prioridade!$B$5:$J$9,MATCH(I$7,Prioridade!$A$5:$A$9,0),MATCH($B53,Prioridade!$B$4:$J$4,0))</f>
        <v>Média</v>
      </c>
      <c r="J53" s="13" t="str">
        <f aca="false">INDEX(Prioridade!$B$5:$J$9,MATCH(J$7,Prioridade!$A$5:$A$9,0),MATCH($B53,Prioridade!$B$4:$J$4,0))</f>
        <v>Média</v>
      </c>
    </row>
    <row r="54" customFormat="false" ht="15" hidden="false" customHeight="false" outlineLevel="0" collapsed="false">
      <c r="A54" s="13" t="n">
        <v>47</v>
      </c>
      <c r="B54" s="7" t="s">
        <v>236</v>
      </c>
      <c r="C54" s="7" t="s">
        <v>372</v>
      </c>
      <c r="D54" s="13" t="n">
        <v>4</v>
      </c>
      <c r="E54" s="7" t="s">
        <v>373</v>
      </c>
      <c r="F54" s="13" t="str">
        <f aca="false">INDEX(Prioridade!$B$5:$J$9,MATCH(F$7,Prioridade!$A$5:$A$9,0),MATCH($B54,Prioridade!$B$4:$J$4,0))</f>
        <v>Alta</v>
      </c>
      <c r="G54" s="13" t="str">
        <f aca="false">INDEX(Prioridade!$B$5:$J$9,MATCH(G$7,Prioridade!$A$5:$A$9,0),MATCH($B54,Prioridade!$B$4:$J$4,0))</f>
        <v>Média</v>
      </c>
      <c r="H54" s="13" t="str">
        <f aca="false">INDEX(Prioridade!$B$5:$J$9,MATCH(H$7,Prioridade!$A$5:$A$9,0),MATCH($B54,Prioridade!$B$4:$J$4,0))</f>
        <v>Média</v>
      </c>
      <c r="I54" s="13" t="str">
        <f aca="false">INDEX(Prioridade!$B$5:$J$9,MATCH(I$7,Prioridade!$A$5:$A$9,0),MATCH($B54,Prioridade!$B$4:$J$4,0))</f>
        <v>Alta</v>
      </c>
      <c r="J54" s="13" t="str">
        <f aca="false">INDEX(Prioridade!$B$5:$J$9,MATCH(J$7,Prioridade!$A$5:$A$9,0),MATCH($B54,Prioridade!$B$4:$J$4,0))</f>
        <v>Alta</v>
      </c>
    </row>
    <row r="55" customFormat="false" ht="15" hidden="false" customHeight="false" outlineLevel="0" collapsed="false">
      <c r="A55" s="13" t="n">
        <v>48</v>
      </c>
      <c r="B55" s="7" t="s">
        <v>236</v>
      </c>
      <c r="C55" s="7" t="s">
        <v>374</v>
      </c>
      <c r="D55" s="13" t="n">
        <v>4</v>
      </c>
      <c r="E55" s="7" t="s">
        <v>375</v>
      </c>
      <c r="F55" s="13" t="str">
        <f aca="false">INDEX(Prioridade!$B$5:$J$9,MATCH(F$7,Prioridade!$A$5:$A$9,0),MATCH($B55,Prioridade!$B$4:$J$4,0))</f>
        <v>Alta</v>
      </c>
      <c r="G55" s="13" t="str">
        <f aca="false">INDEX(Prioridade!$B$5:$J$9,MATCH(G$7,Prioridade!$A$5:$A$9,0),MATCH($B55,Prioridade!$B$4:$J$4,0))</f>
        <v>Média</v>
      </c>
      <c r="H55" s="13" t="str">
        <f aca="false">INDEX(Prioridade!$B$5:$J$9,MATCH(H$7,Prioridade!$A$5:$A$9,0),MATCH($B55,Prioridade!$B$4:$J$4,0))</f>
        <v>Média</v>
      </c>
      <c r="I55" s="13" t="str">
        <f aca="false">INDEX(Prioridade!$B$5:$J$9,MATCH(I$7,Prioridade!$A$5:$A$9,0),MATCH($B55,Prioridade!$B$4:$J$4,0))</f>
        <v>Alta</v>
      </c>
      <c r="J55" s="13" t="str">
        <f aca="false">INDEX(Prioridade!$B$5:$J$9,MATCH(J$7,Prioridade!$A$5:$A$9,0),MATCH($B55,Prioridade!$B$4:$J$4,0))</f>
        <v>Alta</v>
      </c>
    </row>
    <row r="56" customFormat="false" ht="15" hidden="false" customHeight="false" outlineLevel="0" collapsed="false">
      <c r="A56" s="13" t="n">
        <v>49</v>
      </c>
      <c r="B56" s="7" t="s">
        <v>236</v>
      </c>
      <c r="C56" s="7" t="s">
        <v>376</v>
      </c>
      <c r="D56" s="13" t="n">
        <v>10</v>
      </c>
      <c r="E56" s="7" t="s">
        <v>377</v>
      </c>
      <c r="F56" s="13" t="str">
        <f aca="false">INDEX(Prioridade!$B$5:$J$9,MATCH(F$7,Prioridade!$A$5:$A$9,0),MATCH($B56,Prioridade!$B$4:$J$4,0))</f>
        <v>Alta</v>
      </c>
      <c r="G56" s="13" t="str">
        <f aca="false">INDEX(Prioridade!$B$5:$J$9,MATCH(G$7,Prioridade!$A$5:$A$9,0),MATCH($B56,Prioridade!$B$4:$J$4,0))</f>
        <v>Média</v>
      </c>
      <c r="H56" s="13" t="str">
        <f aca="false">INDEX(Prioridade!$B$5:$J$9,MATCH(H$7,Prioridade!$A$5:$A$9,0),MATCH($B56,Prioridade!$B$4:$J$4,0))</f>
        <v>Média</v>
      </c>
      <c r="I56" s="13" t="str">
        <f aca="false">INDEX(Prioridade!$B$5:$J$9,MATCH(I$7,Prioridade!$A$5:$A$9,0),MATCH($B56,Prioridade!$B$4:$J$4,0))</f>
        <v>Alta</v>
      </c>
      <c r="J56" s="13" t="str">
        <f aca="false">INDEX(Prioridade!$B$5:$J$9,MATCH(J$7,Prioridade!$A$5:$A$9,0),MATCH($B56,Prioridade!$B$4:$J$4,0))</f>
        <v>Alta</v>
      </c>
    </row>
    <row r="57" customFormat="false" ht="15" hidden="false" customHeight="false" outlineLevel="0" collapsed="false">
      <c r="A57" s="13" t="n">
        <v>50</v>
      </c>
      <c r="B57" s="7" t="s">
        <v>236</v>
      </c>
      <c r="C57" s="7" t="s">
        <v>378</v>
      </c>
      <c r="D57" s="13" t="n">
        <v>6</v>
      </c>
      <c r="E57" s="7" t="s">
        <v>379</v>
      </c>
      <c r="F57" s="13" t="str">
        <f aca="false">INDEX(Prioridade!$B$5:$J$9,MATCH(F$7,Prioridade!$A$5:$A$9,0),MATCH($B57,Prioridade!$B$4:$J$4,0))</f>
        <v>Alta</v>
      </c>
      <c r="G57" s="13" t="str">
        <f aca="false">INDEX(Prioridade!$B$5:$J$9,MATCH(G$7,Prioridade!$A$5:$A$9,0),MATCH($B57,Prioridade!$B$4:$J$4,0))</f>
        <v>Média</v>
      </c>
      <c r="H57" s="13" t="str">
        <f aca="false">INDEX(Prioridade!$B$5:$J$9,MATCH(H$7,Prioridade!$A$5:$A$9,0),MATCH($B57,Prioridade!$B$4:$J$4,0))</f>
        <v>Média</v>
      </c>
      <c r="I57" s="13" t="str">
        <f aca="false">INDEX(Prioridade!$B$5:$J$9,MATCH(I$7,Prioridade!$A$5:$A$9,0),MATCH($B57,Prioridade!$B$4:$J$4,0))</f>
        <v>Alta</v>
      </c>
      <c r="J57" s="13" t="str">
        <f aca="false">INDEX(Prioridade!$B$5:$J$9,MATCH(J$7,Prioridade!$A$5:$A$9,0),MATCH($B57,Prioridade!$B$4:$J$4,0))</f>
        <v>Alta</v>
      </c>
    </row>
    <row r="58" customFormat="false" ht="15" hidden="false" customHeight="false" outlineLevel="0" collapsed="false">
      <c r="A58" s="13" t="n">
        <v>51</v>
      </c>
      <c r="B58" s="7" t="s">
        <v>236</v>
      </c>
      <c r="C58" s="7" t="s">
        <v>380</v>
      </c>
      <c r="D58" s="13" t="n">
        <v>6</v>
      </c>
      <c r="E58" s="7" t="s">
        <v>381</v>
      </c>
      <c r="F58" s="13" t="str">
        <f aca="false">INDEX(Prioridade!$B$5:$J$9,MATCH(F$7,Prioridade!$A$5:$A$9,0),MATCH($B58,Prioridade!$B$4:$J$4,0))</f>
        <v>Alta</v>
      </c>
      <c r="G58" s="13" t="str">
        <f aca="false">INDEX(Prioridade!$B$5:$J$9,MATCH(G$7,Prioridade!$A$5:$A$9,0),MATCH($B58,Prioridade!$B$4:$J$4,0))</f>
        <v>Média</v>
      </c>
      <c r="H58" s="13" t="str">
        <f aca="false">INDEX(Prioridade!$B$5:$J$9,MATCH(H$7,Prioridade!$A$5:$A$9,0),MATCH($B58,Prioridade!$B$4:$J$4,0))</f>
        <v>Média</v>
      </c>
      <c r="I58" s="13" t="str">
        <f aca="false">INDEX(Prioridade!$B$5:$J$9,MATCH(I$7,Prioridade!$A$5:$A$9,0),MATCH($B58,Prioridade!$B$4:$J$4,0))</f>
        <v>Alta</v>
      </c>
      <c r="J58" s="13" t="str">
        <f aca="false">INDEX(Prioridade!$B$5:$J$9,MATCH(J$7,Prioridade!$A$5:$A$9,0),MATCH($B58,Prioridade!$B$4:$J$4,0))</f>
        <v>Alta</v>
      </c>
    </row>
    <row r="59" customFormat="false" ht="15" hidden="false" customHeight="false" outlineLevel="0" collapsed="false">
      <c r="A59" s="13" t="n">
        <v>52</v>
      </c>
      <c r="B59" s="7" t="s">
        <v>236</v>
      </c>
      <c r="C59" s="7" t="s">
        <v>382</v>
      </c>
      <c r="D59" s="13" t="n">
        <v>6</v>
      </c>
      <c r="E59" s="7" t="s">
        <v>383</v>
      </c>
      <c r="F59" s="13" t="str">
        <f aca="false">INDEX(Prioridade!$B$5:$J$9,MATCH(F$7,Prioridade!$A$5:$A$9,0),MATCH($B59,Prioridade!$B$4:$J$4,0))</f>
        <v>Alta</v>
      </c>
      <c r="G59" s="13" t="str">
        <f aca="false">INDEX(Prioridade!$B$5:$J$9,MATCH(G$7,Prioridade!$A$5:$A$9,0),MATCH($B59,Prioridade!$B$4:$J$4,0))</f>
        <v>Média</v>
      </c>
      <c r="H59" s="13" t="str">
        <f aca="false">INDEX(Prioridade!$B$5:$J$9,MATCH(H$7,Prioridade!$A$5:$A$9,0),MATCH($B59,Prioridade!$B$4:$J$4,0))</f>
        <v>Média</v>
      </c>
      <c r="I59" s="13" t="str">
        <f aca="false">INDEX(Prioridade!$B$5:$J$9,MATCH(I$7,Prioridade!$A$5:$A$9,0),MATCH($B59,Prioridade!$B$4:$J$4,0))</f>
        <v>Alta</v>
      </c>
      <c r="J59" s="13" t="str">
        <f aca="false">INDEX(Prioridade!$B$5:$J$9,MATCH(J$7,Prioridade!$A$5:$A$9,0),MATCH($B59,Prioridade!$B$4:$J$4,0))</f>
        <v>Alta</v>
      </c>
    </row>
    <row r="60" customFormat="false" ht="15" hidden="false" customHeight="false" outlineLevel="0" collapsed="false">
      <c r="A60" s="13" t="n">
        <v>53</v>
      </c>
      <c r="B60" s="7" t="s">
        <v>384</v>
      </c>
      <c r="C60" s="7" t="s">
        <v>385</v>
      </c>
      <c r="D60" s="13" t="n">
        <v>8</v>
      </c>
      <c r="E60" s="7" t="s">
        <v>386</v>
      </c>
      <c r="F60" s="13" t="str">
        <f aca="false">INDEX(Prioridade!$B$5:$J$9,MATCH(F$7,Prioridade!$A$5:$A$9,0),MATCH($B60,Prioridade!$B$4:$J$4,0))</f>
        <v>Média</v>
      </c>
      <c r="G60" s="13" t="str">
        <f aca="false">INDEX(Prioridade!$B$5:$J$9,MATCH(G$7,Prioridade!$A$5:$A$9,0),MATCH($B60,Prioridade!$B$4:$J$4,0))</f>
        <v>Média</v>
      </c>
      <c r="H60" s="13" t="str">
        <f aca="false">INDEX(Prioridade!$B$5:$J$9,MATCH(H$7,Prioridade!$A$5:$A$9,0),MATCH($B60,Prioridade!$B$4:$J$4,0))</f>
        <v>Alta</v>
      </c>
      <c r="I60" s="13" t="str">
        <f aca="false">INDEX(Prioridade!$B$5:$J$9,MATCH(I$7,Prioridade!$A$5:$A$9,0),MATCH($B60,Prioridade!$B$4:$J$4,0))</f>
        <v>Alta</v>
      </c>
      <c r="J60" s="13" t="str">
        <f aca="false">INDEX(Prioridade!$B$5:$J$9,MATCH(J$7,Prioridade!$A$5:$A$9,0),MATCH($B60,Prioridade!$B$4:$J$4,0))</f>
        <v>Alta</v>
      </c>
    </row>
    <row r="61" customFormat="false" ht="15" hidden="false" customHeight="false" outlineLevel="0" collapsed="false">
      <c r="A61" s="13" t="n">
        <v>54</v>
      </c>
      <c r="B61" s="7" t="s">
        <v>384</v>
      </c>
      <c r="C61" s="7" t="s">
        <v>387</v>
      </c>
      <c r="D61" s="13" t="n">
        <v>4</v>
      </c>
      <c r="E61" s="7" t="s">
        <v>388</v>
      </c>
      <c r="F61" s="13" t="str">
        <f aca="false">INDEX(Prioridade!$B$5:$J$9,MATCH(F$7,Prioridade!$A$5:$A$9,0),MATCH($B61,Prioridade!$B$4:$J$4,0))</f>
        <v>Média</v>
      </c>
      <c r="G61" s="13" t="str">
        <f aca="false">INDEX(Prioridade!$B$5:$J$9,MATCH(G$7,Prioridade!$A$5:$A$9,0),MATCH($B61,Prioridade!$B$4:$J$4,0))</f>
        <v>Média</v>
      </c>
      <c r="H61" s="13" t="str">
        <f aca="false">INDEX(Prioridade!$B$5:$J$9,MATCH(H$7,Prioridade!$A$5:$A$9,0),MATCH($B61,Prioridade!$B$4:$J$4,0))</f>
        <v>Alta</v>
      </c>
      <c r="I61" s="13" t="str">
        <f aca="false">INDEX(Prioridade!$B$5:$J$9,MATCH(I$7,Prioridade!$A$5:$A$9,0),MATCH($B61,Prioridade!$B$4:$J$4,0))</f>
        <v>Alta</v>
      </c>
      <c r="J61" s="13" t="str">
        <f aca="false">INDEX(Prioridade!$B$5:$J$9,MATCH(J$7,Prioridade!$A$5:$A$9,0),MATCH($B61,Prioridade!$B$4:$J$4,0))</f>
        <v>Alta</v>
      </c>
    </row>
    <row r="62" customFormat="false" ht="15" hidden="false" customHeight="false" outlineLevel="0" collapsed="false">
      <c r="A62" s="13" t="n">
        <v>55</v>
      </c>
      <c r="B62" s="7" t="s">
        <v>384</v>
      </c>
      <c r="C62" s="7" t="s">
        <v>389</v>
      </c>
      <c r="D62" s="13" t="n">
        <v>4</v>
      </c>
      <c r="E62" s="7" t="s">
        <v>390</v>
      </c>
      <c r="F62" s="13" t="str">
        <f aca="false">INDEX(Prioridade!$B$5:$J$9,MATCH(F$7,Prioridade!$A$5:$A$9,0),MATCH($B62,Prioridade!$B$4:$J$4,0))</f>
        <v>Média</v>
      </c>
      <c r="G62" s="13" t="str">
        <f aca="false">INDEX(Prioridade!$B$5:$J$9,MATCH(G$7,Prioridade!$A$5:$A$9,0),MATCH($B62,Prioridade!$B$4:$J$4,0))</f>
        <v>Média</v>
      </c>
      <c r="H62" s="13" t="str">
        <f aca="false">INDEX(Prioridade!$B$5:$J$9,MATCH(H$7,Prioridade!$A$5:$A$9,0),MATCH($B62,Prioridade!$B$4:$J$4,0))</f>
        <v>Alta</v>
      </c>
      <c r="I62" s="13" t="str">
        <f aca="false">INDEX(Prioridade!$B$5:$J$9,MATCH(I$7,Prioridade!$A$5:$A$9,0),MATCH($B62,Prioridade!$B$4:$J$4,0))</f>
        <v>Alta</v>
      </c>
      <c r="J62" s="13" t="str">
        <f aca="false">INDEX(Prioridade!$B$5:$J$9,MATCH(J$7,Prioridade!$A$5:$A$9,0),MATCH($B62,Prioridade!$B$4:$J$4,0))</f>
        <v>Alta</v>
      </c>
    </row>
    <row r="63" customFormat="false" ht="15" hidden="false" customHeight="false" outlineLevel="0" collapsed="false">
      <c r="A63" s="13" t="n">
        <v>56</v>
      </c>
      <c r="B63" s="7" t="s">
        <v>384</v>
      </c>
      <c r="C63" s="7" t="s">
        <v>391</v>
      </c>
      <c r="D63" s="13" t="n">
        <v>5</v>
      </c>
      <c r="E63" s="7" t="s">
        <v>392</v>
      </c>
      <c r="F63" s="13" t="str">
        <f aca="false">INDEX(Prioridade!$B$5:$J$9,MATCH(F$7,Prioridade!$A$5:$A$9,0),MATCH($B63,Prioridade!$B$4:$J$4,0))</f>
        <v>Média</v>
      </c>
      <c r="G63" s="13" t="str">
        <f aca="false">INDEX(Prioridade!$B$5:$J$9,MATCH(G$7,Prioridade!$A$5:$A$9,0),MATCH($B63,Prioridade!$B$4:$J$4,0))</f>
        <v>Média</v>
      </c>
      <c r="H63" s="13" t="str">
        <f aca="false">INDEX(Prioridade!$B$5:$J$9,MATCH(H$7,Prioridade!$A$5:$A$9,0),MATCH($B63,Prioridade!$B$4:$J$4,0))</f>
        <v>Alta</v>
      </c>
      <c r="I63" s="13" t="str">
        <f aca="false">INDEX(Prioridade!$B$5:$J$9,MATCH(I$7,Prioridade!$A$5:$A$9,0),MATCH($B63,Prioridade!$B$4:$J$4,0))</f>
        <v>Alta</v>
      </c>
      <c r="J63" s="13" t="str">
        <f aca="false">INDEX(Prioridade!$B$5:$J$9,MATCH(J$7,Prioridade!$A$5:$A$9,0),MATCH($B63,Prioridade!$B$4:$J$4,0))</f>
        <v>Alta</v>
      </c>
    </row>
    <row r="64" customFormat="false" ht="15" hidden="false" customHeight="false" outlineLevel="0" collapsed="false">
      <c r="A64" s="13" t="n">
        <v>57</v>
      </c>
      <c r="B64" s="7" t="s">
        <v>384</v>
      </c>
      <c r="C64" s="7" t="s">
        <v>393</v>
      </c>
      <c r="D64" s="13" t="n">
        <v>8</v>
      </c>
      <c r="E64" s="7" t="s">
        <v>394</v>
      </c>
      <c r="F64" s="13" t="str">
        <f aca="false">INDEX(Prioridade!$B$5:$J$9,MATCH(F$7,Prioridade!$A$5:$A$9,0),MATCH($B64,Prioridade!$B$4:$J$4,0))</f>
        <v>Média</v>
      </c>
      <c r="G64" s="13" t="str">
        <f aca="false">INDEX(Prioridade!$B$5:$J$9,MATCH(G$7,Prioridade!$A$5:$A$9,0),MATCH($B64,Prioridade!$B$4:$J$4,0))</f>
        <v>Média</v>
      </c>
      <c r="H64" s="13" t="str">
        <f aca="false">INDEX(Prioridade!$B$5:$J$9,MATCH(H$7,Prioridade!$A$5:$A$9,0),MATCH($B64,Prioridade!$B$4:$J$4,0))</f>
        <v>Alta</v>
      </c>
      <c r="I64" s="13" t="str">
        <f aca="false">INDEX(Prioridade!$B$5:$J$9,MATCH(I$7,Prioridade!$A$5:$A$9,0),MATCH($B64,Prioridade!$B$4:$J$4,0))</f>
        <v>Alta</v>
      </c>
      <c r="J64" s="13" t="str">
        <f aca="false">INDEX(Prioridade!$B$5:$J$9,MATCH(J$7,Prioridade!$A$5:$A$9,0),MATCH($B64,Prioridade!$B$4:$J$4,0))</f>
        <v>Alta</v>
      </c>
    </row>
    <row r="65" customFormat="false" ht="15" hidden="false" customHeight="false" outlineLevel="0" collapsed="false">
      <c r="A65" s="13" t="n">
        <v>58</v>
      </c>
      <c r="B65" s="7" t="s">
        <v>384</v>
      </c>
      <c r="C65" s="7" t="s">
        <v>395</v>
      </c>
      <c r="D65" s="13" t="n">
        <v>3</v>
      </c>
      <c r="E65" s="7" t="s">
        <v>396</v>
      </c>
      <c r="F65" s="13" t="str">
        <f aca="false">INDEX(Prioridade!$B$5:$J$9,MATCH(F$7,Prioridade!$A$5:$A$9,0),MATCH($B65,Prioridade!$B$4:$J$4,0))</f>
        <v>Média</v>
      </c>
      <c r="G65" s="13" t="str">
        <f aca="false">INDEX(Prioridade!$B$5:$J$9,MATCH(G$7,Prioridade!$A$5:$A$9,0),MATCH($B65,Prioridade!$B$4:$J$4,0))</f>
        <v>Média</v>
      </c>
      <c r="H65" s="13" t="str">
        <f aca="false">INDEX(Prioridade!$B$5:$J$9,MATCH(H$7,Prioridade!$A$5:$A$9,0),MATCH($B65,Prioridade!$B$4:$J$4,0))</f>
        <v>Alta</v>
      </c>
      <c r="I65" s="13" t="str">
        <f aca="false">INDEX(Prioridade!$B$5:$J$9,MATCH(I$7,Prioridade!$A$5:$A$9,0),MATCH($B65,Prioridade!$B$4:$J$4,0))</f>
        <v>Alta</v>
      </c>
      <c r="J65" s="13" t="str">
        <f aca="false">INDEX(Prioridade!$B$5:$J$9,MATCH(J$7,Prioridade!$A$5:$A$9,0),MATCH($B65,Prioridade!$B$4:$J$4,0))</f>
        <v>Alta</v>
      </c>
    </row>
    <row r="66" customFormat="false" ht="15" hidden="false" customHeight="false" outlineLevel="0" collapsed="false">
      <c r="A66" s="13" t="n">
        <v>59</v>
      </c>
      <c r="B66" s="7" t="s">
        <v>250</v>
      </c>
      <c r="C66" s="7" t="s">
        <v>397</v>
      </c>
      <c r="D66" s="13" t="n">
        <v>6</v>
      </c>
      <c r="E66" s="7" t="s">
        <v>398</v>
      </c>
      <c r="F66" s="13" t="str">
        <f aca="false">INDEX(Prioridade!$B$5:$J$9,MATCH(F$7,Prioridade!$A$5:$A$9,0),MATCH($B66,Prioridade!$B$4:$J$4,0))</f>
        <v>Média</v>
      </c>
      <c r="G66" s="13" t="str">
        <f aca="false">INDEX(Prioridade!$B$5:$J$9,MATCH(G$7,Prioridade!$A$5:$A$9,0),MATCH($B66,Prioridade!$B$4:$J$4,0))</f>
        <v>Média</v>
      </c>
      <c r="H66" s="13" t="str">
        <f aca="false">INDEX(Prioridade!$B$5:$J$9,MATCH(H$7,Prioridade!$A$5:$A$9,0),MATCH($B66,Prioridade!$B$4:$J$4,0))</f>
        <v>Média</v>
      </c>
      <c r="I66" s="13" t="str">
        <f aca="false">INDEX(Prioridade!$B$5:$J$9,MATCH(I$7,Prioridade!$A$5:$A$9,0),MATCH($B66,Prioridade!$B$4:$J$4,0))</f>
        <v>Média</v>
      </c>
      <c r="J66" s="13" t="str">
        <f aca="false">INDEX(Prioridade!$B$5:$J$9,MATCH(J$7,Prioridade!$A$5:$A$9,0),MATCH($B66,Prioridade!$B$4:$J$4,0))</f>
        <v>Média</v>
      </c>
    </row>
    <row r="67" customFormat="false" ht="15" hidden="false" customHeight="false" outlineLevel="0" collapsed="false">
      <c r="A67" s="13" t="n">
        <v>60</v>
      </c>
      <c r="B67" s="7" t="s">
        <v>250</v>
      </c>
      <c r="C67" s="7" t="s">
        <v>399</v>
      </c>
      <c r="D67" s="13" t="n">
        <v>4</v>
      </c>
      <c r="E67" s="7" t="s">
        <v>400</v>
      </c>
      <c r="F67" s="13" t="str">
        <f aca="false">INDEX(Prioridade!$B$5:$J$9,MATCH(F$7,Prioridade!$A$5:$A$9,0),MATCH($B67,Prioridade!$B$4:$J$4,0))</f>
        <v>Média</v>
      </c>
      <c r="G67" s="13" t="str">
        <f aca="false">INDEX(Prioridade!$B$5:$J$9,MATCH(G$7,Prioridade!$A$5:$A$9,0),MATCH($B67,Prioridade!$B$4:$J$4,0))</f>
        <v>Média</v>
      </c>
      <c r="H67" s="13" t="str">
        <f aca="false">INDEX(Prioridade!$B$5:$J$9,MATCH(H$7,Prioridade!$A$5:$A$9,0),MATCH($B67,Prioridade!$B$4:$J$4,0))</f>
        <v>Média</v>
      </c>
      <c r="I67" s="13" t="str">
        <f aca="false">INDEX(Prioridade!$B$5:$J$9,MATCH(I$7,Prioridade!$A$5:$A$9,0),MATCH($B67,Prioridade!$B$4:$J$4,0))</f>
        <v>Média</v>
      </c>
      <c r="J67" s="13" t="str">
        <f aca="false">INDEX(Prioridade!$B$5:$J$9,MATCH(J$7,Prioridade!$A$5:$A$9,0),MATCH($B67,Prioridade!$B$4:$J$4,0))</f>
        <v>Média</v>
      </c>
    </row>
    <row r="68" customFormat="false" ht="15" hidden="false" customHeight="false" outlineLevel="0" collapsed="false">
      <c r="A68" s="13" t="n">
        <v>61</v>
      </c>
      <c r="B68" s="7" t="s">
        <v>256</v>
      </c>
      <c r="C68" s="7" t="s">
        <v>401</v>
      </c>
      <c r="D68" s="13" t="n">
        <v>5</v>
      </c>
      <c r="E68" s="7" t="s">
        <v>402</v>
      </c>
      <c r="F68" s="13" t="str">
        <f aca="false">INDEX(Prioridade!$B$5:$J$9,MATCH(F$7,Prioridade!$A$5:$A$9,0),MATCH($B68,Prioridade!$B$4:$J$4,0))</f>
        <v>Média</v>
      </c>
      <c r="G68" s="13" t="str">
        <f aca="false">INDEX(Prioridade!$B$5:$J$9,MATCH(G$7,Prioridade!$A$5:$A$9,0),MATCH($B68,Prioridade!$B$4:$J$4,0))</f>
        <v>Alta</v>
      </c>
      <c r="H68" s="13" t="str">
        <f aca="false">INDEX(Prioridade!$B$5:$J$9,MATCH(H$7,Prioridade!$A$5:$A$9,0),MATCH($B68,Prioridade!$B$4:$J$4,0))</f>
        <v>Alta</v>
      </c>
      <c r="I68" s="13" t="str">
        <f aca="false">INDEX(Prioridade!$B$5:$J$9,MATCH(I$7,Prioridade!$A$5:$A$9,0),MATCH($B68,Prioridade!$B$4:$J$4,0))</f>
        <v>Média</v>
      </c>
      <c r="J68" s="13" t="str">
        <f aca="false">INDEX(Prioridade!$B$5:$J$9,MATCH(J$7,Prioridade!$A$5:$A$9,0),MATCH($B68,Prioridade!$B$4:$J$4,0))</f>
        <v>Alta</v>
      </c>
    </row>
    <row r="69" customFormat="false" ht="15" hidden="false" customHeight="false" outlineLevel="0" collapsed="false">
      <c r="A69" s="13" t="n">
        <v>62</v>
      </c>
      <c r="B69" s="7" t="s">
        <v>256</v>
      </c>
      <c r="C69" s="7" t="s">
        <v>403</v>
      </c>
      <c r="D69" s="13" t="n">
        <v>8</v>
      </c>
      <c r="E69" s="7" t="s">
        <v>404</v>
      </c>
      <c r="F69" s="13" t="str">
        <f aca="false">INDEX(Prioridade!$B$5:$J$9,MATCH(F$7,Prioridade!$A$5:$A$9,0),MATCH($B69,Prioridade!$B$4:$J$4,0))</f>
        <v>Média</v>
      </c>
      <c r="G69" s="13" t="str">
        <f aca="false">INDEX(Prioridade!$B$5:$J$9,MATCH(G$7,Prioridade!$A$5:$A$9,0),MATCH($B69,Prioridade!$B$4:$J$4,0))</f>
        <v>Alta</v>
      </c>
      <c r="H69" s="13" t="str">
        <f aca="false">INDEX(Prioridade!$B$5:$J$9,MATCH(H$7,Prioridade!$A$5:$A$9,0),MATCH($B69,Prioridade!$B$4:$J$4,0))</f>
        <v>Alta</v>
      </c>
      <c r="I69" s="13" t="str">
        <f aca="false">INDEX(Prioridade!$B$5:$J$9,MATCH(I$7,Prioridade!$A$5:$A$9,0),MATCH($B69,Prioridade!$B$4:$J$4,0))</f>
        <v>Média</v>
      </c>
      <c r="J69" s="13" t="str">
        <f aca="false">INDEX(Prioridade!$B$5:$J$9,MATCH(J$7,Prioridade!$A$5:$A$9,0),MATCH($B69,Prioridade!$B$4:$J$4,0))</f>
        <v>Alta</v>
      </c>
    </row>
    <row r="70" customFormat="false" ht="15" hidden="false" customHeight="false" outlineLevel="0" collapsed="false">
      <c r="A70" s="13" t="n">
        <v>63</v>
      </c>
      <c r="B70" s="7" t="s">
        <v>256</v>
      </c>
      <c r="C70" s="7" t="s">
        <v>405</v>
      </c>
      <c r="D70" s="13" t="n">
        <v>5</v>
      </c>
      <c r="E70" s="7" t="s">
        <v>406</v>
      </c>
      <c r="F70" s="13" t="str">
        <f aca="false">INDEX(Prioridade!$B$5:$J$9,MATCH(F$7,Prioridade!$A$5:$A$9,0),MATCH($B70,Prioridade!$B$4:$J$4,0))</f>
        <v>Média</v>
      </c>
      <c r="G70" s="13" t="str">
        <f aca="false">INDEX(Prioridade!$B$5:$J$9,MATCH(G$7,Prioridade!$A$5:$A$9,0),MATCH($B70,Prioridade!$B$4:$J$4,0))</f>
        <v>Alta</v>
      </c>
      <c r="H70" s="13" t="str">
        <f aca="false">INDEX(Prioridade!$B$5:$J$9,MATCH(H$7,Prioridade!$A$5:$A$9,0),MATCH($B70,Prioridade!$B$4:$J$4,0))</f>
        <v>Alta</v>
      </c>
      <c r="I70" s="13" t="str">
        <f aca="false">INDEX(Prioridade!$B$5:$J$9,MATCH(I$7,Prioridade!$A$5:$A$9,0),MATCH($B70,Prioridade!$B$4:$J$4,0))</f>
        <v>Média</v>
      </c>
      <c r="J70" s="13" t="str">
        <f aca="false">INDEX(Prioridade!$B$5:$J$9,MATCH(J$7,Prioridade!$A$5:$A$9,0),MATCH($B70,Prioridade!$B$4:$J$4,0))</f>
        <v>Alta</v>
      </c>
    </row>
    <row r="71" customFormat="false" ht="15" hidden="false" customHeight="false" outlineLevel="0" collapsed="false">
      <c r="A71" s="13" t="n">
        <v>64</v>
      </c>
      <c r="B71" s="7" t="s">
        <v>256</v>
      </c>
      <c r="C71" s="7" t="s">
        <v>407</v>
      </c>
      <c r="D71" s="13" t="n">
        <v>4</v>
      </c>
      <c r="E71" s="7" t="s">
        <v>408</v>
      </c>
      <c r="F71" s="13" t="str">
        <f aca="false">INDEX(Prioridade!$B$5:$J$9,MATCH(F$7,Prioridade!$A$5:$A$9,0),MATCH($B71,Prioridade!$B$4:$J$4,0))</f>
        <v>Média</v>
      </c>
      <c r="G71" s="13" t="str">
        <f aca="false">INDEX(Prioridade!$B$5:$J$9,MATCH(G$7,Prioridade!$A$5:$A$9,0),MATCH($B71,Prioridade!$B$4:$J$4,0))</f>
        <v>Alta</v>
      </c>
      <c r="H71" s="13" t="str">
        <f aca="false">INDEX(Prioridade!$B$5:$J$9,MATCH(H$7,Prioridade!$A$5:$A$9,0),MATCH($B71,Prioridade!$B$4:$J$4,0))</f>
        <v>Alta</v>
      </c>
      <c r="I71" s="13" t="str">
        <f aca="false">INDEX(Prioridade!$B$5:$J$9,MATCH(I$7,Prioridade!$A$5:$A$9,0),MATCH($B71,Prioridade!$B$4:$J$4,0))</f>
        <v>Média</v>
      </c>
      <c r="J71" s="13" t="str">
        <f aca="false">INDEX(Prioridade!$B$5:$J$9,MATCH(J$7,Prioridade!$A$5:$A$9,0),MATCH($B71,Prioridade!$B$4:$J$4,0))</f>
        <v>Alta</v>
      </c>
    </row>
    <row r="72" customFormat="false" ht="15" hidden="false" customHeight="false" outlineLevel="0" collapsed="false">
      <c r="A72" s="13" t="n">
        <v>65</v>
      </c>
      <c r="B72" s="7" t="s">
        <v>261</v>
      </c>
      <c r="C72" s="7" t="s">
        <v>409</v>
      </c>
      <c r="D72" s="13" t="n">
        <v>4</v>
      </c>
      <c r="E72" s="7" t="s">
        <v>410</v>
      </c>
      <c r="F72" s="13" t="str">
        <f aca="false">INDEX(Prioridade!$B$5:$J$9,MATCH(F$7,Prioridade!$A$5:$A$9,0),MATCH($B72,Prioridade!$B$4:$J$4,0))</f>
        <v>Média</v>
      </c>
      <c r="G72" s="13" t="str">
        <f aca="false">INDEX(Prioridade!$B$5:$J$9,MATCH(G$7,Prioridade!$A$5:$A$9,0),MATCH($B72,Prioridade!$B$4:$J$4,0))</f>
        <v>Média</v>
      </c>
      <c r="H72" s="13" t="str">
        <f aca="false">INDEX(Prioridade!$B$5:$J$9,MATCH(H$7,Prioridade!$A$5:$A$9,0),MATCH($B72,Prioridade!$B$4:$J$4,0))</f>
        <v>Média</v>
      </c>
      <c r="I72" s="13" t="str">
        <f aca="false">INDEX(Prioridade!$B$5:$J$9,MATCH(I$7,Prioridade!$A$5:$A$9,0),MATCH($B72,Prioridade!$B$4:$J$4,0))</f>
        <v>Média</v>
      </c>
      <c r="J72" s="13" t="str">
        <f aca="false">INDEX(Prioridade!$B$5:$J$9,MATCH(J$7,Prioridade!$A$5:$A$9,0),MATCH($B72,Prioridade!$B$4:$J$4,0))</f>
        <v>Média</v>
      </c>
    </row>
    <row r="73" customFormat="false" ht="15" hidden="false" customHeight="false" outlineLevel="0" collapsed="false">
      <c r="A73" s="13" t="n">
        <v>66</v>
      </c>
      <c r="B73" s="7" t="s">
        <v>261</v>
      </c>
      <c r="C73" s="7" t="s">
        <v>411</v>
      </c>
      <c r="D73" s="13" t="n">
        <v>5</v>
      </c>
      <c r="E73" s="7" t="s">
        <v>412</v>
      </c>
      <c r="F73" s="13" t="str">
        <f aca="false">INDEX(Prioridade!$B$5:$J$9,MATCH(F$7,Prioridade!$A$5:$A$9,0),MATCH($B73,Prioridade!$B$4:$J$4,0))</f>
        <v>Média</v>
      </c>
      <c r="G73" s="13" t="str">
        <f aca="false">INDEX(Prioridade!$B$5:$J$9,MATCH(G$7,Prioridade!$A$5:$A$9,0),MATCH($B73,Prioridade!$B$4:$J$4,0))</f>
        <v>Média</v>
      </c>
      <c r="H73" s="13" t="str">
        <f aca="false">INDEX(Prioridade!$B$5:$J$9,MATCH(H$7,Prioridade!$A$5:$A$9,0),MATCH($B73,Prioridade!$B$4:$J$4,0))</f>
        <v>Média</v>
      </c>
      <c r="I73" s="13" t="str">
        <f aca="false">INDEX(Prioridade!$B$5:$J$9,MATCH(I$7,Prioridade!$A$5:$A$9,0),MATCH($B73,Prioridade!$B$4:$J$4,0))</f>
        <v>Média</v>
      </c>
      <c r="J73" s="13" t="str">
        <f aca="false">INDEX(Prioridade!$B$5:$J$9,MATCH(J$7,Prioridade!$A$5:$A$9,0),MATCH($B73,Prioridade!$B$4:$J$4,0))</f>
        <v>Média</v>
      </c>
    </row>
    <row r="74" customFormat="false" ht="15" hidden="false" customHeight="false" outlineLevel="0" collapsed="false">
      <c r="A74" s="13" t="n">
        <v>67</v>
      </c>
      <c r="B74" s="7" t="s">
        <v>266</v>
      </c>
      <c r="C74" s="7" t="s">
        <v>413</v>
      </c>
      <c r="D74" s="13" t="n">
        <v>20</v>
      </c>
      <c r="E74" s="7" t="s">
        <v>414</v>
      </c>
      <c r="F74" s="13" t="str">
        <f aca="false">INDEX(Prioridade!$B$5:$J$9,MATCH(F$7,Prioridade!$A$5:$A$9,0),MATCH($B74,Prioridade!$B$4:$J$4,0))</f>
        <v>Alta</v>
      </c>
      <c r="G74" s="13" t="str">
        <f aca="false">INDEX(Prioridade!$B$5:$J$9,MATCH(G$7,Prioridade!$A$5:$A$9,0),MATCH($B74,Prioridade!$B$4:$J$4,0))</f>
        <v>Média</v>
      </c>
      <c r="H74" s="13" t="str">
        <f aca="false">INDEX(Prioridade!$B$5:$J$9,MATCH(H$7,Prioridade!$A$5:$A$9,0),MATCH($B74,Prioridade!$B$4:$J$4,0))</f>
        <v>Média</v>
      </c>
      <c r="I74" s="13" t="str">
        <f aca="false">INDEX(Prioridade!$B$5:$J$9,MATCH(I$7,Prioridade!$A$5:$A$9,0),MATCH($B74,Prioridade!$B$4:$J$4,0))</f>
        <v>Alta</v>
      </c>
      <c r="J74" s="13" t="str">
        <f aca="false">INDEX(Prioridade!$B$5:$J$9,MATCH(J$7,Prioridade!$A$5:$A$9,0),MATCH($B74,Prioridade!$B$4:$J$4,0))</f>
        <v>Alta</v>
      </c>
    </row>
    <row r="75" customFormat="false" ht="15" hidden="false" customHeight="false" outlineLevel="0" collapsed="false">
      <c r="A75" s="13" t="n">
        <v>68</v>
      </c>
      <c r="B75" s="7" t="s">
        <v>266</v>
      </c>
      <c r="C75" s="7" t="s">
        <v>415</v>
      </c>
      <c r="D75" s="13" t="n">
        <v>4</v>
      </c>
      <c r="E75" s="7" t="s">
        <v>416</v>
      </c>
      <c r="F75" s="13" t="str">
        <f aca="false">INDEX(Prioridade!$B$5:$J$9,MATCH(F$7,Prioridade!$A$5:$A$9,0),MATCH($B75,Prioridade!$B$4:$J$4,0))</f>
        <v>Alta</v>
      </c>
      <c r="G75" s="13" t="str">
        <f aca="false">INDEX(Prioridade!$B$5:$J$9,MATCH(G$7,Prioridade!$A$5:$A$9,0),MATCH($B75,Prioridade!$B$4:$J$4,0))</f>
        <v>Média</v>
      </c>
      <c r="H75" s="13" t="str">
        <f aca="false">INDEX(Prioridade!$B$5:$J$9,MATCH(H$7,Prioridade!$A$5:$A$9,0),MATCH($B75,Prioridade!$B$4:$J$4,0))</f>
        <v>Média</v>
      </c>
      <c r="I75" s="13" t="str">
        <f aca="false">INDEX(Prioridade!$B$5:$J$9,MATCH(I$7,Prioridade!$A$5:$A$9,0),MATCH($B75,Prioridade!$B$4:$J$4,0))</f>
        <v>Alta</v>
      </c>
      <c r="J75" s="13" t="str">
        <f aca="false">INDEX(Prioridade!$B$5:$J$9,MATCH(J$7,Prioridade!$A$5:$A$9,0),MATCH($B75,Prioridade!$B$4:$J$4,0))</f>
        <v>Alta</v>
      </c>
    </row>
    <row r="76" customFormat="false" ht="15" hidden="false" customHeight="false" outlineLevel="0" collapsed="false">
      <c r="A76" s="13" t="n">
        <v>69</v>
      </c>
      <c r="B76" s="7" t="s">
        <v>266</v>
      </c>
      <c r="C76" s="7" t="s">
        <v>417</v>
      </c>
      <c r="D76" s="13" t="n">
        <v>3</v>
      </c>
      <c r="E76" s="7" t="s">
        <v>418</v>
      </c>
      <c r="F76" s="13" t="str">
        <f aca="false">INDEX(Prioridade!$B$5:$J$9,MATCH(F$7,Prioridade!$A$5:$A$9,0),MATCH($B76,Prioridade!$B$4:$J$4,0))</f>
        <v>Alta</v>
      </c>
      <c r="G76" s="13" t="str">
        <f aca="false">INDEX(Prioridade!$B$5:$J$9,MATCH(G$7,Prioridade!$A$5:$A$9,0),MATCH($B76,Prioridade!$B$4:$J$4,0))</f>
        <v>Média</v>
      </c>
      <c r="H76" s="13" t="str">
        <f aca="false">INDEX(Prioridade!$B$5:$J$9,MATCH(H$7,Prioridade!$A$5:$A$9,0),MATCH($B76,Prioridade!$B$4:$J$4,0))</f>
        <v>Média</v>
      </c>
      <c r="I76" s="13" t="str">
        <f aca="false">INDEX(Prioridade!$B$5:$J$9,MATCH(I$7,Prioridade!$A$5:$A$9,0),MATCH($B76,Prioridade!$B$4:$J$4,0))</f>
        <v>Alta</v>
      </c>
      <c r="J76" s="13" t="str">
        <f aca="false">INDEX(Prioridade!$B$5:$J$9,MATCH(J$7,Prioridade!$A$5:$A$9,0),MATCH($B76,Prioridade!$B$4:$J$4,0))</f>
        <v>Alta</v>
      </c>
    </row>
    <row r="77" customFormat="false" ht="15" hidden="false" customHeight="false" outlineLevel="0" collapsed="false">
      <c r="A77" s="13" t="n">
        <v>70</v>
      </c>
      <c r="B77" s="7" t="s">
        <v>266</v>
      </c>
      <c r="C77" s="7" t="s">
        <v>419</v>
      </c>
      <c r="D77" s="13" t="n">
        <v>6</v>
      </c>
      <c r="E77" s="7" t="s">
        <v>420</v>
      </c>
      <c r="F77" s="13" t="str">
        <f aca="false">INDEX(Prioridade!$B$5:$J$9,MATCH(F$7,Prioridade!$A$5:$A$9,0),MATCH($B77,Prioridade!$B$4:$J$4,0))</f>
        <v>Alta</v>
      </c>
      <c r="G77" s="13" t="str">
        <f aca="false">INDEX(Prioridade!$B$5:$J$9,MATCH(G$7,Prioridade!$A$5:$A$9,0),MATCH($B77,Prioridade!$B$4:$J$4,0))</f>
        <v>Média</v>
      </c>
      <c r="H77" s="13" t="str">
        <f aca="false">INDEX(Prioridade!$B$5:$J$9,MATCH(H$7,Prioridade!$A$5:$A$9,0),MATCH($B77,Prioridade!$B$4:$J$4,0))</f>
        <v>Média</v>
      </c>
      <c r="I77" s="13" t="str">
        <f aca="false">INDEX(Prioridade!$B$5:$J$9,MATCH(I$7,Prioridade!$A$5:$A$9,0),MATCH($B77,Prioridade!$B$4:$J$4,0))</f>
        <v>Alta</v>
      </c>
      <c r="J77" s="13" t="str">
        <f aca="false">INDEX(Prioridade!$B$5:$J$9,MATCH(J$7,Prioridade!$A$5:$A$9,0),MATCH($B77,Prioridade!$B$4:$J$4,0))</f>
        <v>Alta</v>
      </c>
    </row>
    <row r="78" customFormat="false" ht="15" hidden="false" customHeight="false" outlineLevel="0" collapsed="false">
      <c r="A78" s="13" t="n">
        <v>71</v>
      </c>
      <c r="B78" s="7" t="s">
        <v>266</v>
      </c>
      <c r="C78" s="7" t="s">
        <v>421</v>
      </c>
      <c r="D78" s="13" t="n">
        <v>10</v>
      </c>
      <c r="E78" s="7" t="s">
        <v>422</v>
      </c>
      <c r="F78" s="13" t="str">
        <f aca="false">INDEX(Prioridade!$B$5:$J$9,MATCH(F$7,Prioridade!$A$5:$A$9,0),MATCH($B78,Prioridade!$B$4:$J$4,0))</f>
        <v>Alta</v>
      </c>
      <c r="G78" s="13" t="str">
        <f aca="false">INDEX(Prioridade!$B$5:$J$9,MATCH(G$7,Prioridade!$A$5:$A$9,0),MATCH($B78,Prioridade!$B$4:$J$4,0))</f>
        <v>Média</v>
      </c>
      <c r="H78" s="13" t="str">
        <f aca="false">INDEX(Prioridade!$B$5:$J$9,MATCH(H$7,Prioridade!$A$5:$A$9,0),MATCH($B78,Prioridade!$B$4:$J$4,0))</f>
        <v>Média</v>
      </c>
      <c r="I78" s="13" t="str">
        <f aca="false">INDEX(Prioridade!$B$5:$J$9,MATCH(I$7,Prioridade!$A$5:$A$9,0),MATCH($B78,Prioridade!$B$4:$J$4,0))</f>
        <v>Alta</v>
      </c>
      <c r="J78" s="13" t="str">
        <f aca="false">INDEX(Prioridade!$B$5:$J$9,MATCH(J$7,Prioridade!$A$5:$A$9,0),MATCH($B78,Prioridade!$B$4:$J$4,0))</f>
        <v>Alta</v>
      </c>
    </row>
  </sheetData>
  <autoFilter ref="A7:J78"/>
  <conditionalFormatting sqref="F8:J78">
    <cfRule type="cellIs" priority="2" operator="equal" aboveAverage="0" equalAverage="0" bottom="0" percent="0" rank="0" text="" dxfId="6">
      <formula>"Alta"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E9"/>
    <pageSetUpPr fitToPage="tru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423</v>
      </c>
    </row>
    <row r="2" customFormat="false" ht="15" hidden="false" customHeight="false" outlineLevel="0" collapsed="false">
      <c r="A2" s="2" t="s">
        <v>424</v>
      </c>
    </row>
    <row r="4" customFormat="false" ht="31.5" hidden="false" customHeight="true" outlineLevel="0" collapsed="false">
      <c r="A4" s="8" t="s">
        <v>425</v>
      </c>
      <c r="B4" s="8" t="s">
        <v>426</v>
      </c>
    </row>
    <row r="5" customFormat="false" ht="30" hidden="false" customHeight="true" outlineLevel="0" collapsed="false">
      <c r="A5" s="10" t="s">
        <v>427</v>
      </c>
      <c r="B5" s="7" t="s">
        <v>428</v>
      </c>
    </row>
    <row r="6" customFormat="false" ht="30" hidden="false" customHeight="true" outlineLevel="0" collapsed="false">
      <c r="A6" s="10" t="s">
        <v>429</v>
      </c>
      <c r="B6" s="7" t="s">
        <v>430</v>
      </c>
    </row>
    <row r="7" customFormat="false" ht="30" hidden="false" customHeight="true" outlineLevel="0" collapsed="false">
      <c r="A7" s="10" t="s">
        <v>431</v>
      </c>
      <c r="B7" s="7" t="s">
        <v>432</v>
      </c>
    </row>
    <row r="8" customFormat="false" ht="30" hidden="false" customHeight="true" outlineLevel="0" collapsed="false">
      <c r="A8" s="10" t="s">
        <v>433</v>
      </c>
      <c r="B8" s="7" t="s">
        <v>434</v>
      </c>
    </row>
    <row r="9" customFormat="false" ht="30" hidden="false" customHeight="true" outlineLevel="0" collapsed="false">
      <c r="A9" s="10" t="s">
        <v>435</v>
      </c>
      <c r="B9" s="7" t="s">
        <v>436</v>
      </c>
    </row>
    <row r="10" customFormat="false" ht="30" hidden="false" customHeight="true" outlineLevel="0" collapsed="false">
      <c r="A10" s="10" t="s">
        <v>437</v>
      </c>
      <c r="B10" s="7" t="s">
        <v>438</v>
      </c>
    </row>
    <row r="11" customFormat="false" ht="30" hidden="false" customHeight="true" outlineLevel="0" collapsed="false">
      <c r="A11" s="10" t="s">
        <v>439</v>
      </c>
      <c r="B11" s="7" t="s">
        <v>440</v>
      </c>
    </row>
    <row r="12" customFormat="false" ht="30" hidden="false" customHeight="true" outlineLevel="0" collapsed="false">
      <c r="A12" s="10" t="s">
        <v>441</v>
      </c>
      <c r="B12" s="7" t="s">
        <v>442</v>
      </c>
    </row>
    <row r="13" customFormat="false" ht="30" hidden="false" customHeight="true" outlineLevel="0" collapsed="false">
      <c r="A13" s="10" t="s">
        <v>443</v>
      </c>
      <c r="B13" s="7" t="s">
        <v>444</v>
      </c>
    </row>
    <row r="14" customFormat="false" ht="30" hidden="false" customHeight="true" outlineLevel="0" collapsed="false">
      <c r="A14" s="10" t="s">
        <v>445</v>
      </c>
      <c r="B14" s="7" t="s">
        <v>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tru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4" min="3" style="0" width="44"/>
    <col collapsed="false" customWidth="true" hidden="false" outlineLevel="0" max="5" min="5" style="0" width="34"/>
    <col collapsed="false" customWidth="true" hidden="false" outlineLevel="0" max="6" min="6" style="0" width="24"/>
    <col collapsed="false" customWidth="true" hidden="false" outlineLevel="0" max="8" min="7" style="0" width="14"/>
    <col collapsed="false" customWidth="true" hidden="false" outlineLevel="0" max="9" min="9" style="0" width="52"/>
  </cols>
  <sheetData>
    <row r="1" customFormat="false" ht="17.35" hidden="false" customHeight="false" outlineLevel="0" collapsed="false">
      <c r="A1" s="1" t="s">
        <v>447</v>
      </c>
    </row>
    <row r="2" customFormat="false" ht="15" hidden="false" customHeight="false" outlineLevel="0" collapsed="false">
      <c r="A2" s="2" t="s">
        <v>448</v>
      </c>
    </row>
    <row r="4" customFormat="false" ht="31.5" hidden="false" customHeight="true" outlineLevel="0" collapsed="false">
      <c r="A4" s="8" t="s">
        <v>219</v>
      </c>
      <c r="B4" s="8" t="s">
        <v>449</v>
      </c>
      <c r="C4" s="8" t="s">
        <v>450</v>
      </c>
      <c r="D4" s="8" t="s">
        <v>451</v>
      </c>
      <c r="E4" s="8" t="s">
        <v>452</v>
      </c>
      <c r="F4" s="8" t="s">
        <v>453</v>
      </c>
      <c r="G4" s="8" t="s">
        <v>454</v>
      </c>
      <c r="H4" s="8" t="s">
        <v>455</v>
      </c>
      <c r="I4" s="8" t="s">
        <v>456</v>
      </c>
    </row>
    <row r="5" customFormat="false" ht="23.85" hidden="false" customHeight="false" outlineLevel="0" collapsed="false">
      <c r="A5" s="13" t="n">
        <v>1</v>
      </c>
      <c r="B5" s="10" t="s">
        <v>457</v>
      </c>
      <c r="C5" s="7" t="s">
        <v>458</v>
      </c>
      <c r="D5" s="7" t="s">
        <v>459</v>
      </c>
      <c r="E5" s="7" t="s">
        <v>460</v>
      </c>
      <c r="F5" s="7" t="s">
        <v>461</v>
      </c>
      <c r="G5" s="13" t="s">
        <v>462</v>
      </c>
      <c r="H5" s="13" t="s">
        <v>203</v>
      </c>
      <c r="I5" s="7" t="s">
        <v>463</v>
      </c>
    </row>
    <row r="6" customFormat="false" ht="23.85" hidden="false" customHeight="false" outlineLevel="0" collapsed="false">
      <c r="A6" s="13" t="n">
        <v>2</v>
      </c>
      <c r="B6" s="10" t="s">
        <v>464</v>
      </c>
      <c r="C6" s="7" t="s">
        <v>465</v>
      </c>
      <c r="D6" s="7" t="s">
        <v>466</v>
      </c>
      <c r="E6" s="7" t="s">
        <v>467</v>
      </c>
      <c r="F6" s="7" t="s">
        <v>468</v>
      </c>
      <c r="G6" s="13" t="s">
        <v>462</v>
      </c>
      <c r="H6" s="13" t="s">
        <v>203</v>
      </c>
      <c r="I6" s="7" t="s">
        <v>469</v>
      </c>
    </row>
    <row r="7" customFormat="false" ht="35.05" hidden="false" customHeight="false" outlineLevel="0" collapsed="false">
      <c r="A7" s="13" t="n">
        <v>3</v>
      </c>
      <c r="B7" s="10" t="s">
        <v>470</v>
      </c>
      <c r="C7" s="7" t="s">
        <v>471</v>
      </c>
      <c r="D7" s="7" t="s">
        <v>472</v>
      </c>
      <c r="E7" s="7" t="s">
        <v>473</v>
      </c>
      <c r="F7" s="7" t="s">
        <v>474</v>
      </c>
      <c r="G7" s="13" t="s">
        <v>475</v>
      </c>
      <c r="H7" s="13" t="s">
        <v>476</v>
      </c>
      <c r="I7" s="7" t="s">
        <v>477</v>
      </c>
    </row>
    <row r="8" customFormat="false" ht="23.85" hidden="false" customHeight="false" outlineLevel="0" collapsed="false">
      <c r="A8" s="13" t="n">
        <v>4</v>
      </c>
      <c r="B8" s="10" t="s">
        <v>478</v>
      </c>
      <c r="C8" s="7" t="s">
        <v>479</v>
      </c>
      <c r="D8" s="7" t="s">
        <v>480</v>
      </c>
      <c r="E8" s="7" t="s">
        <v>481</v>
      </c>
      <c r="F8" s="7" t="s">
        <v>482</v>
      </c>
      <c r="G8" s="13" t="s">
        <v>483</v>
      </c>
      <c r="H8" s="13" t="s">
        <v>484</v>
      </c>
      <c r="I8" s="7" t="s">
        <v>485</v>
      </c>
    </row>
    <row r="9" customFormat="false" ht="23.85" hidden="false" customHeight="false" outlineLevel="0" collapsed="false">
      <c r="A9" s="13" t="n">
        <v>5</v>
      </c>
      <c r="B9" s="10" t="s">
        <v>486</v>
      </c>
      <c r="C9" s="7" t="s">
        <v>487</v>
      </c>
      <c r="D9" s="7" t="s">
        <v>488</v>
      </c>
      <c r="E9" s="7" t="s">
        <v>489</v>
      </c>
      <c r="F9" s="7" t="s">
        <v>490</v>
      </c>
      <c r="G9" s="13" t="s">
        <v>462</v>
      </c>
      <c r="H9" s="13" t="s">
        <v>476</v>
      </c>
      <c r="I9" s="7" t="s">
        <v>491</v>
      </c>
    </row>
    <row r="10" customFormat="false" ht="15" hidden="false" customHeight="false" outlineLevel="0" collapsed="false">
      <c r="A10" s="13" t="n">
        <v>6</v>
      </c>
      <c r="B10" s="10" t="s">
        <v>492</v>
      </c>
      <c r="C10" s="7" t="s">
        <v>493</v>
      </c>
      <c r="D10" s="7" t="s">
        <v>494</v>
      </c>
      <c r="E10" s="7" t="s">
        <v>495</v>
      </c>
      <c r="F10" s="7" t="s">
        <v>496</v>
      </c>
      <c r="G10" s="13" t="s">
        <v>483</v>
      </c>
      <c r="H10" s="13" t="s">
        <v>484</v>
      </c>
      <c r="I10" s="7" t="s">
        <v>497</v>
      </c>
    </row>
    <row r="11" customFormat="false" ht="23.85" hidden="false" customHeight="false" outlineLevel="0" collapsed="false">
      <c r="A11" s="13" t="n">
        <v>7</v>
      </c>
      <c r="B11" s="10" t="s">
        <v>498</v>
      </c>
      <c r="C11" s="7" t="s">
        <v>499</v>
      </c>
      <c r="D11" s="7" t="s">
        <v>500</v>
      </c>
      <c r="E11" s="7" t="s">
        <v>501</v>
      </c>
      <c r="F11" s="7" t="s">
        <v>482</v>
      </c>
      <c r="G11" s="13" t="s">
        <v>502</v>
      </c>
      <c r="H11" s="13" t="s">
        <v>484</v>
      </c>
      <c r="I11" s="7" t="s">
        <v>503</v>
      </c>
    </row>
    <row r="12" customFormat="false" ht="23.85" hidden="false" customHeight="false" outlineLevel="0" collapsed="false">
      <c r="A12" s="13" t="n">
        <v>8</v>
      </c>
      <c r="B12" s="10" t="s">
        <v>504</v>
      </c>
      <c r="C12" s="7" t="s">
        <v>505</v>
      </c>
      <c r="D12" s="7" t="s">
        <v>506</v>
      </c>
      <c r="E12" s="7" t="s">
        <v>507</v>
      </c>
      <c r="F12" s="7" t="s">
        <v>508</v>
      </c>
      <c r="G12" s="13" t="s">
        <v>483</v>
      </c>
      <c r="H12" s="13" t="s">
        <v>484</v>
      </c>
      <c r="I12" s="7" t="s">
        <v>509</v>
      </c>
    </row>
    <row r="13" customFormat="false" ht="23.85" hidden="false" customHeight="false" outlineLevel="0" collapsed="false">
      <c r="A13" s="13" t="n">
        <v>9</v>
      </c>
      <c r="B13" s="10" t="s">
        <v>510</v>
      </c>
      <c r="C13" s="7" t="s">
        <v>511</v>
      </c>
      <c r="D13" s="7" t="s">
        <v>186</v>
      </c>
      <c r="E13" s="7" t="s">
        <v>467</v>
      </c>
      <c r="F13" s="7" t="s">
        <v>512</v>
      </c>
      <c r="G13" s="13" t="s">
        <v>502</v>
      </c>
      <c r="H13" s="13" t="s">
        <v>484</v>
      </c>
      <c r="I13" s="7" t="s">
        <v>513</v>
      </c>
    </row>
    <row r="14" customFormat="false" ht="23.85" hidden="false" customHeight="false" outlineLevel="0" collapsed="false">
      <c r="A14" s="13" t="n">
        <v>10</v>
      </c>
      <c r="B14" s="10" t="s">
        <v>514</v>
      </c>
      <c r="C14" s="7" t="s">
        <v>515</v>
      </c>
      <c r="D14" s="7" t="s">
        <v>516</v>
      </c>
      <c r="E14" s="7" t="s">
        <v>517</v>
      </c>
      <c r="F14" s="7" t="s">
        <v>482</v>
      </c>
      <c r="G14" s="13" t="s">
        <v>502</v>
      </c>
      <c r="H14" s="13" t="s">
        <v>484</v>
      </c>
      <c r="I14" s="7" t="s">
        <v>518</v>
      </c>
    </row>
    <row r="15" customFormat="false" ht="23.85" hidden="false" customHeight="false" outlineLevel="0" collapsed="false">
      <c r="A15" s="13" t="n">
        <v>11</v>
      </c>
      <c r="B15" s="10" t="s">
        <v>519</v>
      </c>
      <c r="C15" s="7" t="s">
        <v>520</v>
      </c>
      <c r="D15" s="7" t="s">
        <v>521</v>
      </c>
      <c r="E15" s="7" t="s">
        <v>522</v>
      </c>
      <c r="F15" s="7" t="s">
        <v>523</v>
      </c>
      <c r="G15" s="13" t="s">
        <v>483</v>
      </c>
      <c r="H15" s="13" t="s">
        <v>476</v>
      </c>
      <c r="I15" s="7" t="s">
        <v>524</v>
      </c>
    </row>
    <row r="16" customFormat="false" ht="23.85" hidden="false" customHeight="false" outlineLevel="0" collapsed="false">
      <c r="A16" s="13" t="n">
        <v>12</v>
      </c>
      <c r="B16" s="10" t="s">
        <v>525</v>
      </c>
      <c r="C16" s="7" t="s">
        <v>526</v>
      </c>
      <c r="D16" s="7" t="s">
        <v>527</v>
      </c>
      <c r="E16" s="7" t="s">
        <v>528</v>
      </c>
      <c r="F16" s="7" t="s">
        <v>529</v>
      </c>
      <c r="G16" s="13" t="s">
        <v>483</v>
      </c>
      <c r="H16" s="13" t="s">
        <v>484</v>
      </c>
      <c r="I16" s="7" t="s">
        <v>530</v>
      </c>
    </row>
    <row r="17" customFormat="false" ht="23.85" hidden="false" customHeight="false" outlineLevel="0" collapsed="false">
      <c r="A17" s="13" t="n">
        <v>13</v>
      </c>
      <c r="B17" s="10" t="s">
        <v>531</v>
      </c>
      <c r="C17" s="7" t="s">
        <v>532</v>
      </c>
      <c r="D17" s="7" t="s">
        <v>533</v>
      </c>
      <c r="E17" s="7" t="s">
        <v>534</v>
      </c>
      <c r="F17" s="7" t="s">
        <v>535</v>
      </c>
      <c r="G17" s="13" t="s">
        <v>536</v>
      </c>
      <c r="H17" s="13" t="s">
        <v>203</v>
      </c>
      <c r="I17" s="7" t="s">
        <v>537</v>
      </c>
    </row>
    <row r="18" customFormat="false" ht="23.85" hidden="false" customHeight="false" outlineLevel="0" collapsed="false">
      <c r="A18" s="13" t="n">
        <v>14</v>
      </c>
      <c r="B18" s="10" t="s">
        <v>538</v>
      </c>
      <c r="C18" s="7" t="s">
        <v>539</v>
      </c>
      <c r="D18" s="7" t="s">
        <v>540</v>
      </c>
      <c r="E18" s="7" t="s">
        <v>541</v>
      </c>
      <c r="F18" s="7" t="s">
        <v>542</v>
      </c>
      <c r="G18" s="13" t="s">
        <v>502</v>
      </c>
      <c r="H18" s="13" t="s">
        <v>484</v>
      </c>
      <c r="I18" s="7" t="s">
        <v>543</v>
      </c>
    </row>
    <row r="20" customFormat="false" ht="15" hidden="false" customHeight="false" outlineLevel="0" collapsed="false">
      <c r="B20" s="20" t="s">
        <v>544</v>
      </c>
      <c r="C20" s="21" t="n">
        <f aca="false">COUNTIF(H5:H18,"Sim")</f>
        <v>3</v>
      </c>
    </row>
    <row r="21" customFormat="false" ht="15" hidden="false" customHeight="false" outlineLevel="0" collapsed="false">
      <c r="B21" s="20" t="s">
        <v>545</v>
      </c>
      <c r="C21" s="21" t="n">
        <f aca="false">COUNTIF(H5:H18,"Parcial")</f>
        <v>3</v>
      </c>
    </row>
    <row r="22" customFormat="false" ht="15" hidden="false" customHeight="false" outlineLevel="0" collapsed="false">
      <c r="B22" s="20" t="s">
        <v>546</v>
      </c>
      <c r="C22" s="21" t="n">
        <f aca="false">COUNTA(B5:B18)</f>
        <v>14</v>
      </c>
    </row>
    <row r="24" customFormat="false" ht="31.5" hidden="false" customHeight="true" outlineLevel="0" collapsed="false">
      <c r="A24" s="8"/>
      <c r="B24" s="8" t="s">
        <v>547</v>
      </c>
      <c r="C24" s="8" t="s">
        <v>548</v>
      </c>
    </row>
    <row r="25" customFormat="false" ht="15" hidden="false" customHeight="false" outlineLevel="0" collapsed="false">
      <c r="B25" s="7" t="s">
        <v>549</v>
      </c>
      <c r="C25" s="7" t="s">
        <v>550</v>
      </c>
    </row>
    <row r="26" customFormat="false" ht="15" hidden="false" customHeight="false" outlineLevel="0" collapsed="false">
      <c r="B26" s="7" t="s">
        <v>551</v>
      </c>
      <c r="C26" s="7" t="s">
        <v>552</v>
      </c>
    </row>
    <row r="27" customFormat="false" ht="23.85" hidden="false" customHeight="false" outlineLevel="0" collapsed="false">
      <c r="B27" s="7" t="s">
        <v>553</v>
      </c>
      <c r="C27" s="7" t="s">
        <v>554</v>
      </c>
    </row>
    <row r="28" customFormat="false" ht="23.85" hidden="false" customHeight="false" outlineLevel="0" collapsed="false">
      <c r="B28" s="7" t="s">
        <v>555</v>
      </c>
      <c r="C28" s="7" t="s">
        <v>556</v>
      </c>
    </row>
    <row r="29" customFormat="false" ht="15" hidden="false" customHeight="false" outlineLevel="0" collapsed="false">
      <c r="B29" s="7" t="s">
        <v>557</v>
      </c>
      <c r="C29" s="7" t="s">
        <v>558</v>
      </c>
    </row>
    <row r="30" customFormat="false" ht="23.85" hidden="false" customHeight="false" outlineLevel="0" collapsed="false">
      <c r="B30" s="7" t="s">
        <v>559</v>
      </c>
      <c r="C30" s="7" t="s">
        <v>560</v>
      </c>
    </row>
    <row r="31" customFormat="false" ht="15" hidden="false" customHeight="false" outlineLevel="0" collapsed="false">
      <c r="B31" s="7" t="s">
        <v>561</v>
      </c>
      <c r="C31" s="7" t="s">
        <v>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tru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6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22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" t="s">
        <v>563</v>
      </c>
    </row>
    <row r="2" customFormat="false" ht="15" hidden="false" customHeight="false" outlineLevel="0" collapsed="false">
      <c r="A2" s="2" t="s">
        <v>564</v>
      </c>
    </row>
    <row r="4" customFormat="false" ht="31.5" hidden="false" customHeight="true" outlineLevel="0" collapsed="false">
      <c r="A4" s="8" t="s">
        <v>565</v>
      </c>
      <c r="B4" s="8" t="s">
        <v>566</v>
      </c>
      <c r="C4" s="8" t="s">
        <v>567</v>
      </c>
      <c r="D4" s="8" t="s">
        <v>568</v>
      </c>
      <c r="E4" s="8" t="s">
        <v>569</v>
      </c>
      <c r="F4" s="8" t="s">
        <v>456</v>
      </c>
    </row>
    <row r="5" customFormat="false" ht="23.85" hidden="false" customHeight="false" outlineLevel="0" collapsed="false">
      <c r="A5" s="10" t="s">
        <v>31</v>
      </c>
      <c r="B5" s="7" t="s">
        <v>570</v>
      </c>
      <c r="C5" s="7" t="s">
        <v>571</v>
      </c>
      <c r="D5" s="7" t="s">
        <v>572</v>
      </c>
      <c r="E5" s="7" t="s">
        <v>573</v>
      </c>
      <c r="F5" s="7" t="s">
        <v>574</v>
      </c>
    </row>
    <row r="6" customFormat="false" ht="23.85" hidden="false" customHeight="false" outlineLevel="0" collapsed="false">
      <c r="A6" s="10" t="s">
        <v>575</v>
      </c>
      <c r="B6" s="7" t="s">
        <v>576</v>
      </c>
      <c r="C6" s="7" t="s">
        <v>571</v>
      </c>
      <c r="D6" s="7" t="s">
        <v>577</v>
      </c>
      <c r="E6" s="7" t="s">
        <v>578</v>
      </c>
      <c r="F6" s="7" t="s">
        <v>579</v>
      </c>
    </row>
    <row r="7" customFormat="false" ht="15" hidden="false" customHeight="false" outlineLevel="0" collapsed="false">
      <c r="A7" s="10" t="s">
        <v>580</v>
      </c>
      <c r="B7" s="7" t="s">
        <v>581</v>
      </c>
      <c r="C7" s="7" t="s">
        <v>571</v>
      </c>
      <c r="D7" s="7" t="s">
        <v>582</v>
      </c>
      <c r="E7" s="7" t="s">
        <v>573</v>
      </c>
      <c r="F7" s="7" t="s">
        <v>583</v>
      </c>
    </row>
    <row r="8" customFormat="false" ht="15" hidden="false" customHeight="false" outlineLevel="0" collapsed="false">
      <c r="A8" s="10" t="s">
        <v>584</v>
      </c>
      <c r="B8" s="7" t="s">
        <v>585</v>
      </c>
      <c r="C8" s="7" t="s">
        <v>586</v>
      </c>
      <c r="D8" s="7" t="s">
        <v>587</v>
      </c>
      <c r="E8" s="7" t="s">
        <v>588</v>
      </c>
      <c r="F8" s="7" t="s">
        <v>589</v>
      </c>
    </row>
    <row r="9" customFormat="false" ht="15" hidden="false" customHeight="false" outlineLevel="0" collapsed="false">
      <c r="A9" s="10" t="s">
        <v>590</v>
      </c>
      <c r="B9" s="7" t="s">
        <v>591</v>
      </c>
      <c r="C9" s="7" t="s">
        <v>592</v>
      </c>
      <c r="D9" s="7" t="s">
        <v>593</v>
      </c>
      <c r="E9" s="7" t="s">
        <v>573</v>
      </c>
      <c r="F9" s="7" t="s">
        <v>594</v>
      </c>
    </row>
    <row r="10" customFormat="false" ht="23.85" hidden="false" customHeight="false" outlineLevel="0" collapsed="false">
      <c r="A10" s="10" t="s">
        <v>9</v>
      </c>
      <c r="B10" s="7" t="s">
        <v>595</v>
      </c>
      <c r="C10" s="7" t="s">
        <v>586</v>
      </c>
      <c r="D10" s="7" t="s">
        <v>596</v>
      </c>
      <c r="E10" s="7" t="s">
        <v>573</v>
      </c>
      <c r="F10" s="7" t="s">
        <v>597</v>
      </c>
    </row>
    <row r="11" customFormat="false" ht="23.85" hidden="false" customHeight="false" outlineLevel="0" collapsed="false">
      <c r="A11" s="10" t="s">
        <v>598</v>
      </c>
      <c r="B11" s="7" t="s">
        <v>599</v>
      </c>
      <c r="C11" s="7" t="s">
        <v>600</v>
      </c>
      <c r="D11" s="7" t="s">
        <v>601</v>
      </c>
      <c r="E11" s="7" t="s">
        <v>602</v>
      </c>
      <c r="F11" s="7" t="s">
        <v>603</v>
      </c>
    </row>
    <row r="12" customFormat="false" ht="23.85" hidden="false" customHeight="false" outlineLevel="0" collapsed="false">
      <c r="A12" s="10" t="s">
        <v>604</v>
      </c>
      <c r="B12" s="7" t="s">
        <v>605</v>
      </c>
      <c r="C12" s="7" t="s">
        <v>600</v>
      </c>
      <c r="D12" s="7" t="s">
        <v>606</v>
      </c>
      <c r="E12" s="7" t="s">
        <v>607</v>
      </c>
      <c r="F12" s="7" t="s">
        <v>608</v>
      </c>
    </row>
    <row r="13" customFormat="false" ht="23.85" hidden="false" customHeight="false" outlineLevel="0" collapsed="false">
      <c r="A13" s="10" t="s">
        <v>53</v>
      </c>
      <c r="B13" s="7" t="s">
        <v>609</v>
      </c>
      <c r="C13" s="7" t="s">
        <v>586</v>
      </c>
      <c r="D13" s="7" t="s">
        <v>610</v>
      </c>
      <c r="E13" s="7" t="s">
        <v>573</v>
      </c>
      <c r="F13" s="7" t="s">
        <v>611</v>
      </c>
    </row>
    <row r="15" customFormat="false" ht="15" hidden="false" customHeight="true" outlineLevel="0" collapsed="false">
      <c r="A15" s="9" t="s">
        <v>612</v>
      </c>
      <c r="B15" s="9"/>
      <c r="C15" s="9"/>
      <c r="D15" s="9"/>
      <c r="E15" s="9"/>
      <c r="F15" s="9"/>
    </row>
  </sheetData>
  <mergeCells count="1"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tru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4" min="3" style="0" width="52"/>
    <col collapsed="false" customWidth="true" hidden="false" outlineLevel="0" max="5" min="5" style="0" width="46"/>
    <col collapsed="false" customWidth="true" hidden="false" outlineLevel="0" max="6" min="6" style="0" width="56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613</v>
      </c>
    </row>
    <row r="2" customFormat="false" ht="15" hidden="false" customHeight="false" outlineLevel="0" collapsed="false">
      <c r="A2" s="2" t="s">
        <v>614</v>
      </c>
    </row>
    <row r="4" customFormat="false" ht="31.5" hidden="false" customHeight="true" outlineLevel="0" collapsed="false">
      <c r="A4" s="8" t="s">
        <v>615</v>
      </c>
      <c r="B4" s="8" t="s">
        <v>616</v>
      </c>
      <c r="C4" s="8" t="s">
        <v>617</v>
      </c>
      <c r="D4" s="8" t="s">
        <v>618</v>
      </c>
      <c r="E4" s="8" t="s">
        <v>619</v>
      </c>
      <c r="F4" s="8" t="s">
        <v>620</v>
      </c>
      <c r="G4" s="8" t="s">
        <v>621</v>
      </c>
    </row>
    <row r="5" customFormat="false" ht="35.05" hidden="false" customHeight="false" outlineLevel="0" collapsed="false">
      <c r="A5" s="10" t="s">
        <v>622</v>
      </c>
      <c r="B5" s="7" t="s">
        <v>623</v>
      </c>
      <c r="C5" s="7" t="s">
        <v>624</v>
      </c>
      <c r="D5" s="7" t="s">
        <v>625</v>
      </c>
      <c r="E5" s="7" t="s">
        <v>626</v>
      </c>
      <c r="F5" s="7" t="s">
        <v>627</v>
      </c>
      <c r="G5" s="7" t="s">
        <v>628</v>
      </c>
    </row>
    <row r="6" customFormat="false" ht="23.85" hidden="false" customHeight="false" outlineLevel="0" collapsed="false">
      <c r="A6" s="10" t="s">
        <v>629</v>
      </c>
      <c r="B6" s="7" t="s">
        <v>630</v>
      </c>
      <c r="C6" s="7" t="s">
        <v>631</v>
      </c>
      <c r="D6" s="7" t="s">
        <v>632</v>
      </c>
      <c r="E6" s="7" t="s">
        <v>633</v>
      </c>
      <c r="F6" s="7" t="s">
        <v>634</v>
      </c>
      <c r="G6" s="7" t="s">
        <v>635</v>
      </c>
    </row>
    <row r="7" customFormat="false" ht="46.25" hidden="false" customHeight="false" outlineLevel="0" collapsed="false">
      <c r="A7" s="10" t="s">
        <v>636</v>
      </c>
      <c r="B7" s="7" t="s">
        <v>637</v>
      </c>
      <c r="C7" s="7" t="s">
        <v>638</v>
      </c>
      <c r="D7" s="7" t="s">
        <v>639</v>
      </c>
      <c r="E7" s="7" t="s">
        <v>640</v>
      </c>
      <c r="F7" s="7" t="s">
        <v>641</v>
      </c>
      <c r="G7" s="7" t="s">
        <v>642</v>
      </c>
    </row>
    <row r="8" customFormat="false" ht="23.85" hidden="false" customHeight="false" outlineLevel="0" collapsed="false">
      <c r="A8" s="10" t="s">
        <v>643</v>
      </c>
      <c r="B8" s="7" t="s">
        <v>644</v>
      </c>
      <c r="C8" s="7" t="s">
        <v>645</v>
      </c>
      <c r="D8" s="7" t="s">
        <v>645</v>
      </c>
      <c r="E8" s="7" t="s">
        <v>646</v>
      </c>
      <c r="F8" s="7" t="s">
        <v>647</v>
      </c>
      <c r="G8" s="7" t="s">
        <v>628</v>
      </c>
    </row>
    <row r="9" customFormat="false" ht="35.05" hidden="false" customHeight="false" outlineLevel="0" collapsed="false">
      <c r="A9" s="10" t="s">
        <v>648</v>
      </c>
      <c r="B9" s="7" t="s">
        <v>649</v>
      </c>
      <c r="C9" s="7" t="s">
        <v>650</v>
      </c>
      <c r="D9" s="7" t="s">
        <v>651</v>
      </c>
      <c r="E9" s="7" t="s">
        <v>652</v>
      </c>
      <c r="F9" s="7" t="s">
        <v>653</v>
      </c>
      <c r="G9" s="7" t="s">
        <v>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tru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56"/>
    <col collapsed="false" customWidth="true" hidden="false" outlineLevel="0" max="6" min="6" style="0" width="14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655</v>
      </c>
    </row>
    <row r="2" customFormat="false" ht="15" hidden="false" customHeight="false" outlineLevel="0" collapsed="false">
      <c r="A2" s="2" t="s">
        <v>656</v>
      </c>
    </row>
    <row r="4" customFormat="false" ht="31.5" hidden="false" customHeight="true" outlineLevel="0" collapsed="false">
      <c r="A4" s="8" t="s">
        <v>219</v>
      </c>
      <c r="B4" s="8" t="s">
        <v>657</v>
      </c>
      <c r="C4" s="8" t="s">
        <v>658</v>
      </c>
      <c r="D4" s="8" t="s">
        <v>659</v>
      </c>
      <c r="E4" s="8" t="s">
        <v>660</v>
      </c>
      <c r="F4" s="8" t="s">
        <v>661</v>
      </c>
      <c r="G4" s="8" t="s">
        <v>456</v>
      </c>
    </row>
    <row r="5" customFormat="false" ht="15" hidden="false" customHeight="false" outlineLevel="0" collapsed="false">
      <c r="A5" s="13" t="n">
        <v>1</v>
      </c>
      <c r="B5" s="10" t="s">
        <v>662</v>
      </c>
      <c r="C5" s="7" t="s">
        <v>663</v>
      </c>
      <c r="D5" s="7" t="s">
        <v>664</v>
      </c>
      <c r="E5" s="7" t="s">
        <v>665</v>
      </c>
      <c r="F5" s="7" t="s">
        <v>484</v>
      </c>
      <c r="G5" s="7" t="s">
        <v>666</v>
      </c>
    </row>
    <row r="6" customFormat="false" ht="15" hidden="false" customHeight="false" outlineLevel="0" collapsed="false">
      <c r="A6" s="13" t="n">
        <v>2</v>
      </c>
      <c r="B6" s="10" t="s">
        <v>662</v>
      </c>
      <c r="C6" s="7" t="s">
        <v>663</v>
      </c>
      <c r="D6" s="7" t="s">
        <v>667</v>
      </c>
      <c r="E6" s="7" t="s">
        <v>668</v>
      </c>
      <c r="F6" s="7" t="s">
        <v>484</v>
      </c>
      <c r="G6" s="7" t="s">
        <v>186</v>
      </c>
    </row>
    <row r="7" customFormat="false" ht="15" hidden="false" customHeight="false" outlineLevel="0" collapsed="false">
      <c r="A7" s="13" t="n">
        <v>3</v>
      </c>
      <c r="B7" s="10" t="s">
        <v>662</v>
      </c>
      <c r="C7" s="7" t="s">
        <v>663</v>
      </c>
      <c r="D7" s="7" t="s">
        <v>669</v>
      </c>
      <c r="E7" s="7" t="s">
        <v>670</v>
      </c>
      <c r="F7" s="7" t="s">
        <v>203</v>
      </c>
      <c r="G7" s="7" t="s">
        <v>671</v>
      </c>
    </row>
    <row r="8" customFormat="false" ht="15" hidden="false" customHeight="false" outlineLevel="0" collapsed="false">
      <c r="A8" s="13" t="n">
        <v>4</v>
      </c>
      <c r="B8" s="10" t="s">
        <v>662</v>
      </c>
      <c r="C8" s="7" t="s">
        <v>663</v>
      </c>
      <c r="D8" s="7" t="s">
        <v>672</v>
      </c>
      <c r="E8" s="7" t="s">
        <v>673</v>
      </c>
      <c r="F8" s="7" t="s">
        <v>203</v>
      </c>
      <c r="G8" s="7" t="s">
        <v>674</v>
      </c>
    </row>
    <row r="9" customFormat="false" ht="15" hidden="false" customHeight="false" outlineLevel="0" collapsed="false">
      <c r="A9" s="13" t="n">
        <v>5</v>
      </c>
      <c r="B9" s="10" t="s">
        <v>662</v>
      </c>
      <c r="C9" s="7" t="s">
        <v>663</v>
      </c>
      <c r="D9" s="7" t="s">
        <v>675</v>
      </c>
      <c r="E9" s="7" t="s">
        <v>676</v>
      </c>
      <c r="F9" s="7" t="s">
        <v>203</v>
      </c>
      <c r="G9" s="7" t="s">
        <v>677</v>
      </c>
    </row>
    <row r="10" customFormat="false" ht="15" hidden="false" customHeight="false" outlineLevel="0" collapsed="false">
      <c r="A10" s="13" t="n">
        <v>6</v>
      </c>
      <c r="B10" s="10" t="s">
        <v>662</v>
      </c>
      <c r="C10" s="7" t="s">
        <v>663</v>
      </c>
      <c r="D10" s="7" t="s">
        <v>678</v>
      </c>
      <c r="E10" s="7" t="s">
        <v>679</v>
      </c>
      <c r="F10" s="7" t="s">
        <v>203</v>
      </c>
      <c r="G10" s="7" t="s">
        <v>680</v>
      </c>
    </row>
    <row r="11" customFormat="false" ht="15" hidden="false" customHeight="false" outlineLevel="0" collapsed="false">
      <c r="A11" s="13" t="n">
        <v>7</v>
      </c>
      <c r="B11" s="10" t="s">
        <v>662</v>
      </c>
      <c r="C11" s="7" t="s">
        <v>663</v>
      </c>
      <c r="D11" s="7" t="s">
        <v>681</v>
      </c>
      <c r="E11" s="7" t="s">
        <v>682</v>
      </c>
      <c r="F11" s="7" t="s">
        <v>203</v>
      </c>
      <c r="G11" s="7" t="s">
        <v>683</v>
      </c>
    </row>
    <row r="12" customFormat="false" ht="15" hidden="false" customHeight="false" outlineLevel="0" collapsed="false">
      <c r="A12" s="13" t="n">
        <v>8</v>
      </c>
      <c r="B12" s="10" t="s">
        <v>662</v>
      </c>
      <c r="C12" s="7" t="s">
        <v>663</v>
      </c>
      <c r="D12" s="7" t="s">
        <v>684</v>
      </c>
      <c r="E12" s="7" t="s">
        <v>685</v>
      </c>
      <c r="F12" s="7" t="s">
        <v>484</v>
      </c>
      <c r="G12" s="7" t="s">
        <v>686</v>
      </c>
    </row>
    <row r="13" customFormat="false" ht="15" hidden="false" customHeight="false" outlineLevel="0" collapsed="false">
      <c r="A13" s="13" t="n">
        <v>9</v>
      </c>
      <c r="B13" s="10" t="s">
        <v>662</v>
      </c>
      <c r="C13" s="7" t="s">
        <v>687</v>
      </c>
      <c r="D13" s="7" t="s">
        <v>688</v>
      </c>
      <c r="E13" s="7" t="s">
        <v>689</v>
      </c>
      <c r="F13" s="7" t="s">
        <v>203</v>
      </c>
      <c r="G13" s="7" t="s">
        <v>690</v>
      </c>
    </row>
    <row r="14" customFormat="false" ht="15" hidden="false" customHeight="false" outlineLevel="0" collapsed="false">
      <c r="A14" s="13" t="n">
        <v>10</v>
      </c>
      <c r="B14" s="10" t="s">
        <v>662</v>
      </c>
      <c r="C14" s="7" t="s">
        <v>691</v>
      </c>
      <c r="D14" s="7" t="s">
        <v>692</v>
      </c>
      <c r="E14" s="7" t="s">
        <v>693</v>
      </c>
      <c r="F14" s="7" t="s">
        <v>203</v>
      </c>
      <c r="G14" s="7" t="s">
        <v>694</v>
      </c>
    </row>
    <row r="15" customFormat="false" ht="15" hidden="false" customHeight="false" outlineLevel="0" collapsed="false">
      <c r="A15" s="13" t="n">
        <v>11</v>
      </c>
      <c r="B15" s="10" t="s">
        <v>662</v>
      </c>
      <c r="C15" s="7" t="s">
        <v>695</v>
      </c>
      <c r="D15" s="7" t="s">
        <v>696</v>
      </c>
      <c r="E15" s="7" t="s">
        <v>697</v>
      </c>
      <c r="F15" s="7" t="s">
        <v>484</v>
      </c>
      <c r="G15" s="7" t="s">
        <v>186</v>
      </c>
    </row>
    <row r="16" customFormat="false" ht="15" hidden="false" customHeight="false" outlineLevel="0" collapsed="false">
      <c r="A16" s="13" t="n">
        <v>12</v>
      </c>
      <c r="B16" s="10" t="s">
        <v>662</v>
      </c>
      <c r="C16" s="7" t="s">
        <v>663</v>
      </c>
      <c r="D16" s="7" t="s">
        <v>698</v>
      </c>
      <c r="E16" s="7" t="s">
        <v>699</v>
      </c>
      <c r="F16" s="7" t="s">
        <v>203</v>
      </c>
      <c r="G16" s="7" t="s">
        <v>700</v>
      </c>
    </row>
    <row r="17" customFormat="false" ht="15" hidden="false" customHeight="false" outlineLevel="0" collapsed="false">
      <c r="A17" s="13" t="n">
        <v>13</v>
      </c>
      <c r="B17" s="10" t="s">
        <v>701</v>
      </c>
      <c r="C17" s="7" t="s">
        <v>702</v>
      </c>
      <c r="D17" s="7" t="s">
        <v>703</v>
      </c>
      <c r="E17" s="7" t="s">
        <v>704</v>
      </c>
      <c r="F17" s="7" t="s">
        <v>203</v>
      </c>
      <c r="G17" s="7" t="s">
        <v>705</v>
      </c>
    </row>
    <row r="18" customFormat="false" ht="15" hidden="false" customHeight="false" outlineLevel="0" collapsed="false">
      <c r="A18" s="13" t="n">
        <v>14</v>
      </c>
      <c r="B18" s="10" t="s">
        <v>701</v>
      </c>
      <c r="C18" s="7" t="s">
        <v>702</v>
      </c>
      <c r="D18" s="7" t="s">
        <v>706</v>
      </c>
      <c r="E18" s="7" t="s">
        <v>707</v>
      </c>
      <c r="F18" s="7" t="s">
        <v>484</v>
      </c>
      <c r="G18" s="7" t="s">
        <v>186</v>
      </c>
    </row>
    <row r="19" customFormat="false" ht="15" hidden="false" customHeight="false" outlineLevel="0" collapsed="false">
      <c r="A19" s="13" t="n">
        <v>15</v>
      </c>
      <c r="B19" s="10" t="s">
        <v>701</v>
      </c>
      <c r="C19" s="7" t="s">
        <v>702</v>
      </c>
      <c r="D19" s="7" t="s">
        <v>708</v>
      </c>
      <c r="E19" s="7" t="s">
        <v>709</v>
      </c>
      <c r="F19" s="7" t="s">
        <v>484</v>
      </c>
      <c r="G19" s="7" t="s">
        <v>710</v>
      </c>
    </row>
    <row r="20" customFormat="false" ht="15" hidden="false" customHeight="false" outlineLevel="0" collapsed="false">
      <c r="A20" s="13" t="n">
        <v>16</v>
      </c>
      <c r="B20" s="10" t="s">
        <v>701</v>
      </c>
      <c r="C20" s="7" t="s">
        <v>702</v>
      </c>
      <c r="D20" s="7" t="s">
        <v>711</v>
      </c>
      <c r="E20" s="7" t="s">
        <v>712</v>
      </c>
      <c r="F20" s="7" t="s">
        <v>203</v>
      </c>
      <c r="G20" s="7" t="s">
        <v>713</v>
      </c>
    </row>
    <row r="21" customFormat="false" ht="15" hidden="false" customHeight="false" outlineLevel="0" collapsed="false">
      <c r="A21" s="13" t="n">
        <v>17</v>
      </c>
      <c r="B21" s="10" t="s">
        <v>701</v>
      </c>
      <c r="C21" s="7" t="s">
        <v>702</v>
      </c>
      <c r="D21" s="7" t="s">
        <v>714</v>
      </c>
      <c r="E21" s="7" t="s">
        <v>715</v>
      </c>
      <c r="F21" s="7" t="s">
        <v>484</v>
      </c>
      <c r="G21" s="7" t="s">
        <v>716</v>
      </c>
    </row>
    <row r="22" customFormat="false" ht="15" hidden="false" customHeight="false" outlineLevel="0" collapsed="false">
      <c r="A22" s="13" t="n">
        <v>18</v>
      </c>
      <c r="B22" s="10" t="s">
        <v>701</v>
      </c>
      <c r="C22" s="7" t="s">
        <v>702</v>
      </c>
      <c r="D22" s="7" t="s">
        <v>717</v>
      </c>
      <c r="E22" s="7" t="s">
        <v>718</v>
      </c>
      <c r="F22" s="7" t="s">
        <v>484</v>
      </c>
      <c r="G22" s="7" t="s">
        <v>186</v>
      </c>
    </row>
    <row r="23" customFormat="false" ht="15" hidden="false" customHeight="false" outlineLevel="0" collapsed="false">
      <c r="A23" s="13" t="n">
        <v>19</v>
      </c>
      <c r="B23" s="10" t="s">
        <v>701</v>
      </c>
      <c r="C23" s="7" t="s">
        <v>719</v>
      </c>
      <c r="D23" s="7" t="s">
        <v>720</v>
      </c>
      <c r="E23" s="7" t="s">
        <v>721</v>
      </c>
      <c r="F23" s="7" t="s">
        <v>484</v>
      </c>
      <c r="G23" s="7" t="s">
        <v>722</v>
      </c>
    </row>
    <row r="24" customFormat="false" ht="15" hidden="false" customHeight="false" outlineLevel="0" collapsed="false">
      <c r="A24" s="13" t="n">
        <v>20</v>
      </c>
      <c r="B24" s="10" t="s">
        <v>701</v>
      </c>
      <c r="C24" s="7" t="s">
        <v>719</v>
      </c>
      <c r="D24" s="7" t="s">
        <v>723</v>
      </c>
      <c r="E24" s="7" t="s">
        <v>724</v>
      </c>
      <c r="F24" s="7" t="s">
        <v>203</v>
      </c>
      <c r="G24" s="7" t="s">
        <v>725</v>
      </c>
    </row>
    <row r="25" customFormat="false" ht="15" hidden="false" customHeight="false" outlineLevel="0" collapsed="false">
      <c r="A25" s="13" t="n">
        <v>21</v>
      </c>
      <c r="B25" s="10" t="s">
        <v>701</v>
      </c>
      <c r="C25" s="7" t="s">
        <v>719</v>
      </c>
      <c r="D25" s="7" t="s">
        <v>726</v>
      </c>
      <c r="E25" s="7" t="s">
        <v>727</v>
      </c>
      <c r="F25" s="7" t="s">
        <v>484</v>
      </c>
      <c r="G25" s="7" t="s">
        <v>186</v>
      </c>
    </row>
    <row r="26" customFormat="false" ht="15" hidden="false" customHeight="false" outlineLevel="0" collapsed="false">
      <c r="A26" s="13" t="n">
        <v>22</v>
      </c>
      <c r="B26" s="10" t="s">
        <v>701</v>
      </c>
      <c r="C26" s="7" t="s">
        <v>719</v>
      </c>
      <c r="D26" s="7" t="s">
        <v>728</v>
      </c>
      <c r="E26" s="7" t="s">
        <v>729</v>
      </c>
      <c r="F26" s="7" t="s">
        <v>484</v>
      </c>
      <c r="G26" s="7" t="s">
        <v>730</v>
      </c>
    </row>
    <row r="27" customFormat="false" ht="15" hidden="false" customHeight="false" outlineLevel="0" collapsed="false">
      <c r="A27" s="13" t="n">
        <v>23</v>
      </c>
      <c r="B27" s="10" t="s">
        <v>701</v>
      </c>
      <c r="C27" s="7" t="s">
        <v>719</v>
      </c>
      <c r="D27" s="7" t="s">
        <v>731</v>
      </c>
      <c r="E27" s="7" t="s">
        <v>732</v>
      </c>
      <c r="F27" s="7" t="s">
        <v>203</v>
      </c>
      <c r="G27" s="7" t="s">
        <v>733</v>
      </c>
    </row>
    <row r="28" customFormat="false" ht="15" hidden="false" customHeight="false" outlineLevel="0" collapsed="false">
      <c r="A28" s="13" t="n">
        <v>24</v>
      </c>
      <c r="B28" s="10" t="s">
        <v>701</v>
      </c>
      <c r="C28" s="7" t="s">
        <v>719</v>
      </c>
      <c r="D28" s="7" t="s">
        <v>734</v>
      </c>
      <c r="E28" s="7" t="s">
        <v>735</v>
      </c>
      <c r="F28" s="7" t="s">
        <v>484</v>
      </c>
      <c r="G28" s="7" t="s">
        <v>186</v>
      </c>
    </row>
    <row r="29" customFormat="false" ht="15" hidden="false" customHeight="false" outlineLevel="0" collapsed="false">
      <c r="A29" s="13" t="n">
        <v>25</v>
      </c>
      <c r="B29" s="10" t="s">
        <v>701</v>
      </c>
      <c r="C29" s="7" t="s">
        <v>736</v>
      </c>
      <c r="D29" s="7" t="s">
        <v>737</v>
      </c>
      <c r="E29" s="7" t="s">
        <v>738</v>
      </c>
      <c r="F29" s="7" t="s">
        <v>484</v>
      </c>
      <c r="G29" s="7" t="s">
        <v>739</v>
      </c>
    </row>
    <row r="30" customFormat="false" ht="23.85" hidden="false" customHeight="false" outlineLevel="0" collapsed="false">
      <c r="A30" s="13" t="n">
        <v>26</v>
      </c>
      <c r="B30" s="10" t="s">
        <v>740</v>
      </c>
      <c r="C30" s="7" t="s">
        <v>741</v>
      </c>
      <c r="D30" s="7" t="s">
        <v>742</v>
      </c>
      <c r="E30" s="7" t="s">
        <v>743</v>
      </c>
      <c r="F30" s="7" t="s">
        <v>744</v>
      </c>
      <c r="G30" s="7" t="s">
        <v>745</v>
      </c>
    </row>
    <row r="31" customFormat="false" ht="15" hidden="false" customHeight="false" outlineLevel="0" collapsed="false">
      <c r="A31" s="13" t="n">
        <v>27</v>
      </c>
      <c r="B31" s="10" t="s">
        <v>740</v>
      </c>
      <c r="C31" s="7" t="s">
        <v>741</v>
      </c>
      <c r="D31" s="7" t="s">
        <v>746</v>
      </c>
      <c r="E31" s="7" t="s">
        <v>747</v>
      </c>
      <c r="F31" s="7" t="s">
        <v>484</v>
      </c>
      <c r="G31" s="7" t="s">
        <v>748</v>
      </c>
    </row>
    <row r="32" customFormat="false" ht="15" hidden="false" customHeight="false" outlineLevel="0" collapsed="false">
      <c r="A32" s="13" t="n">
        <v>28</v>
      </c>
      <c r="B32" s="10" t="s">
        <v>740</v>
      </c>
      <c r="C32" s="7" t="s">
        <v>741</v>
      </c>
      <c r="D32" s="7" t="s">
        <v>749</v>
      </c>
      <c r="E32" s="7" t="s">
        <v>750</v>
      </c>
      <c r="F32" s="7" t="s">
        <v>484</v>
      </c>
      <c r="G32" s="7" t="s">
        <v>751</v>
      </c>
    </row>
    <row r="33" customFormat="false" ht="15" hidden="false" customHeight="false" outlineLevel="0" collapsed="false">
      <c r="A33" s="13" t="n">
        <v>29</v>
      </c>
      <c r="B33" s="10" t="s">
        <v>752</v>
      </c>
      <c r="C33" s="7" t="s">
        <v>573</v>
      </c>
      <c r="D33" s="7" t="s">
        <v>753</v>
      </c>
      <c r="E33" s="7" t="s">
        <v>754</v>
      </c>
      <c r="F33" s="7" t="s">
        <v>484</v>
      </c>
      <c r="G33" s="7" t="s">
        <v>755</v>
      </c>
    </row>
    <row r="34" customFormat="false" ht="15" hidden="false" customHeight="false" outlineLevel="0" collapsed="false">
      <c r="A34" s="13" t="n">
        <v>30</v>
      </c>
      <c r="B34" s="10" t="s">
        <v>752</v>
      </c>
      <c r="C34" s="7" t="s">
        <v>573</v>
      </c>
      <c r="D34" s="7" t="s">
        <v>756</v>
      </c>
      <c r="E34" s="7" t="s">
        <v>757</v>
      </c>
      <c r="F34" s="7" t="s">
        <v>484</v>
      </c>
      <c r="G34" s="7" t="s">
        <v>758</v>
      </c>
    </row>
    <row r="35" customFormat="false" ht="15" hidden="false" customHeight="false" outlineLevel="0" collapsed="false">
      <c r="A35" s="13" t="n">
        <v>31</v>
      </c>
      <c r="B35" s="10" t="s">
        <v>752</v>
      </c>
      <c r="C35" s="7" t="s">
        <v>573</v>
      </c>
      <c r="D35" s="7" t="s">
        <v>759</v>
      </c>
      <c r="E35" s="7" t="s">
        <v>760</v>
      </c>
      <c r="F35" s="7" t="s">
        <v>484</v>
      </c>
      <c r="G35" s="7" t="s">
        <v>761</v>
      </c>
    </row>
    <row r="36" customFormat="false" ht="15" hidden="false" customHeight="false" outlineLevel="0" collapsed="false">
      <c r="A36" s="13" t="n">
        <v>32</v>
      </c>
      <c r="B36" s="10" t="s">
        <v>752</v>
      </c>
      <c r="C36" s="7" t="s">
        <v>573</v>
      </c>
      <c r="D36" s="7" t="s">
        <v>762</v>
      </c>
      <c r="E36" s="7" t="s">
        <v>763</v>
      </c>
      <c r="F36" s="7" t="s">
        <v>484</v>
      </c>
      <c r="G36" s="7" t="s">
        <v>764</v>
      </c>
    </row>
    <row r="38" customFormat="false" ht="15" hidden="false" customHeight="false" outlineLevel="0" collapsed="false">
      <c r="B38" s="20" t="s">
        <v>765</v>
      </c>
      <c r="C38" s="21" t="n">
        <f aca="false">COUNTA(D5:D36)</f>
        <v>32</v>
      </c>
    </row>
    <row r="39" customFormat="false" ht="15" hidden="false" customHeight="false" outlineLevel="0" collapsed="false">
      <c r="B39" s="20" t="s">
        <v>766</v>
      </c>
      <c r="C39" s="21" t="n">
        <f aca="false">COUNTIF(F5:F36,"Sim*")</f>
        <v>13</v>
      </c>
    </row>
    <row r="41" customFormat="false" ht="15" hidden="false" customHeight="true" outlineLevel="0" collapsed="false">
      <c r="B41" s="9" t="s">
        <v>767</v>
      </c>
      <c r="C41" s="9"/>
      <c r="D41" s="9"/>
      <c r="E41" s="9"/>
      <c r="F41" s="9"/>
      <c r="G41" s="9"/>
    </row>
  </sheetData>
  <autoFilter ref="A4:G36"/>
  <mergeCells count="1">
    <mergeCell ref="B41:G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tru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60"/>
    <col collapsed="false" customWidth="true" hidden="false" outlineLevel="0" max="4" min="4" style="0" width="56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768</v>
      </c>
    </row>
    <row r="2" customFormat="false" ht="15" hidden="false" customHeight="false" outlineLevel="0" collapsed="false">
      <c r="A2" s="2" t="s">
        <v>769</v>
      </c>
    </row>
    <row r="4" customFormat="false" ht="31.5" hidden="false" customHeight="true" outlineLevel="0" collapsed="false">
      <c r="A4" s="8" t="s">
        <v>770</v>
      </c>
      <c r="B4" s="8" t="s">
        <v>771</v>
      </c>
      <c r="C4" s="8" t="s">
        <v>772</v>
      </c>
      <c r="D4" s="8" t="s">
        <v>773</v>
      </c>
      <c r="E4" s="8" t="s">
        <v>774</v>
      </c>
      <c r="F4" s="8" t="s">
        <v>33</v>
      </c>
      <c r="G4" s="8" t="s">
        <v>775</v>
      </c>
    </row>
    <row r="5" customFormat="false" ht="35.05" hidden="false" customHeight="false" outlineLevel="0" collapsed="false">
      <c r="A5" s="7" t="s">
        <v>776</v>
      </c>
      <c r="B5" s="7" t="s">
        <v>777</v>
      </c>
      <c r="C5" s="7" t="s">
        <v>778</v>
      </c>
      <c r="D5" s="7" t="s">
        <v>779</v>
      </c>
      <c r="E5" s="7" t="s">
        <v>780</v>
      </c>
      <c r="F5" s="7" t="s">
        <v>781</v>
      </c>
      <c r="G5" s="16"/>
    </row>
    <row r="6" customFormat="false" ht="23.85" hidden="false" customHeight="false" outlineLevel="0" collapsed="false">
      <c r="A6" s="7" t="s">
        <v>776</v>
      </c>
      <c r="B6" s="7" t="s">
        <v>782</v>
      </c>
      <c r="C6" s="7" t="s">
        <v>783</v>
      </c>
      <c r="D6" s="7" t="s">
        <v>784</v>
      </c>
      <c r="E6" s="7" t="s">
        <v>701</v>
      </c>
      <c r="F6" s="7" t="s">
        <v>781</v>
      </c>
      <c r="G6" s="16"/>
    </row>
    <row r="7" customFormat="false" ht="35.05" hidden="false" customHeight="false" outlineLevel="0" collapsed="false">
      <c r="A7" s="7" t="s">
        <v>776</v>
      </c>
      <c r="B7" s="7" t="s">
        <v>785</v>
      </c>
      <c r="C7" s="7" t="s">
        <v>786</v>
      </c>
      <c r="D7" s="7" t="s">
        <v>787</v>
      </c>
      <c r="E7" s="7" t="s">
        <v>701</v>
      </c>
      <c r="F7" s="7" t="s">
        <v>781</v>
      </c>
      <c r="G7" s="16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12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12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12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12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12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12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12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B3C"/>
    <pageSetUpPr fitToPage="tru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15"/>
  </cols>
  <sheetData>
    <row r="1" customFormat="false" ht="17.35" hidden="false" customHeight="false" outlineLevel="0" collapsed="false">
      <c r="A1" s="1" t="s">
        <v>788</v>
      </c>
    </row>
    <row r="2" customFormat="false" ht="15" hidden="false" customHeight="false" outlineLevel="0" collapsed="false">
      <c r="A2" s="2" t="s">
        <v>789</v>
      </c>
    </row>
    <row r="4" customFormat="false" ht="31.5" hidden="false" customHeight="true" outlineLevel="0" collapsed="false">
      <c r="A4" s="8" t="s">
        <v>790</v>
      </c>
      <c r="B4" s="8" t="s">
        <v>236</v>
      </c>
      <c r="C4" s="8" t="s">
        <v>256</v>
      </c>
      <c r="D4" s="8" t="s">
        <v>266</v>
      </c>
      <c r="E4" s="8" t="s">
        <v>230</v>
      </c>
      <c r="F4" s="8" t="s">
        <v>280</v>
      </c>
      <c r="G4" s="8" t="s">
        <v>225</v>
      </c>
      <c r="H4" s="8" t="s">
        <v>384</v>
      </c>
      <c r="I4" s="8" t="s">
        <v>250</v>
      </c>
      <c r="J4" s="8" t="s">
        <v>261</v>
      </c>
    </row>
    <row r="5" customFormat="false" ht="15" hidden="false" customHeight="false" outlineLevel="0" collapsed="false">
      <c r="A5" s="10" t="s">
        <v>275</v>
      </c>
      <c r="B5" s="12" t="s">
        <v>781</v>
      </c>
      <c r="C5" s="12" t="s">
        <v>791</v>
      </c>
      <c r="D5" s="12" t="s">
        <v>781</v>
      </c>
      <c r="E5" s="12" t="s">
        <v>791</v>
      </c>
      <c r="F5" s="12" t="s">
        <v>791</v>
      </c>
      <c r="G5" s="12" t="s">
        <v>781</v>
      </c>
      <c r="H5" s="12" t="s">
        <v>791</v>
      </c>
      <c r="I5" s="12" t="s">
        <v>791</v>
      </c>
      <c r="J5" s="12" t="s">
        <v>791</v>
      </c>
    </row>
    <row r="6" customFormat="false" ht="15" hidden="false" customHeight="false" outlineLevel="0" collapsed="false">
      <c r="A6" s="10" t="s">
        <v>276</v>
      </c>
      <c r="B6" s="12" t="s">
        <v>791</v>
      </c>
      <c r="C6" s="12" t="s">
        <v>781</v>
      </c>
      <c r="D6" s="12" t="s">
        <v>791</v>
      </c>
      <c r="E6" s="12" t="s">
        <v>781</v>
      </c>
      <c r="F6" s="12" t="s">
        <v>781</v>
      </c>
      <c r="G6" s="12" t="s">
        <v>781</v>
      </c>
      <c r="H6" s="12" t="s">
        <v>791</v>
      </c>
      <c r="I6" s="12" t="s">
        <v>791</v>
      </c>
      <c r="J6" s="12" t="s">
        <v>791</v>
      </c>
    </row>
    <row r="7" customFormat="false" ht="15" hidden="false" customHeight="false" outlineLevel="0" collapsed="false">
      <c r="A7" s="10" t="s">
        <v>277</v>
      </c>
      <c r="B7" s="12" t="s">
        <v>791</v>
      </c>
      <c r="C7" s="12" t="s">
        <v>781</v>
      </c>
      <c r="D7" s="12" t="s">
        <v>791</v>
      </c>
      <c r="E7" s="12" t="s">
        <v>791</v>
      </c>
      <c r="F7" s="12" t="s">
        <v>791</v>
      </c>
      <c r="G7" s="12" t="s">
        <v>781</v>
      </c>
      <c r="H7" s="12" t="s">
        <v>781</v>
      </c>
      <c r="I7" s="12" t="s">
        <v>791</v>
      </c>
      <c r="J7" s="12" t="s">
        <v>791</v>
      </c>
    </row>
    <row r="8" customFormat="false" ht="15" hidden="false" customHeight="false" outlineLevel="0" collapsed="false">
      <c r="A8" s="10" t="s">
        <v>278</v>
      </c>
      <c r="B8" s="12" t="s">
        <v>781</v>
      </c>
      <c r="C8" s="12" t="s">
        <v>791</v>
      </c>
      <c r="D8" s="12" t="s">
        <v>781</v>
      </c>
      <c r="E8" s="12" t="s">
        <v>791</v>
      </c>
      <c r="F8" s="12" t="s">
        <v>781</v>
      </c>
      <c r="G8" s="12" t="s">
        <v>781</v>
      </c>
      <c r="H8" s="12" t="s">
        <v>781</v>
      </c>
      <c r="I8" s="12" t="s">
        <v>791</v>
      </c>
      <c r="J8" s="12" t="s">
        <v>791</v>
      </c>
    </row>
    <row r="9" customFormat="false" ht="15" hidden="false" customHeight="false" outlineLevel="0" collapsed="false">
      <c r="A9" s="10" t="s">
        <v>279</v>
      </c>
      <c r="B9" s="12" t="s">
        <v>781</v>
      </c>
      <c r="C9" s="12" t="s">
        <v>781</v>
      </c>
      <c r="D9" s="12" t="s">
        <v>781</v>
      </c>
      <c r="E9" s="12" t="s">
        <v>791</v>
      </c>
      <c r="F9" s="12" t="s">
        <v>791</v>
      </c>
      <c r="G9" s="12" t="s">
        <v>781</v>
      </c>
      <c r="H9" s="12" t="s">
        <v>781</v>
      </c>
      <c r="I9" s="12" t="s">
        <v>791</v>
      </c>
      <c r="J9" s="12" t="s">
        <v>791</v>
      </c>
    </row>
    <row r="12" customFormat="false" ht="31.5" hidden="false" customHeight="true" outlineLevel="0" collapsed="false">
      <c r="A12" s="8" t="s">
        <v>220</v>
      </c>
      <c r="B12" s="8" t="s">
        <v>792</v>
      </c>
    </row>
    <row r="13" customFormat="false" ht="15" hidden="false" customHeight="true" outlineLevel="0" collapsed="false">
      <c r="A13" s="10" t="s">
        <v>236</v>
      </c>
      <c r="B13" s="7" t="s">
        <v>793</v>
      </c>
      <c r="C13" s="7"/>
      <c r="D13" s="7"/>
      <c r="E13" s="7"/>
      <c r="F13" s="7"/>
      <c r="G13" s="7"/>
      <c r="H13" s="7"/>
      <c r="I13" s="7"/>
      <c r="J13" s="7"/>
    </row>
    <row r="14" customFormat="false" ht="15" hidden="false" customHeight="true" outlineLevel="0" collapsed="false">
      <c r="A14" s="10" t="s">
        <v>256</v>
      </c>
      <c r="B14" s="7" t="s">
        <v>794</v>
      </c>
      <c r="C14" s="7"/>
      <c r="D14" s="7"/>
      <c r="E14" s="7"/>
      <c r="F14" s="7"/>
      <c r="G14" s="7"/>
      <c r="H14" s="7"/>
      <c r="I14" s="7"/>
      <c r="J14" s="7"/>
    </row>
    <row r="15" customFormat="false" ht="23.85" hidden="false" customHeight="true" outlineLevel="0" collapsed="false">
      <c r="A15" s="10" t="s">
        <v>266</v>
      </c>
      <c r="B15" s="7" t="s">
        <v>795</v>
      </c>
      <c r="C15" s="7"/>
      <c r="D15" s="7"/>
      <c r="E15" s="7"/>
      <c r="F15" s="7"/>
      <c r="G15" s="7"/>
      <c r="H15" s="7"/>
      <c r="I15" s="7"/>
      <c r="J15" s="7"/>
    </row>
    <row r="16" customFormat="false" ht="23.85" hidden="false" customHeight="true" outlineLevel="0" collapsed="false">
      <c r="A16" s="10" t="s">
        <v>230</v>
      </c>
      <c r="B16" s="7" t="s">
        <v>796</v>
      </c>
      <c r="C16" s="7"/>
      <c r="D16" s="7"/>
      <c r="E16" s="7"/>
      <c r="F16" s="7"/>
      <c r="G16" s="7"/>
      <c r="H16" s="7"/>
      <c r="I16" s="7"/>
      <c r="J16" s="7"/>
    </row>
    <row r="17" customFormat="false" ht="23.85" hidden="false" customHeight="true" outlineLevel="0" collapsed="false">
      <c r="A17" s="10" t="s">
        <v>280</v>
      </c>
      <c r="B17" s="7" t="s">
        <v>797</v>
      </c>
      <c r="C17" s="7"/>
      <c r="D17" s="7"/>
      <c r="E17" s="7"/>
      <c r="F17" s="7"/>
      <c r="G17" s="7"/>
      <c r="H17" s="7"/>
      <c r="I17" s="7"/>
      <c r="J17" s="7"/>
    </row>
    <row r="18" customFormat="false" ht="15" hidden="false" customHeight="true" outlineLevel="0" collapsed="false">
      <c r="A18" s="10" t="s">
        <v>225</v>
      </c>
      <c r="B18" s="7" t="s">
        <v>798</v>
      </c>
      <c r="C18" s="7"/>
      <c r="D18" s="7"/>
      <c r="E18" s="7"/>
      <c r="F18" s="7"/>
      <c r="G18" s="7"/>
      <c r="H18" s="7"/>
      <c r="I18" s="7"/>
      <c r="J18" s="7"/>
    </row>
    <row r="19" customFormat="false" ht="23.85" hidden="false" customHeight="true" outlineLevel="0" collapsed="false">
      <c r="A19" s="10" t="s">
        <v>384</v>
      </c>
      <c r="B19" s="7" t="s">
        <v>799</v>
      </c>
      <c r="C19" s="7"/>
      <c r="D19" s="7"/>
      <c r="E19" s="7"/>
      <c r="F19" s="7"/>
      <c r="G19" s="7"/>
      <c r="H19" s="7"/>
      <c r="I19" s="7"/>
      <c r="J19" s="7"/>
    </row>
    <row r="20" customFormat="false" ht="15" hidden="false" customHeight="true" outlineLevel="0" collapsed="false">
      <c r="A20" s="10" t="s">
        <v>250</v>
      </c>
      <c r="B20" s="7" t="s">
        <v>800</v>
      </c>
      <c r="C20" s="7"/>
      <c r="D20" s="7"/>
      <c r="E20" s="7"/>
      <c r="F20" s="7"/>
      <c r="G20" s="7"/>
      <c r="H20" s="7"/>
      <c r="I20" s="7"/>
      <c r="J20" s="7"/>
    </row>
    <row r="21" customFormat="false" ht="15" hidden="false" customHeight="true" outlineLevel="0" collapsed="false">
      <c r="A21" s="10" t="s">
        <v>261</v>
      </c>
      <c r="B21" s="7" t="s">
        <v>800</v>
      </c>
      <c r="C21" s="7"/>
      <c r="D21" s="7"/>
      <c r="E21" s="7"/>
      <c r="F21" s="7"/>
      <c r="G21" s="7"/>
      <c r="H21" s="7"/>
      <c r="I21" s="7"/>
      <c r="J21" s="7"/>
    </row>
  </sheetData>
  <mergeCells count="9"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</mergeCells>
  <conditionalFormatting sqref="B5:J9">
    <cfRule type="cellIs" priority="2" operator="equal" aboveAverage="0" equalAverage="0" bottom="0" percent="0" rank="0" text="" dxfId="6">
      <formula>"Alta"</formula>
    </cfRule>
    <cfRule type="cellIs" priority="3" operator="equal" aboveAverage="0" equalAverage="0" bottom="0" percent="0" rank="0" text="" dxfId="7">
      <formula>"Baixa"</formula>
    </cfRule>
  </conditionalFormatting>
  <dataValidations count="1">
    <dataValidation allowBlank="false" errorStyle="stop" operator="between" showDropDown="false" showErrorMessage="false" showInputMessage="false" sqref="B5:J9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tru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42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38"/>
    <col collapsed="false" customWidth="true" hidden="false" outlineLevel="0" max="8" min="8" style="0" width="56"/>
    <col collapsed="false" customWidth="true" hidden="false" outlineLevel="0" max="9" min="9" style="0" width="24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" t="s">
        <v>801</v>
      </c>
    </row>
    <row r="2" customFormat="false" ht="15" hidden="false" customHeight="false" outlineLevel="0" collapsed="false">
      <c r="A2" s="2" t="s">
        <v>802</v>
      </c>
    </row>
    <row r="4" customFormat="false" ht="31.5" hidden="false" customHeight="true" outlineLevel="0" collapsed="false">
      <c r="A4" s="8" t="s">
        <v>219</v>
      </c>
      <c r="B4" s="8" t="s">
        <v>803</v>
      </c>
      <c r="C4" s="8" t="s">
        <v>804</v>
      </c>
      <c r="D4" s="8" t="s">
        <v>805</v>
      </c>
      <c r="E4" s="8" t="s">
        <v>806</v>
      </c>
      <c r="F4" s="8" t="s">
        <v>807</v>
      </c>
      <c r="G4" s="8" t="s">
        <v>808</v>
      </c>
      <c r="H4" s="8" t="s">
        <v>809</v>
      </c>
      <c r="I4" s="8" t="s">
        <v>810</v>
      </c>
      <c r="J4" s="8" t="s">
        <v>811</v>
      </c>
    </row>
    <row r="5" customFormat="false" ht="35.05" hidden="false" customHeight="false" outlineLevel="0" collapsed="false">
      <c r="A5" s="13" t="n">
        <v>1</v>
      </c>
      <c r="B5" s="7" t="s">
        <v>812</v>
      </c>
      <c r="C5" s="10" t="s">
        <v>813</v>
      </c>
      <c r="D5" s="7" t="s">
        <v>814</v>
      </c>
      <c r="E5" s="7" t="s">
        <v>815</v>
      </c>
      <c r="F5" s="7" t="s">
        <v>816</v>
      </c>
      <c r="G5" s="7" t="s">
        <v>817</v>
      </c>
      <c r="H5" s="7" t="s">
        <v>818</v>
      </c>
      <c r="I5" s="7" t="s">
        <v>819</v>
      </c>
      <c r="J5" s="12" t="n">
        <v>5</v>
      </c>
    </row>
    <row r="6" customFormat="false" ht="23.85" hidden="false" customHeight="false" outlineLevel="0" collapsed="false">
      <c r="A6" s="13" t="n">
        <v>2</v>
      </c>
      <c r="B6" s="7" t="s">
        <v>812</v>
      </c>
      <c r="C6" s="10" t="s">
        <v>194</v>
      </c>
      <c r="D6" s="7" t="s">
        <v>820</v>
      </c>
      <c r="E6" s="7" t="s">
        <v>821</v>
      </c>
      <c r="F6" s="7" t="s">
        <v>822</v>
      </c>
      <c r="G6" s="7" t="s">
        <v>823</v>
      </c>
      <c r="H6" s="7" t="s">
        <v>824</v>
      </c>
      <c r="I6" s="7" t="s">
        <v>819</v>
      </c>
      <c r="J6" s="12" t="n">
        <v>4</v>
      </c>
    </row>
    <row r="7" customFormat="false" ht="23.85" hidden="false" customHeight="false" outlineLevel="0" collapsed="false">
      <c r="A7" s="13" t="n">
        <v>3</v>
      </c>
      <c r="B7" s="7" t="s">
        <v>812</v>
      </c>
      <c r="C7" s="10" t="s">
        <v>825</v>
      </c>
      <c r="D7" s="7" t="s">
        <v>826</v>
      </c>
      <c r="E7" s="7" t="s">
        <v>827</v>
      </c>
      <c r="F7" s="7" t="s">
        <v>828</v>
      </c>
      <c r="G7" s="7" t="s">
        <v>829</v>
      </c>
      <c r="H7" s="7" t="s">
        <v>830</v>
      </c>
      <c r="I7" s="7" t="s">
        <v>819</v>
      </c>
      <c r="J7" s="12" t="n">
        <v>5</v>
      </c>
    </row>
    <row r="8" customFormat="false" ht="23.85" hidden="false" customHeight="false" outlineLevel="0" collapsed="false">
      <c r="A8" s="13" t="n">
        <v>4</v>
      </c>
      <c r="B8" s="7" t="s">
        <v>812</v>
      </c>
      <c r="C8" s="10" t="s">
        <v>831</v>
      </c>
      <c r="D8" s="7" t="s">
        <v>832</v>
      </c>
      <c r="E8" s="7" t="s">
        <v>833</v>
      </c>
      <c r="F8" s="7" t="s">
        <v>834</v>
      </c>
      <c r="G8" s="7" t="s">
        <v>833</v>
      </c>
      <c r="H8" s="7" t="s">
        <v>835</v>
      </c>
      <c r="I8" s="7" t="s">
        <v>819</v>
      </c>
      <c r="J8" s="12" t="n">
        <v>4</v>
      </c>
    </row>
    <row r="9" customFormat="false" ht="35.05" hidden="false" customHeight="false" outlineLevel="0" collapsed="false">
      <c r="A9" s="13" t="n">
        <v>5</v>
      </c>
      <c r="B9" s="7" t="s">
        <v>812</v>
      </c>
      <c r="C9" s="10" t="s">
        <v>836</v>
      </c>
      <c r="D9" s="7" t="s">
        <v>837</v>
      </c>
      <c r="E9" s="7" t="s">
        <v>838</v>
      </c>
      <c r="F9" s="7" t="s">
        <v>839</v>
      </c>
      <c r="G9" s="7" t="s">
        <v>840</v>
      </c>
      <c r="H9" s="7" t="s">
        <v>841</v>
      </c>
      <c r="I9" s="7" t="s">
        <v>819</v>
      </c>
      <c r="J9" s="12" t="n">
        <v>5</v>
      </c>
    </row>
    <row r="10" customFormat="false" ht="23.85" hidden="false" customHeight="false" outlineLevel="0" collapsed="false">
      <c r="A10" s="13" t="n">
        <v>6</v>
      </c>
      <c r="B10" s="7" t="s">
        <v>812</v>
      </c>
      <c r="C10" s="10" t="s">
        <v>842</v>
      </c>
      <c r="D10" s="7" t="s">
        <v>843</v>
      </c>
      <c r="E10" s="7" t="s">
        <v>844</v>
      </c>
      <c r="F10" s="7" t="s">
        <v>845</v>
      </c>
      <c r="G10" s="7" t="s">
        <v>846</v>
      </c>
      <c r="H10" s="7" t="s">
        <v>847</v>
      </c>
      <c r="I10" s="7" t="s">
        <v>848</v>
      </c>
      <c r="J10" s="12" t="n">
        <v>2</v>
      </c>
    </row>
    <row r="11" customFormat="false" ht="35.05" hidden="false" customHeight="false" outlineLevel="0" collapsed="false">
      <c r="A11" s="13" t="n">
        <v>7</v>
      </c>
      <c r="B11" s="7" t="s">
        <v>812</v>
      </c>
      <c r="C11" s="10" t="s">
        <v>849</v>
      </c>
      <c r="D11" s="7" t="s">
        <v>850</v>
      </c>
      <c r="E11" s="7" t="s">
        <v>851</v>
      </c>
      <c r="F11" s="7" t="s">
        <v>852</v>
      </c>
      <c r="G11" s="7" t="s">
        <v>853</v>
      </c>
      <c r="H11" s="7" t="s">
        <v>854</v>
      </c>
      <c r="I11" s="7" t="s">
        <v>848</v>
      </c>
      <c r="J11" s="12" t="n">
        <v>2</v>
      </c>
    </row>
    <row r="12" customFormat="false" ht="23.85" hidden="false" customHeight="false" outlineLevel="0" collapsed="false">
      <c r="A12" s="13" t="n">
        <v>8</v>
      </c>
      <c r="B12" s="7" t="s">
        <v>855</v>
      </c>
      <c r="C12" s="10" t="s">
        <v>856</v>
      </c>
      <c r="D12" s="7" t="s">
        <v>857</v>
      </c>
      <c r="E12" s="7" t="s">
        <v>858</v>
      </c>
      <c r="F12" s="7" t="s">
        <v>859</v>
      </c>
      <c r="G12" s="7" t="s">
        <v>860</v>
      </c>
      <c r="H12" s="7" t="s">
        <v>861</v>
      </c>
      <c r="I12" s="7" t="s">
        <v>848</v>
      </c>
      <c r="J12" s="12" t="n">
        <v>5</v>
      </c>
    </row>
    <row r="13" customFormat="false" ht="46.25" hidden="false" customHeight="false" outlineLevel="0" collapsed="false">
      <c r="A13" s="13" t="n">
        <v>9</v>
      </c>
      <c r="B13" s="7" t="s">
        <v>855</v>
      </c>
      <c r="C13" s="10" t="s">
        <v>862</v>
      </c>
      <c r="D13" s="7" t="s">
        <v>863</v>
      </c>
      <c r="E13" s="7" t="s">
        <v>864</v>
      </c>
      <c r="F13" s="7" t="s">
        <v>865</v>
      </c>
      <c r="G13" s="7" t="s">
        <v>866</v>
      </c>
      <c r="H13" s="7" t="s">
        <v>867</v>
      </c>
      <c r="I13" s="7" t="s">
        <v>868</v>
      </c>
      <c r="J13" s="12" t="n">
        <v>4</v>
      </c>
    </row>
    <row r="14" customFormat="false" ht="35.05" hidden="false" customHeight="false" outlineLevel="0" collapsed="false">
      <c r="A14" s="13" t="n">
        <v>10</v>
      </c>
      <c r="B14" s="7" t="s">
        <v>855</v>
      </c>
      <c r="C14" s="10" t="s">
        <v>869</v>
      </c>
      <c r="D14" s="7" t="s">
        <v>870</v>
      </c>
      <c r="E14" s="7" t="s">
        <v>871</v>
      </c>
      <c r="F14" s="7" t="s">
        <v>872</v>
      </c>
      <c r="G14" s="7" t="s">
        <v>873</v>
      </c>
      <c r="H14" s="7" t="s">
        <v>874</v>
      </c>
      <c r="I14" s="7" t="s">
        <v>868</v>
      </c>
      <c r="J14" s="12" t="n">
        <v>3</v>
      </c>
    </row>
    <row r="15" customFormat="false" ht="35.05" hidden="false" customHeight="false" outlineLevel="0" collapsed="false">
      <c r="A15" s="13" t="n">
        <v>11</v>
      </c>
      <c r="B15" s="7" t="s">
        <v>855</v>
      </c>
      <c r="C15" s="10" t="s">
        <v>875</v>
      </c>
      <c r="D15" s="7" t="s">
        <v>876</v>
      </c>
      <c r="E15" s="7" t="s">
        <v>877</v>
      </c>
      <c r="F15" s="7" t="s">
        <v>878</v>
      </c>
      <c r="G15" s="7" t="s">
        <v>879</v>
      </c>
      <c r="H15" s="7" t="s">
        <v>880</v>
      </c>
      <c r="I15" s="7" t="s">
        <v>848</v>
      </c>
      <c r="J15" s="12" t="n">
        <v>5</v>
      </c>
    </row>
    <row r="16" customFormat="false" ht="35.05" hidden="false" customHeight="false" outlineLevel="0" collapsed="false">
      <c r="A16" s="13" t="n">
        <v>12</v>
      </c>
      <c r="B16" s="7" t="s">
        <v>855</v>
      </c>
      <c r="C16" s="10" t="s">
        <v>881</v>
      </c>
      <c r="D16" s="7" t="s">
        <v>882</v>
      </c>
      <c r="E16" s="7" t="s">
        <v>883</v>
      </c>
      <c r="F16" s="7" t="s">
        <v>884</v>
      </c>
      <c r="G16" s="7" t="s">
        <v>879</v>
      </c>
      <c r="H16" s="7" t="s">
        <v>885</v>
      </c>
      <c r="I16" s="7" t="s">
        <v>848</v>
      </c>
      <c r="J16" s="12" t="n">
        <v>3</v>
      </c>
    </row>
    <row r="17" customFormat="false" ht="23.85" hidden="false" customHeight="false" outlineLevel="0" collapsed="false">
      <c r="A17" s="13" t="n">
        <v>13</v>
      </c>
      <c r="B17" s="7" t="s">
        <v>855</v>
      </c>
      <c r="C17" s="10" t="s">
        <v>886</v>
      </c>
      <c r="D17" s="7" t="s">
        <v>887</v>
      </c>
      <c r="E17" s="7" t="s">
        <v>888</v>
      </c>
      <c r="F17" s="7" t="s">
        <v>889</v>
      </c>
      <c r="G17" s="7" t="s">
        <v>890</v>
      </c>
      <c r="H17" s="7" t="s">
        <v>891</v>
      </c>
      <c r="I17" s="7" t="s">
        <v>892</v>
      </c>
      <c r="J17" s="12" t="n">
        <v>4</v>
      </c>
    </row>
    <row r="18" customFormat="false" ht="23.85" hidden="false" customHeight="false" outlineLevel="0" collapsed="false">
      <c r="A18" s="13" t="n">
        <v>14</v>
      </c>
      <c r="B18" s="7" t="s">
        <v>855</v>
      </c>
      <c r="C18" s="10" t="s">
        <v>893</v>
      </c>
      <c r="D18" s="7" t="s">
        <v>894</v>
      </c>
      <c r="E18" s="7" t="s">
        <v>895</v>
      </c>
      <c r="F18" s="7" t="s">
        <v>896</v>
      </c>
      <c r="G18" s="7" t="s">
        <v>897</v>
      </c>
      <c r="H18" s="7" t="s">
        <v>898</v>
      </c>
      <c r="I18" s="7" t="s">
        <v>848</v>
      </c>
      <c r="J18" s="12" t="n">
        <v>2</v>
      </c>
    </row>
    <row r="19" customFormat="false" ht="23.85" hidden="false" customHeight="false" outlineLevel="0" collapsed="false">
      <c r="A19" s="13" t="n">
        <v>15</v>
      </c>
      <c r="B19" s="7" t="s">
        <v>899</v>
      </c>
      <c r="C19" s="10" t="s">
        <v>900</v>
      </c>
      <c r="D19" s="7" t="s">
        <v>901</v>
      </c>
      <c r="E19" s="7" t="s">
        <v>902</v>
      </c>
      <c r="F19" s="7" t="s">
        <v>903</v>
      </c>
      <c r="G19" s="7" t="s">
        <v>904</v>
      </c>
      <c r="H19" s="7" t="s">
        <v>905</v>
      </c>
      <c r="I19" s="7" t="s">
        <v>848</v>
      </c>
      <c r="J19" s="12" t="n">
        <v>3</v>
      </c>
    </row>
    <row r="20" customFormat="false" ht="23.85" hidden="false" customHeight="false" outlineLevel="0" collapsed="false">
      <c r="A20" s="13" t="n">
        <v>16</v>
      </c>
      <c r="B20" s="7" t="s">
        <v>899</v>
      </c>
      <c r="C20" s="10" t="s">
        <v>906</v>
      </c>
      <c r="D20" s="7" t="s">
        <v>907</v>
      </c>
      <c r="E20" s="7" t="s">
        <v>908</v>
      </c>
      <c r="F20" s="7" t="s">
        <v>909</v>
      </c>
      <c r="G20" s="7" t="s">
        <v>910</v>
      </c>
      <c r="H20" s="7" t="s">
        <v>911</v>
      </c>
      <c r="I20" s="7" t="s">
        <v>848</v>
      </c>
      <c r="J20" s="12" t="n">
        <v>3</v>
      </c>
    </row>
    <row r="21" customFormat="false" ht="23.85" hidden="false" customHeight="false" outlineLevel="0" collapsed="false">
      <c r="A21" s="13" t="n">
        <v>17</v>
      </c>
      <c r="B21" s="7" t="s">
        <v>899</v>
      </c>
      <c r="C21" s="10" t="s">
        <v>912</v>
      </c>
      <c r="D21" s="7" t="s">
        <v>913</v>
      </c>
      <c r="E21" s="7" t="s">
        <v>914</v>
      </c>
      <c r="F21" s="7" t="s">
        <v>915</v>
      </c>
      <c r="G21" s="7" t="s">
        <v>916</v>
      </c>
      <c r="H21" s="7" t="s">
        <v>917</v>
      </c>
      <c r="I21" s="7" t="s">
        <v>848</v>
      </c>
      <c r="J21" s="12" t="n">
        <v>2</v>
      </c>
    </row>
    <row r="22" customFormat="false" ht="23.85" hidden="false" customHeight="false" outlineLevel="0" collapsed="false">
      <c r="A22" s="13" t="n">
        <v>18</v>
      </c>
      <c r="B22" s="7" t="s">
        <v>899</v>
      </c>
      <c r="C22" s="10" t="s">
        <v>918</v>
      </c>
      <c r="D22" s="7" t="s">
        <v>919</v>
      </c>
      <c r="E22" s="7" t="s">
        <v>920</v>
      </c>
      <c r="F22" s="7" t="s">
        <v>921</v>
      </c>
      <c r="G22" s="7" t="s">
        <v>922</v>
      </c>
      <c r="H22" s="7" t="s">
        <v>923</v>
      </c>
      <c r="I22" s="7" t="s">
        <v>848</v>
      </c>
      <c r="J22" s="12" t="n">
        <v>3</v>
      </c>
    </row>
    <row r="23" customFormat="false" ht="35.05" hidden="false" customHeight="false" outlineLevel="0" collapsed="false">
      <c r="A23" s="13" t="n">
        <v>19</v>
      </c>
      <c r="B23" s="7" t="s">
        <v>899</v>
      </c>
      <c r="C23" s="10" t="s">
        <v>924</v>
      </c>
      <c r="D23" s="7" t="s">
        <v>925</v>
      </c>
      <c r="E23" s="7" t="s">
        <v>926</v>
      </c>
      <c r="F23" s="7" t="s">
        <v>927</v>
      </c>
      <c r="G23" s="7" t="s">
        <v>928</v>
      </c>
      <c r="H23" s="7" t="s">
        <v>929</v>
      </c>
      <c r="I23" s="7" t="s">
        <v>848</v>
      </c>
      <c r="J23" s="12" t="n">
        <v>2</v>
      </c>
    </row>
    <row r="24" customFormat="false" ht="23.85" hidden="false" customHeight="false" outlineLevel="0" collapsed="false">
      <c r="A24" s="13" t="n">
        <v>20</v>
      </c>
      <c r="B24" s="7" t="s">
        <v>899</v>
      </c>
      <c r="C24" s="10" t="s">
        <v>930</v>
      </c>
      <c r="D24" s="7" t="s">
        <v>931</v>
      </c>
      <c r="E24" s="7" t="s">
        <v>932</v>
      </c>
      <c r="F24" s="7" t="s">
        <v>933</v>
      </c>
      <c r="G24" s="7" t="s">
        <v>934</v>
      </c>
      <c r="H24" s="7" t="s">
        <v>935</v>
      </c>
      <c r="I24" s="7" t="s">
        <v>848</v>
      </c>
      <c r="J24" s="12" t="n">
        <v>2</v>
      </c>
    </row>
    <row r="25" customFormat="false" ht="15" hidden="false" customHeight="false" outlineLevel="0" collapsed="false">
      <c r="C25" s="10" t="s">
        <v>936</v>
      </c>
      <c r="D25" s="22" t="n">
        <f aca="false">COUNTA(C5:C24)</f>
        <v>20</v>
      </c>
    </row>
    <row r="26" customFormat="false" ht="15" hidden="false" customHeight="false" outlineLevel="0" collapsed="false">
      <c r="C26" s="10" t="s">
        <v>937</v>
      </c>
      <c r="D26" s="22" t="n">
        <f aca="false">SUM(J5:J24)</f>
        <v>68</v>
      </c>
    </row>
    <row r="28" customFormat="false" ht="27.75" hidden="false" customHeight="true" outlineLevel="0" collapsed="false">
      <c r="C28" s="5" t="s">
        <v>938</v>
      </c>
      <c r="D28" s="5"/>
      <c r="E28" s="5"/>
      <c r="F28" s="5"/>
      <c r="G28" s="5"/>
      <c r="H28" s="5"/>
    </row>
    <row r="29" customFormat="false" ht="27.75" hidden="false" customHeight="true" outlineLevel="0" collapsed="false">
      <c r="C29" s="5" t="s">
        <v>939</v>
      </c>
      <c r="D29" s="5"/>
      <c r="E29" s="5"/>
      <c r="F29" s="5"/>
      <c r="G29" s="5"/>
      <c r="H29" s="5"/>
    </row>
    <row r="30" customFormat="false" ht="27.75" hidden="false" customHeight="true" outlineLevel="0" collapsed="false">
      <c r="C30" s="5" t="s">
        <v>940</v>
      </c>
      <c r="D30" s="5"/>
      <c r="E30" s="5"/>
      <c r="F30" s="5"/>
      <c r="G30" s="5"/>
      <c r="H30" s="5"/>
    </row>
    <row r="31" customFormat="false" ht="27.75" hidden="false" customHeight="true" outlineLevel="0" collapsed="false">
      <c r="C31" s="5" t="s">
        <v>941</v>
      </c>
      <c r="D31" s="5"/>
      <c r="E31" s="5"/>
      <c r="F31" s="5"/>
      <c r="G31" s="5"/>
      <c r="H31" s="5"/>
    </row>
    <row r="32" customFormat="false" ht="27.75" hidden="false" customHeight="true" outlineLevel="0" collapsed="false">
      <c r="C32" s="5" t="s">
        <v>942</v>
      </c>
      <c r="D32" s="5"/>
      <c r="E32" s="5"/>
      <c r="F32" s="5"/>
      <c r="G32" s="5"/>
      <c r="H32" s="5"/>
    </row>
    <row r="33" customFormat="false" ht="27.75" hidden="false" customHeight="true" outlineLevel="0" collapsed="false">
      <c r="C33" s="5" t="s">
        <v>943</v>
      </c>
      <c r="D33" s="5"/>
      <c r="E33" s="5"/>
      <c r="F33" s="5"/>
      <c r="G33" s="5"/>
      <c r="H33" s="5"/>
    </row>
  </sheetData>
  <mergeCells count="6">
    <mergeCell ref="C28:H28"/>
    <mergeCell ref="C29:H29"/>
    <mergeCell ref="C30:H30"/>
    <mergeCell ref="C31:H31"/>
    <mergeCell ref="C32:H32"/>
    <mergeCell ref="C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true"/>
  </sheetPr>
  <dimension ref="A1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9" min="8" style="0" width="11"/>
    <col collapsed="false" customWidth="true" hidden="false" outlineLevel="0" max="10" min="10" style="0" width="14"/>
    <col collapsed="false" customWidth="true" hidden="false" outlineLevel="0" max="11" min="11" style="0" width="3"/>
    <col collapsed="false" customWidth="true" hidden="false" outlineLevel="0" max="12" min="12" style="0" width="40"/>
    <col collapsed="false" customWidth="true" hidden="false" outlineLevel="0" max="13" min="13" style="0" width="22"/>
  </cols>
  <sheetData>
    <row r="1" customFormat="false" ht="17.35" hidden="false" customHeight="false" outlineLevel="0" collapsed="false">
      <c r="A1" s="1" t="s">
        <v>944</v>
      </c>
    </row>
    <row r="2" customFormat="false" ht="15" hidden="false" customHeight="false" outlineLevel="0" collapsed="false">
      <c r="A2" s="2" t="s">
        <v>945</v>
      </c>
    </row>
    <row r="4" customFormat="false" ht="23.85" hidden="false" customHeight="false" outlineLevel="0" collapsed="false">
      <c r="B4" s="20" t="s">
        <v>946</v>
      </c>
      <c r="C4" s="23" t="n">
        <v>0.5</v>
      </c>
    </row>
    <row r="5" customFormat="false" ht="15" hidden="false" customHeight="false" outlineLevel="0" collapsed="false">
      <c r="B5" s="20" t="s">
        <v>947</v>
      </c>
      <c r="C5" s="11" t="n">
        <v>0.8</v>
      </c>
    </row>
    <row r="6" customFormat="false" ht="15" hidden="false" customHeight="false" outlineLevel="0" collapsed="false">
      <c r="B6" s="20" t="s">
        <v>948</v>
      </c>
      <c r="C6" s="11" t="n">
        <v>0.6</v>
      </c>
    </row>
    <row r="7" customFormat="false" ht="15" hidden="false" customHeight="false" outlineLevel="0" collapsed="false">
      <c r="B7" s="20" t="s">
        <v>949</v>
      </c>
      <c r="C7" s="11" t="n">
        <v>0.4</v>
      </c>
    </row>
    <row r="9" customFormat="false" ht="31.5" hidden="false" customHeight="true" outlineLevel="0" collapsed="false">
      <c r="A9" s="8" t="s">
        <v>219</v>
      </c>
      <c r="B9" s="8" t="s">
        <v>804</v>
      </c>
      <c r="C9" s="8" t="s">
        <v>950</v>
      </c>
      <c r="D9" s="8" t="s">
        <v>951</v>
      </c>
      <c r="E9" s="8" t="s">
        <v>952</v>
      </c>
      <c r="F9" s="8" t="s">
        <v>953</v>
      </c>
      <c r="G9" s="8" t="s">
        <v>954</v>
      </c>
      <c r="H9" s="8" t="s">
        <v>955</v>
      </c>
      <c r="I9" s="8" t="s">
        <v>956</v>
      </c>
      <c r="J9" s="8" t="s">
        <v>957</v>
      </c>
    </row>
    <row r="10" customFormat="false" ht="15" hidden="false" customHeight="false" outlineLevel="0" collapsed="false">
      <c r="A10" s="13" t="n">
        <v>1</v>
      </c>
      <c r="B10" s="7" t="str">
        <f aca="false">Matching!C5</f>
        <v>Local e deslocamento</v>
      </c>
      <c r="C10" s="13" t="n">
        <f aca="false">Matching!J5</f>
        <v>5</v>
      </c>
      <c r="D10" s="12" t="s">
        <v>203</v>
      </c>
      <c r="E10" s="23" t="n">
        <v>1</v>
      </c>
      <c r="F10" s="12" t="s">
        <v>484</v>
      </c>
      <c r="G10" s="24" t="n">
        <f aca="false">IF(D10="Sim",C10*E10,0)</f>
        <v>5</v>
      </c>
      <c r="H10" s="13" t="n">
        <f aca="false">IF(D10="Sim",C10,0)</f>
        <v>5</v>
      </c>
      <c r="I10" s="25" t="n">
        <f aca="false">IF(D10="Sim",C10*(1-E10),0)+ROW()/1000000</f>
        <v>1E-005</v>
      </c>
      <c r="J10" s="13" t="str">
        <f aca="false">IF(AND(D10="Sim",F10="Sim",E10&lt;$C$4),"Não atende","")</f>
        <v/>
      </c>
      <c r="L10" s="10" t="s">
        <v>958</v>
      </c>
      <c r="M10" s="26" t="n">
        <f aca="false">IF(SUM(H10:H29)=0,"",SUM(G10:G29)/SUM(H10:H29))</f>
        <v>0.782258064516129</v>
      </c>
    </row>
    <row r="11" customFormat="false" ht="15" hidden="false" customHeight="false" outlineLevel="0" collapsed="false">
      <c r="A11" s="13" t="n">
        <v>2</v>
      </c>
      <c r="B11" s="7" t="str">
        <f aca="false">Matching!C6</f>
        <v>Modalidade</v>
      </c>
      <c r="C11" s="13" t="n">
        <f aca="false">Matching!J6</f>
        <v>4</v>
      </c>
      <c r="D11" s="12" t="s">
        <v>203</v>
      </c>
      <c r="E11" s="23" t="n">
        <v>1</v>
      </c>
      <c r="F11" s="12" t="s">
        <v>484</v>
      </c>
      <c r="G11" s="24" t="n">
        <f aca="false">IF(D11="Sim",C11*E11,0)</f>
        <v>4</v>
      </c>
      <c r="H11" s="13" t="n">
        <f aca="false">IF(D11="Sim",C11,0)</f>
        <v>4</v>
      </c>
      <c r="I11" s="25" t="n">
        <f aca="false">IF(D11="Sim",C11*(1-E11),0)+ROW()/1000000</f>
        <v>1.1E-005</v>
      </c>
      <c r="J11" s="13" t="str">
        <f aca="false">IF(AND(D11="Sim",F11="Sim",E11&lt;$C$4),"Não atende","")</f>
        <v/>
      </c>
      <c r="L11" s="10" t="s">
        <v>959</v>
      </c>
      <c r="M11" s="27" t="str">
        <f aca="false">IF(M10="","",IF(M10&gt;=$C$5,"Muito boa",IF(M10&gt;=$C$6,"Boa",IF(M10&gt;=$C$7,"Possível","Distante"))))</f>
        <v>Boa</v>
      </c>
    </row>
    <row r="12" customFormat="false" ht="15" hidden="false" customHeight="false" outlineLevel="0" collapsed="false">
      <c r="A12" s="13" t="n">
        <v>3</v>
      </c>
      <c r="B12" s="7" t="str">
        <f aca="false">Matching!C7</f>
        <v>Turno e escala</v>
      </c>
      <c r="C12" s="13" t="n">
        <f aca="false">Matching!J7</f>
        <v>5</v>
      </c>
      <c r="D12" s="12" t="s">
        <v>203</v>
      </c>
      <c r="E12" s="23" t="n">
        <v>1</v>
      </c>
      <c r="F12" s="12" t="s">
        <v>484</v>
      </c>
      <c r="G12" s="24" t="n">
        <f aca="false">IF(D12="Sim",C12*E12,0)</f>
        <v>5</v>
      </c>
      <c r="H12" s="13" t="n">
        <f aca="false">IF(D12="Sim",C12,0)</f>
        <v>5</v>
      </c>
      <c r="I12" s="25" t="n">
        <f aca="false">IF(D12="Sim",C12*(1-E12),0)+ROW()/1000000</f>
        <v>1.2E-005</v>
      </c>
      <c r="J12" s="13" t="str">
        <f aca="false">IF(AND(D12="Sim",F12="Sim",E12&lt;$C$4),"Não atende","")</f>
        <v/>
      </c>
      <c r="L12" s="10" t="s">
        <v>960</v>
      </c>
      <c r="M12" s="27" t="str">
        <f aca="false">IF(COUNTIF(J10:J29,"Não atende")=0,"Sim","Não")</f>
        <v>Sim</v>
      </c>
    </row>
    <row r="13" customFormat="false" ht="15" hidden="false" customHeight="false" outlineLevel="0" collapsed="false">
      <c r="A13" s="13" t="n">
        <v>4</v>
      </c>
      <c r="B13" s="7" t="str">
        <f aca="false">Matching!C8</f>
        <v>Tipo de contrato</v>
      </c>
      <c r="C13" s="13" t="n">
        <f aca="false">Matching!J8</f>
        <v>4</v>
      </c>
      <c r="D13" s="12" t="s">
        <v>203</v>
      </c>
      <c r="E13" s="23" t="n">
        <v>1</v>
      </c>
      <c r="F13" s="12" t="s">
        <v>484</v>
      </c>
      <c r="G13" s="24" t="n">
        <f aca="false">IF(D13="Sim",C13*E13,0)</f>
        <v>4</v>
      </c>
      <c r="H13" s="13" t="n">
        <f aca="false">IF(D13="Sim",C13,0)</f>
        <v>4</v>
      </c>
      <c r="I13" s="25" t="n">
        <f aca="false">IF(D13="Sim",C13*(1-E13),0)+ROW()/1000000</f>
        <v>1.3E-005</v>
      </c>
      <c r="J13" s="13" t="str">
        <f aca="false">IF(AND(D13="Sim",F13="Sim",E13&lt;$C$4),"Não atende","")</f>
        <v/>
      </c>
    </row>
    <row r="14" customFormat="false" ht="15" hidden="false" customHeight="false" outlineLevel="0" collapsed="false">
      <c r="A14" s="13" t="n">
        <v>5</v>
      </c>
      <c r="B14" s="7" t="str">
        <f aca="false">Matching!C9</f>
        <v>Salário e benefícios</v>
      </c>
      <c r="C14" s="13" t="n">
        <f aca="false">Matching!J9</f>
        <v>5</v>
      </c>
      <c r="D14" s="12" t="s">
        <v>203</v>
      </c>
      <c r="E14" s="23" t="n">
        <v>0.5</v>
      </c>
      <c r="F14" s="12" t="s">
        <v>484</v>
      </c>
      <c r="G14" s="24" t="n">
        <f aca="false">IF(D14="Sim",C14*E14,0)</f>
        <v>2.5</v>
      </c>
      <c r="H14" s="13" t="n">
        <f aca="false">IF(D14="Sim",C14,0)</f>
        <v>5</v>
      </c>
      <c r="I14" s="25" t="n">
        <f aca="false">IF(D14="Sim",C14*(1-E14),0)+ROW()/1000000</f>
        <v>2.500014</v>
      </c>
      <c r="J14" s="13" t="str">
        <f aca="false">IF(AND(D14="Sim",F14="Sim",E14&lt;$C$4),"Não atende","")</f>
        <v/>
      </c>
      <c r="L14" s="20" t="s">
        <v>961</v>
      </c>
    </row>
    <row r="15" customFormat="false" ht="15" hidden="false" customHeight="false" outlineLevel="0" collapsed="false">
      <c r="A15" s="13" t="n">
        <v>6</v>
      </c>
      <c r="B15" s="7" t="str">
        <f aca="false">Matching!C10</f>
        <v>Quando começar</v>
      </c>
      <c r="C15" s="13" t="n">
        <f aca="false">Matching!J10</f>
        <v>2</v>
      </c>
      <c r="D15" s="12" t="s">
        <v>203</v>
      </c>
      <c r="E15" s="23" t="n">
        <v>1</v>
      </c>
      <c r="F15" s="12" t="s">
        <v>484</v>
      </c>
      <c r="G15" s="24" t="n">
        <f aca="false">IF(D15="Sim",C15*E15,0)</f>
        <v>2</v>
      </c>
      <c r="H15" s="13" t="n">
        <f aca="false">IF(D15="Sim",C15,0)</f>
        <v>2</v>
      </c>
      <c r="I15" s="25" t="n">
        <f aca="false">IF(D15="Sim",C15*(1-E15),0)+ROW()/1000000</f>
        <v>1.5E-005</v>
      </c>
      <c r="J15" s="13" t="str">
        <f aca="false">IF(AND(D15="Sim",F15="Sim",E15&lt;$C$4),"Não atende","")</f>
        <v/>
      </c>
      <c r="L15" s="7" t="str">
        <f aca="false">IF(LARGE($I$10:$I$29,1)&lt;0.001,"",INDEX($B$10:$B$29,MATCH(LARGE($I$10:$I$29,1),$I$10:$I$29,0)))</f>
        <v>Habilidades</v>
      </c>
    </row>
    <row r="16" customFormat="false" ht="15" hidden="false" customHeight="false" outlineLevel="0" collapsed="false">
      <c r="A16" s="13" t="n">
        <v>7</v>
      </c>
      <c r="B16" s="7" t="str">
        <f aca="false">Matching!C11</f>
        <v>Estudo junto com o trabalho</v>
      </c>
      <c r="C16" s="13" t="n">
        <f aca="false">Matching!J11</f>
        <v>2</v>
      </c>
      <c r="D16" s="12" t="s">
        <v>203</v>
      </c>
      <c r="E16" s="23" t="n">
        <v>0.5</v>
      </c>
      <c r="F16" s="12" t="s">
        <v>484</v>
      </c>
      <c r="G16" s="24" t="n">
        <f aca="false">IF(D16="Sim",C16*E16,0)</f>
        <v>1</v>
      </c>
      <c r="H16" s="13" t="n">
        <f aca="false">IF(D16="Sim",C16,0)</f>
        <v>2</v>
      </c>
      <c r="I16" s="25" t="n">
        <f aca="false">IF(D16="Sim",C16*(1-E16),0)+ROW()/1000000</f>
        <v>1.000016</v>
      </c>
      <c r="J16" s="13" t="str">
        <f aca="false">IF(AND(D16="Sim",F16="Sim",E16&lt;$C$4),"Não atende","")</f>
        <v/>
      </c>
      <c r="L16" s="7" t="str">
        <f aca="false">IF(LARGE($I$10:$I$29,2)&lt;0.001,"",INDEX($B$10:$B$29,MATCH(LARGE($I$10:$I$29,2),$I$10:$I$29,0)))</f>
        <v>Salário e benefícios</v>
      </c>
    </row>
    <row r="17" customFormat="false" ht="15" hidden="false" customHeight="false" outlineLevel="0" collapsed="false">
      <c r="A17" s="13" t="n">
        <v>8</v>
      </c>
      <c r="B17" s="7" t="str">
        <f aca="false">Matching!C12</f>
        <v>Função desejada</v>
      </c>
      <c r="C17" s="13" t="n">
        <f aca="false">Matching!J12</f>
        <v>5</v>
      </c>
      <c r="D17" s="12" t="s">
        <v>203</v>
      </c>
      <c r="E17" s="23" t="n">
        <v>1</v>
      </c>
      <c r="F17" s="12" t="s">
        <v>484</v>
      </c>
      <c r="G17" s="24" t="n">
        <f aca="false">IF(D17="Sim",C17*E17,0)</f>
        <v>5</v>
      </c>
      <c r="H17" s="13" t="n">
        <f aca="false">IF(D17="Sim",C17,0)</f>
        <v>5</v>
      </c>
      <c r="I17" s="25" t="n">
        <f aca="false">IF(D17="Sim",C17*(1-E17),0)+ROW()/1000000</f>
        <v>1.7E-005</v>
      </c>
      <c r="J17" s="13" t="str">
        <f aca="false">IF(AND(D17="Sim",F17="Sim",E17&lt;$C$4),"Não atende","")</f>
        <v/>
      </c>
      <c r="L17" s="7" t="str">
        <f aca="false">IF(LARGE($I$10:$I$29,3)&lt;0.001,"",INDEX($B$10:$B$29,MATCH(LARGE($I$10:$I$29,3),$I$10:$I$29,0)))</f>
        <v>Experiência</v>
      </c>
    </row>
    <row r="18" customFormat="false" ht="15" hidden="false" customHeight="false" outlineLevel="0" collapsed="false">
      <c r="A18" s="13" t="n">
        <v>9</v>
      </c>
      <c r="B18" s="7" t="str">
        <f aca="false">Matching!C13</f>
        <v>Experiência</v>
      </c>
      <c r="C18" s="13" t="n">
        <f aca="false">Matching!J13</f>
        <v>4</v>
      </c>
      <c r="D18" s="12" t="s">
        <v>203</v>
      </c>
      <c r="E18" s="23" t="n">
        <v>0.5</v>
      </c>
      <c r="F18" s="12" t="s">
        <v>203</v>
      </c>
      <c r="G18" s="24" t="n">
        <f aca="false">IF(D18="Sim",C18*E18,0)</f>
        <v>2</v>
      </c>
      <c r="H18" s="13" t="n">
        <f aca="false">IF(D18="Sim",C18,0)</f>
        <v>4</v>
      </c>
      <c r="I18" s="25" t="n">
        <f aca="false">IF(D18="Sim",C18*(1-E18),0)+ROW()/1000000</f>
        <v>2.000018</v>
      </c>
      <c r="J18" s="13" t="str">
        <f aca="false">IF(AND(D18="Sim",F18="Sim",E18&lt;$C$4),"Não atende","")</f>
        <v/>
      </c>
    </row>
    <row r="19" customFormat="false" ht="23.85" hidden="false" customHeight="false" outlineLevel="0" collapsed="false">
      <c r="A19" s="13" t="n">
        <v>10</v>
      </c>
      <c r="B19" s="7" t="str">
        <f aca="false">Matching!C14</f>
        <v>Escolaridade</v>
      </c>
      <c r="C19" s="13" t="n">
        <f aca="false">Matching!J14</f>
        <v>3</v>
      </c>
      <c r="D19" s="12" t="s">
        <v>203</v>
      </c>
      <c r="E19" s="23" t="n">
        <v>1</v>
      </c>
      <c r="F19" s="12" t="s">
        <v>484</v>
      </c>
      <c r="G19" s="24" t="n">
        <f aca="false">IF(D19="Sim",C19*E19,0)</f>
        <v>3</v>
      </c>
      <c r="H19" s="13" t="n">
        <f aca="false">IF(D19="Sim",C19,0)</f>
        <v>3</v>
      </c>
      <c r="I19" s="25" t="n">
        <f aca="false">IF(D19="Sim",C19*(1-E19),0)+ROW()/1000000</f>
        <v>1.9E-005</v>
      </c>
      <c r="J19" s="13" t="str">
        <f aca="false">IF(AND(D19="Sim",F19="Sim",E19&lt;$C$4),"Não atende","")</f>
        <v/>
      </c>
      <c r="L19" s="28" t="s">
        <v>962</v>
      </c>
    </row>
    <row r="20" customFormat="false" ht="15" hidden="false" customHeight="false" outlineLevel="0" collapsed="false">
      <c r="A20" s="13" t="n">
        <v>11</v>
      </c>
      <c r="B20" s="7" t="str">
        <f aca="false">Matching!C15</f>
        <v>Habilidades</v>
      </c>
      <c r="C20" s="13" t="n">
        <f aca="false">Matching!J15</f>
        <v>5</v>
      </c>
      <c r="D20" s="12" t="s">
        <v>203</v>
      </c>
      <c r="E20" s="23" t="n">
        <v>0.4</v>
      </c>
      <c r="F20" s="12" t="s">
        <v>484</v>
      </c>
      <c r="G20" s="24" t="n">
        <f aca="false">IF(D20="Sim",C20*E20,0)</f>
        <v>2</v>
      </c>
      <c r="H20" s="13" t="n">
        <f aca="false">IF(D20="Sim",C20,0)</f>
        <v>5</v>
      </c>
      <c r="I20" s="25" t="n">
        <f aca="false">IF(D20="Sim",C20*(1-E20),0)+ROW()/1000000</f>
        <v>3.00002</v>
      </c>
      <c r="J20" s="13" t="str">
        <f aca="false">IF(AND(D20="Sim",F20="Sim",E20&lt;$C$4),"Não atende","")</f>
        <v/>
      </c>
    </row>
    <row r="21" customFormat="false" ht="15" hidden="false" customHeight="false" outlineLevel="0" collapsed="false">
      <c r="A21" s="13" t="n">
        <v>12</v>
      </c>
      <c r="B21" s="7" t="str">
        <f aca="false">Matching!C16</f>
        <v>Ferramentas e equipamentos</v>
      </c>
      <c r="C21" s="13" t="n">
        <f aca="false">Matching!J16</f>
        <v>3</v>
      </c>
      <c r="D21" s="12" t="s">
        <v>203</v>
      </c>
      <c r="E21" s="23" t="n">
        <v>0.5</v>
      </c>
      <c r="F21" s="12" t="s">
        <v>484</v>
      </c>
      <c r="G21" s="24" t="n">
        <f aca="false">IF(D21="Sim",C21*E21,0)</f>
        <v>1.5</v>
      </c>
      <c r="H21" s="13" t="n">
        <f aca="false">IF(D21="Sim",C21,0)</f>
        <v>3</v>
      </c>
      <c r="I21" s="25" t="n">
        <f aca="false">IF(D21="Sim",C21*(1-E21),0)+ROW()/1000000</f>
        <v>1.500021</v>
      </c>
      <c r="J21" s="13" t="str">
        <f aca="false">IF(AND(D21="Sim",F21="Sim",E21&lt;$C$4),"Não atende","")</f>
        <v/>
      </c>
    </row>
    <row r="22" customFormat="false" ht="15" hidden="false" customHeight="false" outlineLevel="0" collapsed="false">
      <c r="A22" s="13" t="n">
        <v>13</v>
      </c>
      <c r="B22" s="7" t="str">
        <f aca="false">Matching!C17</f>
        <v>Habilitações e certificados</v>
      </c>
      <c r="C22" s="13" t="n">
        <f aca="false">Matching!J17</f>
        <v>4</v>
      </c>
      <c r="D22" s="12" t="s">
        <v>484</v>
      </c>
      <c r="E22" s="23" t="n">
        <v>1</v>
      </c>
      <c r="F22" s="12" t="s">
        <v>484</v>
      </c>
      <c r="G22" s="24" t="n">
        <f aca="false">IF(D22="Sim",C22*E22,0)</f>
        <v>0</v>
      </c>
      <c r="H22" s="13" t="n">
        <f aca="false">IF(D22="Sim",C22,0)</f>
        <v>0</v>
      </c>
      <c r="I22" s="25" t="n">
        <f aca="false">IF(D22="Sim",C22*(1-E22),0)+ROW()/1000000</f>
        <v>2.2E-005</v>
      </c>
      <c r="J22" s="13" t="str">
        <f aca="false">IF(AND(D22="Sim",F22="Sim",E22&lt;$C$4),"Não atende","")</f>
        <v/>
      </c>
    </row>
    <row r="23" customFormat="false" ht="15" hidden="false" customHeight="false" outlineLevel="0" collapsed="false">
      <c r="A23" s="13" t="n">
        <v>14</v>
      </c>
      <c r="B23" s="7" t="str">
        <f aca="false">Matching!C18</f>
        <v>Idiomas</v>
      </c>
      <c r="C23" s="13" t="n">
        <f aca="false">Matching!J18</f>
        <v>2</v>
      </c>
      <c r="D23" s="12" t="s">
        <v>484</v>
      </c>
      <c r="E23" s="23" t="n">
        <v>1</v>
      </c>
      <c r="F23" s="12" t="s">
        <v>484</v>
      </c>
      <c r="G23" s="24" t="n">
        <f aca="false">IF(D23="Sim",C23*E23,0)</f>
        <v>0</v>
      </c>
      <c r="H23" s="13" t="n">
        <f aca="false">IF(D23="Sim",C23,0)</f>
        <v>0</v>
      </c>
      <c r="I23" s="25" t="n">
        <f aca="false">IF(D23="Sim",C23*(1-E23),0)+ROW()/1000000</f>
        <v>2.3E-005</v>
      </c>
      <c r="J23" s="13" t="str">
        <f aca="false">IF(AND(D23="Sim",F23="Sim",E23&lt;$C$4),"Não atende","")</f>
        <v/>
      </c>
    </row>
    <row r="24" customFormat="false" ht="15" hidden="false" customHeight="false" outlineLevel="0" collapsed="false">
      <c r="A24" s="13" t="n">
        <v>15</v>
      </c>
      <c r="B24" s="7" t="str">
        <f aca="false">Matching!C19</f>
        <v>Ambiente</v>
      </c>
      <c r="C24" s="13" t="n">
        <f aca="false">Matching!J19</f>
        <v>3</v>
      </c>
      <c r="D24" s="12" t="s">
        <v>203</v>
      </c>
      <c r="E24" s="23" t="n">
        <v>1</v>
      </c>
      <c r="F24" s="12" t="s">
        <v>484</v>
      </c>
      <c r="G24" s="24" t="n">
        <f aca="false">IF(D24="Sim",C24*E24,0)</f>
        <v>3</v>
      </c>
      <c r="H24" s="13" t="n">
        <f aca="false">IF(D24="Sim",C24,0)</f>
        <v>3</v>
      </c>
      <c r="I24" s="25" t="n">
        <f aca="false">IF(D24="Sim",C24*(1-E24),0)+ROW()/1000000</f>
        <v>2.4E-005</v>
      </c>
      <c r="J24" s="13" t="str">
        <f aca="false">IF(AND(D24="Sim",F24="Sim",E24&lt;$C$4),"Não atende","")</f>
        <v/>
      </c>
    </row>
    <row r="25" customFormat="false" ht="15" hidden="false" customHeight="false" outlineLevel="0" collapsed="false">
      <c r="A25" s="13" t="n">
        <v>16</v>
      </c>
      <c r="B25" s="7" t="str">
        <f aca="false">Matching!C20</f>
        <v>Ritmo</v>
      </c>
      <c r="C25" s="13" t="n">
        <f aca="false">Matching!J20</f>
        <v>3</v>
      </c>
      <c r="D25" s="12" t="s">
        <v>203</v>
      </c>
      <c r="E25" s="23" t="n">
        <v>0.5</v>
      </c>
      <c r="F25" s="12" t="s">
        <v>484</v>
      </c>
      <c r="G25" s="24" t="n">
        <f aca="false">IF(D25="Sim",C25*E25,0)</f>
        <v>1.5</v>
      </c>
      <c r="H25" s="13" t="n">
        <f aca="false">IF(D25="Sim",C25,0)</f>
        <v>3</v>
      </c>
      <c r="I25" s="25" t="n">
        <f aca="false">IF(D25="Sim",C25*(1-E25),0)+ROW()/1000000</f>
        <v>1.500025</v>
      </c>
      <c r="J25" s="13" t="str">
        <f aca="false">IF(AND(D25="Sim",F25="Sim",E25&lt;$C$4),"Não atende","")</f>
        <v/>
      </c>
    </row>
    <row r="26" customFormat="false" ht="15" hidden="false" customHeight="false" outlineLevel="0" collapsed="false">
      <c r="A26" s="13" t="n">
        <v>17</v>
      </c>
      <c r="B26" s="7" t="str">
        <f aca="false">Matching!C21</f>
        <v>Equipe</v>
      </c>
      <c r="C26" s="13" t="n">
        <f aca="false">Matching!J21</f>
        <v>2</v>
      </c>
      <c r="D26" s="12" t="s">
        <v>203</v>
      </c>
      <c r="E26" s="23" t="n">
        <v>1</v>
      </c>
      <c r="F26" s="12" t="s">
        <v>484</v>
      </c>
      <c r="G26" s="24" t="n">
        <f aca="false">IF(D26="Sim",C26*E26,0)</f>
        <v>2</v>
      </c>
      <c r="H26" s="13" t="n">
        <f aca="false">IF(D26="Sim",C26,0)</f>
        <v>2</v>
      </c>
      <c r="I26" s="25" t="n">
        <f aca="false">IF(D26="Sim",C26*(1-E26),0)+ROW()/1000000</f>
        <v>2.6E-005</v>
      </c>
      <c r="J26" s="13" t="str">
        <f aca="false">IF(AND(D26="Sim",F26="Sim",E26&lt;$C$4),"Não atende","")</f>
        <v/>
      </c>
    </row>
    <row r="27" customFormat="false" ht="15" hidden="false" customHeight="false" outlineLevel="0" collapsed="false">
      <c r="A27" s="13" t="n">
        <v>18</v>
      </c>
      <c r="B27" s="7" t="str">
        <f aca="false">Matching!C22</f>
        <v>Contato com o público</v>
      </c>
      <c r="C27" s="13" t="n">
        <f aca="false">Matching!J22</f>
        <v>3</v>
      </c>
      <c r="D27" s="12" t="s">
        <v>203</v>
      </c>
      <c r="E27" s="23" t="n">
        <v>1</v>
      </c>
      <c r="F27" s="12" t="s">
        <v>484</v>
      </c>
      <c r="G27" s="24" t="n">
        <f aca="false">IF(D27="Sim",C27*E27,0)</f>
        <v>3</v>
      </c>
      <c r="H27" s="13" t="n">
        <f aca="false">IF(D27="Sim",C27,0)</f>
        <v>3</v>
      </c>
      <c r="I27" s="25" t="n">
        <f aca="false">IF(D27="Sim",C27*(1-E27),0)+ROW()/1000000</f>
        <v>2.7E-005</v>
      </c>
      <c r="J27" s="13" t="str">
        <f aca="false">IF(AND(D27="Sim",F27="Sim",E27&lt;$C$4),"Não atende","")</f>
        <v/>
      </c>
    </row>
    <row r="28" customFormat="false" ht="15" hidden="false" customHeight="false" outlineLevel="0" collapsed="false">
      <c r="A28" s="13" t="n">
        <v>19</v>
      </c>
      <c r="B28" s="7" t="str">
        <f aca="false">Matching!C23</f>
        <v>Esforço físico</v>
      </c>
      <c r="C28" s="13" t="n">
        <f aca="false">Matching!J23</f>
        <v>2</v>
      </c>
      <c r="D28" s="12" t="s">
        <v>203</v>
      </c>
      <c r="E28" s="23" t="n">
        <v>0.5</v>
      </c>
      <c r="F28" s="12" t="s">
        <v>484</v>
      </c>
      <c r="G28" s="24" t="n">
        <f aca="false">IF(D28="Sim",C28*E28,0)</f>
        <v>1</v>
      </c>
      <c r="H28" s="13" t="n">
        <f aca="false">IF(D28="Sim",C28,0)</f>
        <v>2</v>
      </c>
      <c r="I28" s="25" t="n">
        <f aca="false">IF(D28="Sim",C28*(1-E28),0)+ROW()/1000000</f>
        <v>1.000028</v>
      </c>
      <c r="J28" s="13" t="str">
        <f aca="false">IF(AND(D28="Sim",F28="Sim",E28&lt;$C$4),"Não atende","")</f>
        <v/>
      </c>
    </row>
    <row r="29" customFormat="false" ht="15" hidden="false" customHeight="false" outlineLevel="0" collapsed="false">
      <c r="A29" s="13" t="n">
        <v>20</v>
      </c>
      <c r="B29" s="7" t="str">
        <f aca="false">Matching!C24</f>
        <v>Crescimento</v>
      </c>
      <c r="C29" s="13" t="n">
        <f aca="false">Matching!J24</f>
        <v>2</v>
      </c>
      <c r="D29" s="12" t="s">
        <v>203</v>
      </c>
      <c r="E29" s="23" t="n">
        <v>0.5</v>
      </c>
      <c r="F29" s="12" t="s">
        <v>484</v>
      </c>
      <c r="G29" s="24" t="n">
        <f aca="false">IF(D29="Sim",C29*E29,0)</f>
        <v>1</v>
      </c>
      <c r="H29" s="13" t="n">
        <f aca="false">IF(D29="Sim",C29,0)</f>
        <v>2</v>
      </c>
      <c r="I29" s="25" t="n">
        <f aca="false">IF(D29="Sim",C29*(1-E29),0)+ROW()/1000000</f>
        <v>1.000029</v>
      </c>
      <c r="J29" s="13" t="str">
        <f aca="false">IF(AND(D29="Sim",F29="Sim",E29&lt;$C$4),"Não atende","")</f>
        <v/>
      </c>
    </row>
  </sheetData>
  <dataValidations count="2">
    <dataValidation allowBlank="false" errorStyle="stop" operator="between" showDropDown="false" showErrorMessage="false" showInputMessage="false" sqref="D10:D29 F10:F29" type="list">
      <formula1>"Sim,Não"</formula1>
      <formula2>0</formula2>
    </dataValidation>
    <dataValidation allowBlank="false" errorStyle="stop" operator="between" showDropDown="false" showErrorMessage="false" showInputMessage="false" sqref="E10:E29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tru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963</v>
      </c>
    </row>
    <row r="2" customFormat="false" ht="15" hidden="false" customHeight="false" outlineLevel="0" collapsed="false">
      <c r="A2" s="2" t="s">
        <v>964</v>
      </c>
    </row>
    <row r="4" customFormat="false" ht="31.5" hidden="false" customHeight="true" outlineLevel="0" collapsed="false">
      <c r="A4" s="8" t="s">
        <v>965</v>
      </c>
      <c r="B4" s="8" t="s">
        <v>966</v>
      </c>
      <c r="C4" s="8" t="s">
        <v>967</v>
      </c>
    </row>
    <row r="5" customFormat="false" ht="15" hidden="false" customHeight="false" outlineLevel="0" collapsed="false">
      <c r="A5" s="7" t="s">
        <v>968</v>
      </c>
      <c r="B5" s="12" t="n">
        <v>4.5</v>
      </c>
      <c r="C5" s="12" t="n">
        <v>0</v>
      </c>
    </row>
    <row r="6" customFormat="false" ht="15" hidden="false" customHeight="false" outlineLevel="0" collapsed="false">
      <c r="A6" s="7" t="s">
        <v>969</v>
      </c>
      <c r="B6" s="12" t="n">
        <v>12</v>
      </c>
      <c r="C6" s="12" t="n">
        <v>2</v>
      </c>
    </row>
    <row r="7" customFormat="false" ht="15" hidden="false" customHeight="false" outlineLevel="0" collapsed="false">
      <c r="A7" s="7" t="s">
        <v>970</v>
      </c>
      <c r="B7" s="12" t="n">
        <v>25</v>
      </c>
      <c r="C7" s="12" t="n">
        <v>3</v>
      </c>
    </row>
    <row r="8" customFormat="false" ht="15" hidden="false" customHeight="false" outlineLevel="0" collapsed="false">
      <c r="A8" s="7" t="s">
        <v>971</v>
      </c>
      <c r="B8" s="12" t="n">
        <v>15</v>
      </c>
      <c r="C8" s="12" t="n">
        <v>12</v>
      </c>
    </row>
    <row r="9" customFormat="false" ht="15" hidden="false" customHeight="false" outlineLevel="0" collapsed="false">
      <c r="A9" s="7" t="s">
        <v>972</v>
      </c>
      <c r="B9" s="12" t="n">
        <v>22</v>
      </c>
      <c r="C9" s="12" t="n">
        <v>5</v>
      </c>
    </row>
    <row r="11" customFormat="false" ht="15" hidden="false" customHeight="false" outlineLevel="0" collapsed="false">
      <c r="A11" s="10" t="s">
        <v>973</v>
      </c>
      <c r="B11" s="12" t="n">
        <v>1.3</v>
      </c>
    </row>
    <row r="12" customFormat="false" ht="15" hidden="false" customHeight="false" outlineLevel="0" collapsed="false">
      <c r="A12" s="10" t="s">
        <v>974</v>
      </c>
      <c r="B12" s="12" t="n">
        <v>45</v>
      </c>
    </row>
    <row r="13" customFormat="false" ht="15" hidden="false" customHeight="false" outlineLevel="0" collapsed="false">
      <c r="A13" s="10" t="s">
        <v>975</v>
      </c>
      <c r="B13" s="12" t="s">
        <v>971</v>
      </c>
    </row>
    <row r="14" customFormat="false" ht="15" hidden="false" customHeight="false" outlineLevel="0" collapsed="false">
      <c r="A14" s="10" t="s">
        <v>976</v>
      </c>
      <c r="B14" s="12" t="s">
        <v>202</v>
      </c>
    </row>
    <row r="15" customFormat="false" ht="15" hidden="false" customHeight="false" outlineLevel="0" collapsed="false">
      <c r="A15" s="10" t="s">
        <v>977</v>
      </c>
      <c r="B15" s="12" t="n">
        <v>30</v>
      </c>
    </row>
    <row r="17" customFormat="false" ht="31.5" hidden="false" customHeight="true" outlineLevel="0" collapsed="false">
      <c r="A17" s="8" t="s">
        <v>978</v>
      </c>
      <c r="B17" s="8" t="s">
        <v>979</v>
      </c>
      <c r="C17" s="8" t="s">
        <v>980</v>
      </c>
      <c r="D17" s="8"/>
    </row>
    <row r="18" customFormat="false" ht="15" hidden="false" customHeight="false" outlineLevel="0" collapsed="false">
      <c r="A18" s="10" t="s">
        <v>981</v>
      </c>
      <c r="B18" s="29" t="n">
        <v>-3.78</v>
      </c>
      <c r="C18" s="29" t="n">
        <v>-38.5</v>
      </c>
    </row>
    <row r="19" customFormat="false" ht="15" hidden="false" customHeight="false" outlineLevel="0" collapsed="false">
      <c r="A19" s="10" t="s">
        <v>982</v>
      </c>
      <c r="B19" s="29" t="n">
        <v>-3.73</v>
      </c>
      <c r="C19" s="29" t="n">
        <v>-38.52</v>
      </c>
    </row>
    <row r="20" customFormat="false" ht="15" hidden="false" customHeight="false" outlineLevel="0" collapsed="false">
      <c r="A20" s="10" t="s">
        <v>983</v>
      </c>
      <c r="B20" s="29" t="n">
        <v>-3.75</v>
      </c>
      <c r="C20" s="29" t="n">
        <v>-38.53</v>
      </c>
    </row>
    <row r="22" customFormat="false" ht="31.5" hidden="false" customHeight="true" outlineLevel="0" collapsed="false">
      <c r="A22" s="8" t="s">
        <v>984</v>
      </c>
      <c r="B22" s="8" t="s">
        <v>985</v>
      </c>
      <c r="C22" s="8" t="s">
        <v>986</v>
      </c>
      <c r="D22" s="8" t="s">
        <v>952</v>
      </c>
    </row>
    <row r="23" customFormat="false" ht="15" hidden="false" customHeight="false" outlineLevel="0" collapsed="false">
      <c r="A23" s="10" t="s">
        <v>987</v>
      </c>
      <c r="B23" s="13" t="n">
        <f aca="false">ROUND(2*6371*ASIN(SQRT(SIN(RADIANS(B19-B18)/2)^2+COS(RADIANS(B18))*COS(RADIANS(B19))*SIN(RADIANS(C19-C18)/2)^2)),1)</f>
        <v>6</v>
      </c>
      <c r="C23" s="13" t="n">
        <f aca="false">ROUND(B23*$B$11/INDEX($B$5:$B$9,MATCH($B$13,$A$5:$A$9,0))*60+INDEX($C$5:$C$9,MATCH($B$13,$A$5:$A$9,0)),0)</f>
        <v>43</v>
      </c>
      <c r="D23" s="13" t="n">
        <f aca="false">IF(C23&lt;=$B$12,1,IF(C23&lt;=1.2*$B$12,0.5,0))</f>
        <v>1</v>
      </c>
    </row>
    <row r="24" customFormat="false" ht="15" hidden="false" customHeight="false" outlineLevel="0" collapsed="false">
      <c r="A24" s="10" t="s">
        <v>988</v>
      </c>
      <c r="B24" s="13" t="n">
        <f aca="false">ROUND(2*6371*ASIN(SQRT(SIN(RADIANS(B20-B18)/2)^2+COS(RADIANS(B18))*COS(RADIANS(B20))*SIN(RADIANS(C20-C18)/2)^2)),1)</f>
        <v>4.7</v>
      </c>
      <c r="C24" s="13" t="n">
        <f aca="false">ROUND(B24*$B$11/INDEX($B$5:$B$9,MATCH($B$13,$A$5:$A$9,0))*60+INDEX($C$5:$C$9,MATCH($B$13,$A$5:$A$9,0)),0)</f>
        <v>36</v>
      </c>
      <c r="D24" s="13"/>
    </row>
    <row r="25" customFormat="false" ht="15" hidden="false" customHeight="false" outlineLevel="0" collapsed="false">
      <c r="A25" s="10" t="s">
        <v>989</v>
      </c>
      <c r="B25" s="13" t="n">
        <f aca="false">ROUND(2*6371*ASIN(SQRT(SIN(RADIANS(B19-B20)/2)^2+COS(RADIANS(B20))*COS(RADIANS(B19))*SIN(RADIANS(C19-C20)/2)^2)),1)</f>
        <v>2.5</v>
      </c>
      <c r="C25" s="13" t="n">
        <f aca="false">ROUND(B25*$B$11/INDEX($B$5:$B$9,MATCH($B$13,$A$5:$A$9,0))*60+INDEX($C$5:$C$9,MATCH($B$13,$A$5:$A$9,0)),0)</f>
        <v>25</v>
      </c>
      <c r="D25" s="13"/>
    </row>
    <row r="26" customFormat="false" ht="23.85" hidden="false" customHeight="false" outlineLevel="0" collapsed="false">
      <c r="A26" s="10" t="s">
        <v>990</v>
      </c>
      <c r="D26" s="13" t="n">
        <f aca="false">IF($B$14="EAD",1,IF(MIN(C24,C25)&lt;=$B$15,1,IF(MIN(C24,C25)&lt;=1.5*$B$15,0.5,0)))</f>
        <v>1</v>
      </c>
    </row>
    <row r="28" customFormat="false" ht="31.5" hidden="false" customHeight="true" outlineLevel="0" collapsed="false">
      <c r="A28" s="8" t="s">
        <v>991</v>
      </c>
      <c r="B28" s="8" t="s">
        <v>992</v>
      </c>
    </row>
    <row r="29" customFormat="false" ht="15" hidden="false" customHeight="false" outlineLevel="0" collapsed="false">
      <c r="A29" s="7" t="str">
        <f aca="false">A5</f>
        <v>A pé</v>
      </c>
      <c r="B29" s="13" t="n">
        <f aca="false">ROUND($B$23*$B$11/INDEX($B$5:$B$9,MATCH(A5,$A$5:$A$9,0))*60+INDEX($C$5:$C$9,MATCH(A5,$A$5:$A$9,0)),0)</f>
        <v>104</v>
      </c>
    </row>
    <row r="30" customFormat="false" ht="15" hidden="false" customHeight="false" outlineLevel="0" collapsed="false">
      <c r="A30" s="7" t="str">
        <f aca="false">A6</f>
        <v>Bicicleta</v>
      </c>
      <c r="B30" s="13" t="n">
        <f aca="false">ROUND($B$23*$B$11/INDEX($B$5:$B$9,MATCH(A6,$A$5:$A$9,0))*60+INDEX($C$5:$C$9,MATCH(A6,$A$5:$A$9,0)),0)</f>
        <v>41</v>
      </c>
    </row>
    <row r="31" customFormat="false" ht="15" hidden="false" customHeight="false" outlineLevel="0" collapsed="false">
      <c r="A31" s="7" t="str">
        <f aca="false">A7</f>
        <v>Moto</v>
      </c>
      <c r="B31" s="13" t="n">
        <f aca="false">ROUND($B$23*$B$11/INDEX($B$5:$B$9,MATCH(A7,$A$5:$A$9,0))*60+INDEX($C$5:$C$9,MATCH(A7,$A$5:$A$9,0)),0)</f>
        <v>22</v>
      </c>
    </row>
    <row r="32" customFormat="false" ht="15" hidden="false" customHeight="false" outlineLevel="0" collapsed="false">
      <c r="A32" s="7" t="str">
        <f aca="false">A8</f>
        <v>Ônibus</v>
      </c>
      <c r="B32" s="13" t="n">
        <f aca="false">ROUND($B$23*$B$11/INDEX($B$5:$B$9,MATCH(A8,$A$5:$A$9,0))*60+INDEX($C$5:$C$9,MATCH(A8,$A$5:$A$9,0)),0)</f>
        <v>43</v>
      </c>
    </row>
    <row r="33" customFormat="false" ht="15" hidden="false" customHeight="false" outlineLevel="0" collapsed="false">
      <c r="A33" s="7" t="str">
        <f aca="false">A9</f>
        <v>Carro</v>
      </c>
      <c r="B33" s="13" t="n">
        <f aca="false">ROUND($B$23*$B$11/INDEX($B$5:$B$9,MATCH(A9,$A$5:$A$9,0))*60+INDEX($C$5:$C$9,MATCH(A9,$A$5:$A$9,0)),0)</f>
        <v>26</v>
      </c>
    </row>
    <row r="35" customFormat="false" ht="27.75" hidden="false" customHeight="true" outlineLevel="0" collapsed="false">
      <c r="A35" s="5" t="s">
        <v>993</v>
      </c>
      <c r="B35" s="5"/>
      <c r="C35" s="5"/>
      <c r="D35" s="5"/>
    </row>
    <row r="36" customFormat="false" ht="27.75" hidden="false" customHeight="true" outlineLevel="0" collapsed="false">
      <c r="A36" s="5" t="s">
        <v>994</v>
      </c>
      <c r="B36" s="5"/>
      <c r="C36" s="5"/>
      <c r="D36" s="5"/>
    </row>
    <row r="37" customFormat="false" ht="27.75" hidden="false" customHeight="true" outlineLevel="0" collapsed="false">
      <c r="A37" s="5" t="s">
        <v>995</v>
      </c>
      <c r="B37" s="5"/>
      <c r="C37" s="5"/>
      <c r="D37" s="5"/>
    </row>
    <row r="38" customFormat="false" ht="27.75" hidden="false" customHeight="true" outlineLevel="0" collapsed="false">
      <c r="A38" s="5" t="s">
        <v>996</v>
      </c>
      <c r="B38" s="5"/>
      <c r="C38" s="5"/>
      <c r="D38" s="5"/>
    </row>
  </sheetData>
  <mergeCells count="4">
    <mergeCell ref="A35:D35"/>
    <mergeCell ref="A36:D36"/>
    <mergeCell ref="A37:D37"/>
    <mergeCell ref="A38:D38"/>
  </mergeCells>
  <dataValidations count="2">
    <dataValidation allowBlank="false" errorStyle="stop" operator="between" showDropDown="false" showErrorMessage="false" showInputMessage="false" sqref="B13" type="list">
      <formula1>$A$5:$A$9</formula1>
      <formula2>0</formula2>
    </dataValidation>
    <dataValidation allowBlank="false" errorStyle="stop" operator="between" showDropDown="false" showErrorMessage="false" showInputMessage="false" sqref="B14" type="list">
      <formula1>"EAD,Presencial"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tru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36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" t="s">
        <v>997</v>
      </c>
    </row>
    <row r="2" customFormat="false" ht="15" hidden="false" customHeight="false" outlineLevel="0" collapsed="false">
      <c r="A2" s="2" t="s">
        <v>998</v>
      </c>
    </row>
    <row r="4" customFormat="false" ht="31.5" hidden="false" customHeight="true" outlineLevel="0" collapsed="false">
      <c r="A4" s="8" t="s">
        <v>999</v>
      </c>
      <c r="B4" s="8" t="s">
        <v>1000</v>
      </c>
      <c r="C4" s="8" t="s">
        <v>1001</v>
      </c>
      <c r="D4" s="8" t="s">
        <v>1002</v>
      </c>
      <c r="E4" s="8" t="s">
        <v>1003</v>
      </c>
      <c r="F4" s="8" t="s">
        <v>1004</v>
      </c>
      <c r="G4" s="8" t="s">
        <v>548</v>
      </c>
      <c r="H4" s="8" t="s">
        <v>1005</v>
      </c>
      <c r="I4" s="8" t="s">
        <v>1006</v>
      </c>
    </row>
    <row r="5" customFormat="false" ht="23.85" hidden="false" customHeight="false" outlineLevel="0" collapsed="false">
      <c r="A5" s="13" t="n">
        <v>1</v>
      </c>
      <c r="B5" s="7" t="s">
        <v>1007</v>
      </c>
      <c r="C5" s="7" t="s">
        <v>1008</v>
      </c>
      <c r="D5" s="7" t="s">
        <v>1009</v>
      </c>
      <c r="E5" s="7" t="s">
        <v>186</v>
      </c>
      <c r="F5" s="7" t="s">
        <v>203</v>
      </c>
      <c r="G5" s="7" t="s">
        <v>1010</v>
      </c>
      <c r="H5" s="7" t="s">
        <v>1011</v>
      </c>
      <c r="I5" s="7" t="s">
        <v>484</v>
      </c>
    </row>
    <row r="6" customFormat="false" ht="23.85" hidden="false" customHeight="false" outlineLevel="0" collapsed="false">
      <c r="A6" s="13" t="n">
        <v>2</v>
      </c>
      <c r="B6" s="7" t="s">
        <v>1012</v>
      </c>
      <c r="C6" s="7" t="s">
        <v>1013</v>
      </c>
      <c r="D6" s="7" t="s">
        <v>1014</v>
      </c>
      <c r="E6" s="7" t="s">
        <v>1015</v>
      </c>
      <c r="F6" s="7" t="s">
        <v>203</v>
      </c>
      <c r="G6" s="7" t="s">
        <v>1016</v>
      </c>
      <c r="H6" s="7" t="s">
        <v>1011</v>
      </c>
      <c r="I6" s="7" t="s">
        <v>484</v>
      </c>
    </row>
    <row r="7" customFormat="false" ht="23.85" hidden="false" customHeight="false" outlineLevel="0" collapsed="false">
      <c r="A7" s="13" t="n">
        <v>3</v>
      </c>
      <c r="B7" s="7" t="s">
        <v>1017</v>
      </c>
      <c r="C7" s="7" t="s">
        <v>1018</v>
      </c>
      <c r="D7" s="7" t="s">
        <v>1019</v>
      </c>
      <c r="E7" s="7" t="s">
        <v>1020</v>
      </c>
      <c r="F7" s="7" t="s">
        <v>203</v>
      </c>
      <c r="G7" s="7" t="s">
        <v>1021</v>
      </c>
      <c r="H7" s="7" t="s">
        <v>1022</v>
      </c>
      <c r="I7" s="7" t="s">
        <v>1023</v>
      </c>
    </row>
    <row r="8" customFormat="false" ht="15" hidden="false" customHeight="false" outlineLevel="0" collapsed="false">
      <c r="A8" s="13" t="n">
        <v>4</v>
      </c>
      <c r="B8" s="7" t="s">
        <v>1024</v>
      </c>
      <c r="C8" s="7" t="s">
        <v>1025</v>
      </c>
      <c r="D8" s="7" t="s">
        <v>1026</v>
      </c>
      <c r="E8" s="7" t="s">
        <v>1027</v>
      </c>
      <c r="F8" s="7" t="s">
        <v>203</v>
      </c>
      <c r="G8" s="7" t="s">
        <v>1028</v>
      </c>
      <c r="H8" s="7" t="s">
        <v>1011</v>
      </c>
      <c r="I8" s="7" t="s">
        <v>203</v>
      </c>
    </row>
    <row r="9" customFormat="false" ht="15" hidden="false" customHeight="false" outlineLevel="0" collapsed="false">
      <c r="A9" s="13" t="n">
        <v>5</v>
      </c>
      <c r="B9" s="7" t="s">
        <v>1024</v>
      </c>
      <c r="C9" s="7" t="s">
        <v>1029</v>
      </c>
      <c r="D9" s="7" t="s">
        <v>1014</v>
      </c>
      <c r="E9" s="7" t="s">
        <v>1030</v>
      </c>
      <c r="F9" s="7" t="s">
        <v>203</v>
      </c>
      <c r="G9" s="7" t="s">
        <v>1031</v>
      </c>
      <c r="H9" s="7" t="s">
        <v>1011</v>
      </c>
      <c r="I9" s="7" t="s">
        <v>203</v>
      </c>
    </row>
    <row r="10" customFormat="false" ht="23.85" hidden="false" customHeight="false" outlineLevel="0" collapsed="false">
      <c r="A10" s="13" t="n">
        <v>6</v>
      </c>
      <c r="B10" s="7" t="s">
        <v>1032</v>
      </c>
      <c r="C10" s="7" t="s">
        <v>870</v>
      </c>
      <c r="D10" s="7" t="s">
        <v>1014</v>
      </c>
      <c r="E10" s="7" t="s">
        <v>1033</v>
      </c>
      <c r="F10" s="7" t="s">
        <v>203</v>
      </c>
      <c r="G10" s="7" t="s">
        <v>1034</v>
      </c>
      <c r="H10" s="7" t="s">
        <v>1011</v>
      </c>
      <c r="I10" s="7" t="s">
        <v>203</v>
      </c>
    </row>
    <row r="11" customFormat="false" ht="15" hidden="false" customHeight="false" outlineLevel="0" collapsed="false">
      <c r="A11" s="13" t="n">
        <v>7</v>
      </c>
      <c r="B11" s="7" t="s">
        <v>1035</v>
      </c>
      <c r="C11" s="7" t="s">
        <v>1036</v>
      </c>
      <c r="D11" s="7" t="s">
        <v>1037</v>
      </c>
      <c r="E11" s="7" t="s">
        <v>1038</v>
      </c>
      <c r="F11" s="7" t="s">
        <v>203</v>
      </c>
      <c r="G11" s="7" t="s">
        <v>1039</v>
      </c>
      <c r="H11" s="7" t="s">
        <v>1011</v>
      </c>
      <c r="I11" s="7" t="s">
        <v>203</v>
      </c>
    </row>
    <row r="12" customFormat="false" ht="15" hidden="false" customHeight="false" outlineLevel="0" collapsed="false">
      <c r="A12" s="13" t="n">
        <v>8</v>
      </c>
      <c r="B12" s="7" t="s">
        <v>1040</v>
      </c>
      <c r="C12" s="7" t="s">
        <v>1041</v>
      </c>
      <c r="D12" s="7" t="s">
        <v>1037</v>
      </c>
      <c r="E12" s="7" t="s">
        <v>1042</v>
      </c>
      <c r="F12" s="7" t="s">
        <v>203</v>
      </c>
      <c r="G12" s="7" t="s">
        <v>1043</v>
      </c>
      <c r="H12" s="7" t="s">
        <v>1011</v>
      </c>
      <c r="I12" s="7" t="s">
        <v>203</v>
      </c>
    </row>
    <row r="13" customFormat="false" ht="23.85" hidden="false" customHeight="false" outlineLevel="0" collapsed="false">
      <c r="A13" s="13" t="n">
        <v>9</v>
      </c>
      <c r="B13" s="7" t="s">
        <v>1044</v>
      </c>
      <c r="C13" s="7" t="s">
        <v>1045</v>
      </c>
      <c r="D13" s="7" t="s">
        <v>1046</v>
      </c>
      <c r="E13" s="7" t="s">
        <v>1047</v>
      </c>
      <c r="F13" s="7" t="s">
        <v>484</v>
      </c>
      <c r="G13" s="7" t="s">
        <v>1048</v>
      </c>
      <c r="H13" s="7" t="s">
        <v>1011</v>
      </c>
      <c r="I13" s="7" t="s">
        <v>1049</v>
      </c>
    </row>
    <row r="14" customFormat="false" ht="23.85" hidden="false" customHeight="false" outlineLevel="0" collapsed="false">
      <c r="A14" s="13" t="n">
        <v>10</v>
      </c>
      <c r="B14" s="7" t="s">
        <v>575</v>
      </c>
      <c r="C14" s="7" t="s">
        <v>1050</v>
      </c>
      <c r="D14" s="7" t="s">
        <v>1014</v>
      </c>
      <c r="E14" s="7" t="s">
        <v>1051</v>
      </c>
      <c r="F14" s="7" t="s">
        <v>484</v>
      </c>
      <c r="G14" s="7" t="s">
        <v>1052</v>
      </c>
      <c r="H14" s="7" t="s">
        <v>1011</v>
      </c>
      <c r="I14" s="7" t="s">
        <v>484</v>
      </c>
    </row>
    <row r="15" customFormat="false" ht="23.85" hidden="false" customHeight="false" outlineLevel="0" collapsed="false">
      <c r="A15" s="13" t="n">
        <v>11</v>
      </c>
      <c r="B15" s="7" t="s">
        <v>1053</v>
      </c>
      <c r="C15" s="7" t="s">
        <v>1054</v>
      </c>
      <c r="D15" s="7" t="s">
        <v>1055</v>
      </c>
      <c r="E15" s="7" t="s">
        <v>1056</v>
      </c>
      <c r="F15" s="7" t="s">
        <v>484</v>
      </c>
      <c r="G15" s="7" t="s">
        <v>1057</v>
      </c>
      <c r="H15" s="7" t="s">
        <v>1058</v>
      </c>
      <c r="I15" s="7" t="s">
        <v>484</v>
      </c>
    </row>
    <row r="16" customFormat="false" ht="23.85" hidden="false" customHeight="false" outlineLevel="0" collapsed="false">
      <c r="A16" s="13" t="n">
        <v>12</v>
      </c>
      <c r="B16" s="7" t="s">
        <v>1059</v>
      </c>
      <c r="C16" s="7" t="s">
        <v>1060</v>
      </c>
      <c r="D16" s="7" t="s">
        <v>1061</v>
      </c>
      <c r="E16" s="7" t="s">
        <v>1056</v>
      </c>
      <c r="F16" s="7" t="s">
        <v>484</v>
      </c>
      <c r="G16" s="7" t="s">
        <v>1062</v>
      </c>
      <c r="H16" s="7" t="s">
        <v>1058</v>
      </c>
      <c r="I16" s="7" t="s">
        <v>1063</v>
      </c>
    </row>
    <row r="17" customFormat="false" ht="15" hidden="false" customHeight="false" outlineLevel="0" collapsed="false">
      <c r="A17" s="13" t="n">
        <v>13</v>
      </c>
      <c r="B17" s="7" t="s">
        <v>702</v>
      </c>
      <c r="C17" s="7" t="s">
        <v>1064</v>
      </c>
      <c r="D17" s="7" t="s">
        <v>1014</v>
      </c>
      <c r="E17" s="7" t="s">
        <v>1065</v>
      </c>
      <c r="F17" s="7" t="s">
        <v>203</v>
      </c>
      <c r="G17" s="7" t="s">
        <v>1066</v>
      </c>
      <c r="H17" s="7" t="s">
        <v>1067</v>
      </c>
      <c r="I17" s="7" t="s">
        <v>186</v>
      </c>
    </row>
    <row r="18" customFormat="false" ht="23.85" hidden="false" customHeight="false" outlineLevel="0" collapsed="false">
      <c r="A18" s="13" t="n">
        <v>14</v>
      </c>
      <c r="B18" s="7" t="s">
        <v>702</v>
      </c>
      <c r="C18" s="7" t="s">
        <v>1068</v>
      </c>
      <c r="D18" s="7" t="s">
        <v>1014</v>
      </c>
      <c r="E18" s="7" t="s">
        <v>1069</v>
      </c>
      <c r="F18" s="7" t="s">
        <v>203</v>
      </c>
      <c r="G18" s="7" t="s">
        <v>1070</v>
      </c>
      <c r="H18" s="7" t="s">
        <v>1067</v>
      </c>
      <c r="I18" s="7" t="s">
        <v>186</v>
      </c>
    </row>
    <row r="19" customFormat="false" ht="15" hidden="false" customHeight="false" outlineLevel="0" collapsed="false">
      <c r="A19" s="13" t="n">
        <v>15</v>
      </c>
      <c r="B19" s="7" t="s">
        <v>702</v>
      </c>
      <c r="C19" s="7" t="s">
        <v>1071</v>
      </c>
      <c r="D19" s="7" t="s">
        <v>1014</v>
      </c>
      <c r="E19" s="7" t="s">
        <v>1072</v>
      </c>
      <c r="F19" s="7" t="s">
        <v>203</v>
      </c>
      <c r="G19" s="7" t="s">
        <v>1073</v>
      </c>
      <c r="H19" s="7" t="s">
        <v>1067</v>
      </c>
      <c r="I19" s="7" t="s">
        <v>186</v>
      </c>
    </row>
    <row r="21" customFormat="false" ht="31.5" hidden="false" customHeight="true" outlineLevel="0" collapsed="false">
      <c r="A21" s="30" t="s">
        <v>1074</v>
      </c>
      <c r="B21" s="30"/>
      <c r="C21" s="30"/>
      <c r="D21" s="30"/>
      <c r="E21" s="30"/>
      <c r="F21" s="30"/>
      <c r="G21" s="30"/>
      <c r="H21" s="30"/>
      <c r="I21" s="30"/>
    </row>
  </sheetData>
  <mergeCells count="1"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E9"/>
    <pageSetUpPr fitToPage="tru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7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46"/>
    <col collapsed="false" customWidth="true" hidden="false" outlineLevel="0" max="6" min="6" style="0" width="44"/>
    <col collapsed="false" customWidth="true" hidden="false" outlineLevel="0" max="7" min="7" style="0" width="40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1075</v>
      </c>
    </row>
    <row r="2" customFormat="false" ht="15" hidden="false" customHeight="false" outlineLevel="0" collapsed="false">
      <c r="A2" s="2" t="s">
        <v>1076</v>
      </c>
    </row>
    <row r="4" customFormat="false" ht="31.5" hidden="false" customHeight="true" outlineLevel="0" collapsed="false">
      <c r="A4" s="8" t="s">
        <v>219</v>
      </c>
      <c r="B4" s="8" t="s">
        <v>141</v>
      </c>
      <c r="C4" s="8" t="s">
        <v>1001</v>
      </c>
      <c r="D4" s="8" t="s">
        <v>1002</v>
      </c>
      <c r="E4" s="8" t="s">
        <v>1077</v>
      </c>
      <c r="F4" s="8" t="s">
        <v>1078</v>
      </c>
      <c r="G4" s="8" t="s">
        <v>1079</v>
      </c>
      <c r="H4" s="8" t="s">
        <v>1080</v>
      </c>
    </row>
    <row r="5" customFormat="false" ht="23.85" hidden="false" customHeight="false" outlineLevel="0" collapsed="false">
      <c r="A5" s="13" t="n">
        <v>1</v>
      </c>
      <c r="B5" s="10" t="s">
        <v>1081</v>
      </c>
      <c r="C5" s="7" t="s">
        <v>1082</v>
      </c>
      <c r="D5" s="7" t="s">
        <v>1014</v>
      </c>
      <c r="E5" s="7" t="s">
        <v>1083</v>
      </c>
      <c r="F5" s="7" t="s">
        <v>1084</v>
      </c>
      <c r="G5" s="7" t="s">
        <v>186</v>
      </c>
      <c r="H5" s="7" t="s">
        <v>186</v>
      </c>
    </row>
    <row r="6" customFormat="false" ht="23.85" hidden="false" customHeight="false" outlineLevel="0" collapsed="false">
      <c r="A6" s="13" t="n">
        <v>2</v>
      </c>
      <c r="B6" s="10" t="s">
        <v>1085</v>
      </c>
      <c r="C6" s="7" t="s">
        <v>1086</v>
      </c>
      <c r="D6" s="7" t="s">
        <v>1087</v>
      </c>
      <c r="E6" s="7" t="s">
        <v>1088</v>
      </c>
      <c r="F6" s="7" t="s">
        <v>1089</v>
      </c>
      <c r="G6" s="7" t="s">
        <v>1090</v>
      </c>
      <c r="H6" s="7" t="s">
        <v>186</v>
      </c>
    </row>
    <row r="7" customFormat="false" ht="23.85" hidden="false" customHeight="false" outlineLevel="0" collapsed="false">
      <c r="A7" s="13" t="n">
        <v>3</v>
      </c>
      <c r="B7" s="10" t="s">
        <v>1091</v>
      </c>
      <c r="C7" s="7" t="s">
        <v>1092</v>
      </c>
      <c r="D7" s="7" t="s">
        <v>1093</v>
      </c>
      <c r="E7" s="7" t="s">
        <v>1094</v>
      </c>
      <c r="F7" s="7" t="s">
        <v>1095</v>
      </c>
      <c r="G7" s="7" t="s">
        <v>1096</v>
      </c>
      <c r="H7" s="7" t="s">
        <v>186</v>
      </c>
    </row>
    <row r="8" customFormat="false" ht="15" hidden="false" customHeight="false" outlineLevel="0" collapsed="false">
      <c r="A8" s="13" t="n">
        <v>4</v>
      </c>
      <c r="B8" s="10" t="s">
        <v>1097</v>
      </c>
      <c r="C8" s="7" t="s">
        <v>1098</v>
      </c>
      <c r="D8" s="7" t="s">
        <v>1099</v>
      </c>
      <c r="E8" s="7" t="s">
        <v>1100</v>
      </c>
      <c r="F8" s="7" t="s">
        <v>186</v>
      </c>
      <c r="G8" s="7" t="s">
        <v>1101</v>
      </c>
      <c r="H8" s="7" t="s">
        <v>41</v>
      </c>
    </row>
    <row r="9" customFormat="false" ht="15" hidden="false" customHeight="false" outlineLevel="0" collapsed="false">
      <c r="A9" s="13" t="n">
        <v>5</v>
      </c>
      <c r="B9" s="10" t="s">
        <v>1102</v>
      </c>
      <c r="C9" s="7" t="s">
        <v>1025</v>
      </c>
      <c r="D9" s="7" t="s">
        <v>1103</v>
      </c>
      <c r="E9" s="7" t="s">
        <v>1027</v>
      </c>
      <c r="F9" s="7" t="s">
        <v>1104</v>
      </c>
      <c r="G9" s="7" t="s">
        <v>1105</v>
      </c>
      <c r="H9" s="7" t="s">
        <v>1106</v>
      </c>
    </row>
    <row r="10" customFormat="false" ht="23.85" hidden="false" customHeight="false" outlineLevel="0" collapsed="false">
      <c r="A10" s="13" t="n">
        <v>6</v>
      </c>
      <c r="B10" s="10" t="s">
        <v>1107</v>
      </c>
      <c r="C10" s="7" t="s">
        <v>1108</v>
      </c>
      <c r="D10" s="7" t="s">
        <v>1014</v>
      </c>
      <c r="E10" s="7" t="s">
        <v>1109</v>
      </c>
      <c r="F10" s="7" t="s">
        <v>1110</v>
      </c>
      <c r="G10" s="7" t="s">
        <v>186</v>
      </c>
      <c r="H10" s="7" t="s">
        <v>186</v>
      </c>
    </row>
    <row r="11" customFormat="false" ht="23.85" hidden="false" customHeight="false" outlineLevel="0" collapsed="false">
      <c r="A11" s="13" t="n">
        <v>7</v>
      </c>
      <c r="B11" s="10" t="s">
        <v>1111</v>
      </c>
      <c r="C11" s="7" t="s">
        <v>1112</v>
      </c>
      <c r="D11" s="7" t="s">
        <v>1113</v>
      </c>
      <c r="E11" s="7" t="s">
        <v>1114</v>
      </c>
      <c r="F11" s="7" t="s">
        <v>1115</v>
      </c>
      <c r="G11" s="7" t="s">
        <v>1116</v>
      </c>
      <c r="H11" s="7" t="s">
        <v>186</v>
      </c>
    </row>
    <row r="12" customFormat="false" ht="23.85" hidden="false" customHeight="false" outlineLevel="0" collapsed="false">
      <c r="A12" s="13" t="n">
        <v>8</v>
      </c>
      <c r="B12" s="10" t="s">
        <v>1117</v>
      </c>
      <c r="C12" s="7" t="s">
        <v>1118</v>
      </c>
      <c r="D12" s="7" t="s">
        <v>1119</v>
      </c>
      <c r="E12" s="7" t="s">
        <v>1120</v>
      </c>
      <c r="F12" s="7" t="s">
        <v>1121</v>
      </c>
      <c r="G12" s="7" t="s">
        <v>1122</v>
      </c>
      <c r="H12" s="7" t="s">
        <v>1123</v>
      </c>
    </row>
    <row r="13" customFormat="false" ht="15" hidden="false" customHeight="false" outlineLevel="0" collapsed="false">
      <c r="A13" s="13" t="n">
        <v>9</v>
      </c>
      <c r="B13" s="10" t="s">
        <v>1124</v>
      </c>
      <c r="C13" s="7" t="s">
        <v>1125</v>
      </c>
      <c r="D13" s="7" t="s">
        <v>1126</v>
      </c>
      <c r="E13" s="7" t="s">
        <v>1127</v>
      </c>
      <c r="F13" s="7" t="s">
        <v>1128</v>
      </c>
      <c r="G13" s="7" t="s">
        <v>1129</v>
      </c>
      <c r="H13" s="7" t="s">
        <v>1130</v>
      </c>
    </row>
    <row r="14" customFormat="false" ht="15" hidden="false" customHeight="false" outlineLevel="0" collapsed="false">
      <c r="A14" s="13" t="n">
        <v>10</v>
      </c>
      <c r="B14" s="10" t="s">
        <v>1131</v>
      </c>
      <c r="C14" s="7" t="s">
        <v>1132</v>
      </c>
      <c r="D14" s="7" t="s">
        <v>1126</v>
      </c>
      <c r="E14" s="7" t="s">
        <v>1133</v>
      </c>
      <c r="F14" s="7" t="s">
        <v>1134</v>
      </c>
      <c r="G14" s="7" t="s">
        <v>1135</v>
      </c>
      <c r="H14" s="7" t="s">
        <v>1130</v>
      </c>
    </row>
    <row r="15" customFormat="false" ht="15" hidden="false" customHeight="false" outlineLevel="0" collapsed="false">
      <c r="A15" s="13" t="n">
        <v>11</v>
      </c>
      <c r="B15" s="10" t="s">
        <v>1136</v>
      </c>
      <c r="C15" s="7" t="s">
        <v>1137</v>
      </c>
      <c r="D15" s="7" t="s">
        <v>1138</v>
      </c>
      <c r="E15" s="7" t="s">
        <v>1139</v>
      </c>
      <c r="F15" s="7" t="s">
        <v>1140</v>
      </c>
      <c r="G15" s="7" t="s">
        <v>1141</v>
      </c>
      <c r="H15" s="7" t="s">
        <v>1142</v>
      </c>
    </row>
    <row r="16" customFormat="false" ht="15" hidden="false" customHeight="false" outlineLevel="0" collapsed="false">
      <c r="A16" s="13" t="n">
        <v>12</v>
      </c>
      <c r="B16" s="10" t="s">
        <v>1143</v>
      </c>
      <c r="C16" s="7" t="s">
        <v>1144</v>
      </c>
      <c r="D16" s="7" t="s">
        <v>1145</v>
      </c>
      <c r="E16" s="7" t="s">
        <v>1146</v>
      </c>
      <c r="F16" s="7" t="s">
        <v>1147</v>
      </c>
      <c r="G16" s="7" t="s">
        <v>1148</v>
      </c>
      <c r="H16" s="7" t="s">
        <v>1149</v>
      </c>
    </row>
    <row r="17" customFormat="false" ht="15" hidden="false" customHeight="false" outlineLevel="0" collapsed="false">
      <c r="A17" s="13" t="n">
        <v>13</v>
      </c>
      <c r="B17" s="10" t="s">
        <v>1150</v>
      </c>
      <c r="C17" s="7" t="s">
        <v>1151</v>
      </c>
      <c r="D17" s="7" t="s">
        <v>1152</v>
      </c>
      <c r="E17" s="7" t="s">
        <v>1153</v>
      </c>
      <c r="F17" s="7" t="s">
        <v>186</v>
      </c>
      <c r="G17" s="7" t="s">
        <v>1154</v>
      </c>
      <c r="H17" s="7" t="s">
        <v>1155</v>
      </c>
    </row>
    <row r="18" customFormat="false" ht="23.85" hidden="false" customHeight="false" outlineLevel="0" collapsed="false">
      <c r="A18" s="13" t="n">
        <v>14</v>
      </c>
      <c r="B18" s="10" t="s">
        <v>1156</v>
      </c>
      <c r="C18" s="7" t="s">
        <v>1157</v>
      </c>
      <c r="D18" s="7" t="s">
        <v>1158</v>
      </c>
      <c r="E18" s="7" t="s">
        <v>1159</v>
      </c>
      <c r="F18" s="7" t="s">
        <v>1160</v>
      </c>
      <c r="G18" s="7" t="s">
        <v>1161</v>
      </c>
      <c r="H18" s="7" t="s">
        <v>1162</v>
      </c>
    </row>
    <row r="19" customFormat="false" ht="15" hidden="false" customHeight="false" outlineLevel="0" collapsed="false">
      <c r="A19" s="13" t="n">
        <v>15</v>
      </c>
      <c r="B19" s="10" t="s">
        <v>1163</v>
      </c>
      <c r="C19" s="7" t="s">
        <v>1164</v>
      </c>
      <c r="D19" s="7" t="s">
        <v>1165</v>
      </c>
      <c r="E19" s="7" t="s">
        <v>1166</v>
      </c>
      <c r="F19" s="7" t="s">
        <v>1167</v>
      </c>
      <c r="G19" s="7" t="s">
        <v>1168</v>
      </c>
      <c r="H19" s="7" t="s">
        <v>1169</v>
      </c>
    </row>
    <row r="20" customFormat="false" ht="15" hidden="false" customHeight="false" outlineLevel="0" collapsed="false">
      <c r="A20" s="13" t="n">
        <v>16</v>
      </c>
      <c r="B20" s="10" t="s">
        <v>1170</v>
      </c>
      <c r="C20" s="7" t="s">
        <v>1171</v>
      </c>
      <c r="D20" s="7" t="s">
        <v>1165</v>
      </c>
      <c r="E20" s="7" t="s">
        <v>1166</v>
      </c>
      <c r="F20" s="7" t="s">
        <v>1167</v>
      </c>
      <c r="G20" s="7" t="s">
        <v>1172</v>
      </c>
      <c r="H20" s="7" t="s">
        <v>186</v>
      </c>
    </row>
    <row r="21" customFormat="false" ht="23.85" hidden="false" customHeight="false" outlineLevel="0" collapsed="false">
      <c r="A21" s="13" t="n">
        <v>17</v>
      </c>
      <c r="B21" s="10" t="s">
        <v>1173</v>
      </c>
      <c r="C21" s="7" t="s">
        <v>1174</v>
      </c>
      <c r="D21" s="7" t="s">
        <v>1175</v>
      </c>
      <c r="E21" s="7" t="s">
        <v>1176</v>
      </c>
      <c r="F21" s="7" t="s">
        <v>1177</v>
      </c>
      <c r="G21" s="7" t="s">
        <v>1178</v>
      </c>
      <c r="H21" s="7" t="s">
        <v>1179</v>
      </c>
    </row>
    <row r="22" customFormat="false" ht="15" hidden="false" customHeight="false" outlineLevel="0" collapsed="false">
      <c r="A22" s="13" t="n">
        <v>18</v>
      </c>
      <c r="B22" s="10" t="s">
        <v>1180</v>
      </c>
      <c r="C22" s="7" t="s">
        <v>1181</v>
      </c>
      <c r="D22" s="7" t="s">
        <v>1182</v>
      </c>
      <c r="E22" s="7" t="s">
        <v>1183</v>
      </c>
      <c r="F22" s="7" t="s">
        <v>1184</v>
      </c>
      <c r="G22" s="7" t="s">
        <v>186</v>
      </c>
      <c r="H22" s="7" t="s">
        <v>186</v>
      </c>
    </row>
    <row r="23" customFormat="false" ht="35.05" hidden="false" customHeight="false" outlineLevel="0" collapsed="false">
      <c r="A23" s="13" t="n">
        <v>19</v>
      </c>
      <c r="B23" s="10" t="s">
        <v>1185</v>
      </c>
      <c r="C23" s="7" t="s">
        <v>1186</v>
      </c>
      <c r="D23" s="7" t="s">
        <v>1187</v>
      </c>
      <c r="E23" s="7" t="s">
        <v>1188</v>
      </c>
      <c r="F23" s="7" t="s">
        <v>1189</v>
      </c>
      <c r="G23" s="7" t="s">
        <v>186</v>
      </c>
      <c r="H23" s="7" t="s">
        <v>186</v>
      </c>
    </row>
    <row r="24" customFormat="false" ht="23.85" hidden="false" customHeight="false" outlineLevel="0" collapsed="false">
      <c r="A24" s="13" t="n">
        <v>20</v>
      </c>
      <c r="B24" s="10" t="s">
        <v>1190</v>
      </c>
      <c r="C24" s="7" t="s">
        <v>1191</v>
      </c>
      <c r="D24" s="7" t="s">
        <v>1192</v>
      </c>
      <c r="E24" s="7" t="s">
        <v>1183</v>
      </c>
      <c r="F24" s="7" t="s">
        <v>1193</v>
      </c>
      <c r="G24" s="7" t="s">
        <v>1194</v>
      </c>
      <c r="H24" s="7" t="s">
        <v>1195</v>
      </c>
    </row>
    <row r="25" customFormat="false" ht="35.05" hidden="false" customHeight="false" outlineLevel="0" collapsed="false">
      <c r="A25" s="13" t="n">
        <v>21</v>
      </c>
      <c r="B25" s="10" t="s">
        <v>1196</v>
      </c>
      <c r="C25" s="7" t="s">
        <v>1197</v>
      </c>
      <c r="D25" s="7" t="s">
        <v>1192</v>
      </c>
      <c r="E25" s="7" t="s">
        <v>1183</v>
      </c>
      <c r="F25" s="7" t="s">
        <v>1198</v>
      </c>
      <c r="G25" s="7" t="s">
        <v>1199</v>
      </c>
      <c r="H25" s="7" t="s">
        <v>1200</v>
      </c>
    </row>
    <row r="26" customFormat="false" ht="15" hidden="false" customHeight="false" outlineLevel="0" collapsed="false">
      <c r="A26" s="13" t="n">
        <v>22</v>
      </c>
      <c r="B26" s="10" t="s">
        <v>1201</v>
      </c>
      <c r="C26" s="7" t="s">
        <v>1202</v>
      </c>
      <c r="D26" s="7" t="s">
        <v>1192</v>
      </c>
      <c r="E26" s="7" t="s">
        <v>1183</v>
      </c>
      <c r="F26" s="7" t="s">
        <v>1198</v>
      </c>
      <c r="G26" s="7" t="s">
        <v>1203</v>
      </c>
      <c r="H26" s="7" t="s">
        <v>1204</v>
      </c>
    </row>
    <row r="27" customFormat="false" ht="23.85" hidden="false" customHeight="false" outlineLevel="0" collapsed="false">
      <c r="A27" s="13" t="n">
        <v>23</v>
      </c>
      <c r="B27" s="10" t="s">
        <v>1205</v>
      </c>
      <c r="C27" s="7" t="s">
        <v>1206</v>
      </c>
      <c r="D27" s="7" t="s">
        <v>1192</v>
      </c>
      <c r="E27" s="7" t="s">
        <v>1183</v>
      </c>
      <c r="F27" s="7" t="s">
        <v>1198</v>
      </c>
      <c r="G27" s="7" t="s">
        <v>1207</v>
      </c>
      <c r="H27" s="7" t="s">
        <v>1208</v>
      </c>
    </row>
    <row r="28" customFormat="false" ht="23.85" hidden="false" customHeight="false" outlineLevel="0" collapsed="false">
      <c r="A28" s="13" t="n">
        <v>24</v>
      </c>
      <c r="B28" s="10" t="s">
        <v>1209</v>
      </c>
      <c r="C28" s="7" t="s">
        <v>1210</v>
      </c>
      <c r="D28" s="7" t="s">
        <v>1192</v>
      </c>
      <c r="E28" s="7" t="s">
        <v>1183</v>
      </c>
      <c r="F28" s="7" t="s">
        <v>1198</v>
      </c>
      <c r="G28" s="7" t="s">
        <v>1211</v>
      </c>
      <c r="H28" s="7" t="s">
        <v>1212</v>
      </c>
    </row>
    <row r="29" customFormat="false" ht="23.85" hidden="false" customHeight="false" outlineLevel="0" collapsed="false">
      <c r="A29" s="13" t="n">
        <v>25</v>
      </c>
      <c r="B29" s="10" t="s">
        <v>1213</v>
      </c>
      <c r="C29" s="7" t="s">
        <v>1214</v>
      </c>
      <c r="D29" s="7" t="s">
        <v>1192</v>
      </c>
      <c r="E29" s="7" t="s">
        <v>1183</v>
      </c>
      <c r="F29" s="7" t="s">
        <v>1198</v>
      </c>
      <c r="G29" s="7" t="s">
        <v>1215</v>
      </c>
      <c r="H29" s="7" t="s">
        <v>1216</v>
      </c>
    </row>
    <row r="30" customFormat="false" ht="23.85" hidden="false" customHeight="false" outlineLevel="0" collapsed="false">
      <c r="A30" s="13" t="n">
        <v>26</v>
      </c>
      <c r="B30" s="10" t="s">
        <v>1217</v>
      </c>
      <c r="C30" s="7" t="s">
        <v>1218</v>
      </c>
      <c r="D30" s="7" t="s">
        <v>1192</v>
      </c>
      <c r="E30" s="7" t="s">
        <v>1183</v>
      </c>
      <c r="F30" s="7" t="s">
        <v>1198</v>
      </c>
      <c r="G30" s="7" t="s">
        <v>1219</v>
      </c>
      <c r="H30" s="7" t="s">
        <v>1220</v>
      </c>
    </row>
    <row r="31" customFormat="false" ht="23.85" hidden="false" customHeight="false" outlineLevel="0" collapsed="false">
      <c r="A31" s="13" t="n">
        <v>27</v>
      </c>
      <c r="B31" s="10" t="s">
        <v>1221</v>
      </c>
      <c r="C31" s="7" t="s">
        <v>1222</v>
      </c>
      <c r="D31" s="7" t="s">
        <v>1192</v>
      </c>
      <c r="E31" s="7" t="s">
        <v>1183</v>
      </c>
      <c r="F31" s="7" t="s">
        <v>1198</v>
      </c>
      <c r="G31" s="7" t="s">
        <v>1223</v>
      </c>
      <c r="H31" s="7" t="s">
        <v>1224</v>
      </c>
    </row>
    <row r="32" customFormat="false" ht="15" hidden="false" customHeight="false" outlineLevel="0" collapsed="false">
      <c r="A32" s="13" t="n">
        <v>28</v>
      </c>
      <c r="B32" s="10" t="s">
        <v>1225</v>
      </c>
      <c r="C32" s="7" t="s">
        <v>1226</v>
      </c>
      <c r="D32" s="7" t="s">
        <v>1192</v>
      </c>
      <c r="E32" s="7" t="s">
        <v>1183</v>
      </c>
      <c r="F32" s="7" t="s">
        <v>1198</v>
      </c>
      <c r="G32" s="7" t="s">
        <v>1227</v>
      </c>
      <c r="H32" s="7" t="s">
        <v>1228</v>
      </c>
    </row>
    <row r="33" customFormat="false" ht="23.85" hidden="false" customHeight="false" outlineLevel="0" collapsed="false">
      <c r="A33" s="13" t="n">
        <v>29</v>
      </c>
      <c r="B33" s="10" t="s">
        <v>1229</v>
      </c>
      <c r="C33" s="7" t="s">
        <v>1230</v>
      </c>
      <c r="D33" s="7" t="s">
        <v>1192</v>
      </c>
      <c r="E33" s="7" t="s">
        <v>1183</v>
      </c>
      <c r="F33" s="7" t="s">
        <v>1198</v>
      </c>
      <c r="G33" s="7" t="s">
        <v>1231</v>
      </c>
      <c r="H33" s="7" t="s">
        <v>1232</v>
      </c>
    </row>
    <row r="34" customFormat="false" ht="23.85" hidden="false" customHeight="false" outlineLevel="0" collapsed="false">
      <c r="A34" s="13" t="n">
        <v>30</v>
      </c>
      <c r="B34" s="10" t="s">
        <v>1233</v>
      </c>
      <c r="C34" s="7" t="s">
        <v>1234</v>
      </c>
      <c r="D34" s="7" t="s">
        <v>1192</v>
      </c>
      <c r="E34" s="7" t="s">
        <v>1183</v>
      </c>
      <c r="F34" s="7" t="s">
        <v>1198</v>
      </c>
      <c r="G34" s="7" t="s">
        <v>1235</v>
      </c>
      <c r="H34" s="7" t="s">
        <v>1236</v>
      </c>
    </row>
    <row r="35" customFormat="false" ht="23.85" hidden="false" customHeight="false" outlineLevel="0" collapsed="false">
      <c r="A35" s="13" t="n">
        <v>31</v>
      </c>
      <c r="B35" s="10" t="s">
        <v>1237</v>
      </c>
      <c r="C35" s="7" t="s">
        <v>1238</v>
      </c>
      <c r="D35" s="7" t="s">
        <v>1182</v>
      </c>
      <c r="E35" s="7" t="s">
        <v>1239</v>
      </c>
      <c r="F35" s="7" t="s">
        <v>186</v>
      </c>
      <c r="G35" s="7" t="s">
        <v>1240</v>
      </c>
      <c r="H35" s="7" t="s">
        <v>1241</v>
      </c>
    </row>
    <row r="36" customFormat="false" ht="15" hidden="false" customHeight="false" outlineLevel="0" collapsed="false">
      <c r="A36" s="13" t="n">
        <v>32</v>
      </c>
      <c r="B36" s="10" t="s">
        <v>875</v>
      </c>
      <c r="C36" s="7" t="s">
        <v>1242</v>
      </c>
      <c r="D36" s="7" t="s">
        <v>1145</v>
      </c>
      <c r="E36" s="7" t="s">
        <v>1243</v>
      </c>
      <c r="F36" s="7" t="s">
        <v>186</v>
      </c>
      <c r="G36" s="7" t="s">
        <v>1244</v>
      </c>
      <c r="H36" s="7" t="s">
        <v>1142</v>
      </c>
    </row>
    <row r="37" customFormat="false" ht="15" hidden="false" customHeight="false" outlineLevel="0" collapsed="false">
      <c r="A37" s="13" t="n">
        <v>33</v>
      </c>
      <c r="B37" s="10" t="s">
        <v>893</v>
      </c>
      <c r="C37" s="7" t="s">
        <v>1245</v>
      </c>
      <c r="D37" s="7" t="s">
        <v>1182</v>
      </c>
      <c r="E37" s="7" t="s">
        <v>1246</v>
      </c>
      <c r="F37" s="7" t="s">
        <v>186</v>
      </c>
      <c r="G37" s="7" t="s">
        <v>1247</v>
      </c>
      <c r="H37" s="7" t="s">
        <v>1248</v>
      </c>
    </row>
    <row r="38" customFormat="false" ht="15" hidden="false" customHeight="false" outlineLevel="0" collapsed="false">
      <c r="A38" s="13" t="n">
        <v>34</v>
      </c>
      <c r="B38" s="10" t="s">
        <v>1249</v>
      </c>
      <c r="C38" s="7" t="s">
        <v>1250</v>
      </c>
      <c r="D38" s="7" t="s">
        <v>1251</v>
      </c>
      <c r="E38" s="7" t="s">
        <v>1252</v>
      </c>
      <c r="F38" s="7" t="s">
        <v>1253</v>
      </c>
      <c r="G38" s="7" t="s">
        <v>1254</v>
      </c>
      <c r="H38" s="7" t="s">
        <v>186</v>
      </c>
    </row>
    <row r="39" customFormat="false" ht="15" hidden="false" customHeight="false" outlineLevel="0" collapsed="false">
      <c r="A39" s="13" t="n">
        <v>35</v>
      </c>
      <c r="B39" s="10" t="s">
        <v>1255</v>
      </c>
      <c r="C39" s="7" t="s">
        <v>1256</v>
      </c>
      <c r="D39" s="7" t="s">
        <v>1182</v>
      </c>
      <c r="E39" s="7" t="s">
        <v>1257</v>
      </c>
      <c r="F39" s="7" t="s">
        <v>1258</v>
      </c>
      <c r="G39" s="7" t="s">
        <v>1259</v>
      </c>
      <c r="H39" s="7" t="s">
        <v>1260</v>
      </c>
    </row>
    <row r="40" customFormat="false" ht="15" hidden="false" customHeight="false" outlineLevel="0" collapsed="false">
      <c r="A40" s="13" t="n">
        <v>36</v>
      </c>
      <c r="B40" s="10" t="s">
        <v>1261</v>
      </c>
      <c r="C40" s="7" t="s">
        <v>1262</v>
      </c>
      <c r="D40" s="7" t="s">
        <v>1182</v>
      </c>
      <c r="E40" s="7" t="s">
        <v>1263</v>
      </c>
      <c r="F40" s="7" t="s">
        <v>186</v>
      </c>
      <c r="G40" s="7" t="s">
        <v>186</v>
      </c>
      <c r="H40" s="7" t="s">
        <v>1264</v>
      </c>
    </row>
    <row r="41" customFormat="false" ht="23.85" hidden="false" customHeight="false" outlineLevel="0" collapsed="false">
      <c r="A41" s="13" t="n">
        <v>37</v>
      </c>
      <c r="B41" s="10" t="s">
        <v>1265</v>
      </c>
      <c r="C41" s="7" t="s">
        <v>1266</v>
      </c>
      <c r="D41" s="7" t="s">
        <v>1182</v>
      </c>
      <c r="E41" s="7" t="s">
        <v>1267</v>
      </c>
      <c r="F41" s="7" t="s">
        <v>1268</v>
      </c>
      <c r="G41" s="7" t="s">
        <v>1269</v>
      </c>
      <c r="H41" s="7" t="s">
        <v>1270</v>
      </c>
    </row>
    <row r="42" customFormat="false" ht="23.85" hidden="false" customHeight="false" outlineLevel="0" collapsed="false">
      <c r="A42" s="13" t="n">
        <v>38</v>
      </c>
      <c r="B42" s="10" t="s">
        <v>1271</v>
      </c>
      <c r="C42" s="7" t="s">
        <v>1272</v>
      </c>
      <c r="D42" s="7" t="s">
        <v>1182</v>
      </c>
      <c r="E42" s="7" t="s">
        <v>1273</v>
      </c>
      <c r="F42" s="7" t="s">
        <v>1274</v>
      </c>
      <c r="G42" s="7" t="s">
        <v>186</v>
      </c>
      <c r="H42" s="7" t="s">
        <v>1275</v>
      </c>
    </row>
    <row r="44" customFormat="false" ht="15" hidden="false" customHeight="false" outlineLevel="0" collapsed="false">
      <c r="A44" s="3" t="s">
        <v>1276</v>
      </c>
      <c r="B44" s="4"/>
      <c r="C44" s="4"/>
      <c r="D44" s="4"/>
      <c r="E44" s="4"/>
      <c r="F44" s="4"/>
      <c r="G44" s="4"/>
      <c r="H44" s="4"/>
    </row>
    <row r="45" customFormat="false" ht="25.5" hidden="false" customHeight="true" outlineLevel="0" collapsed="false">
      <c r="B45" s="5" t="s">
        <v>1277</v>
      </c>
      <c r="C45" s="5"/>
      <c r="D45" s="5"/>
      <c r="E45" s="5"/>
      <c r="F45" s="5"/>
      <c r="G45" s="5"/>
      <c r="H45" s="5"/>
    </row>
    <row r="46" customFormat="false" ht="25.5" hidden="false" customHeight="true" outlineLevel="0" collapsed="false">
      <c r="B46" s="5" t="s">
        <v>1278</v>
      </c>
      <c r="C46" s="5"/>
      <c r="D46" s="5"/>
      <c r="E46" s="5"/>
      <c r="F46" s="5"/>
      <c r="G46" s="5"/>
      <c r="H46" s="5"/>
    </row>
    <row r="47" customFormat="false" ht="25.5" hidden="false" customHeight="true" outlineLevel="0" collapsed="false">
      <c r="B47" s="5" t="s">
        <v>1279</v>
      </c>
      <c r="C47" s="5"/>
      <c r="D47" s="5"/>
      <c r="E47" s="5"/>
      <c r="F47" s="5"/>
      <c r="G47" s="5"/>
      <c r="H47" s="5"/>
    </row>
    <row r="48" customFormat="false" ht="25.5" hidden="false" customHeight="true" outlineLevel="0" collapsed="false">
      <c r="B48" s="5" t="s">
        <v>1280</v>
      </c>
      <c r="C48" s="5"/>
      <c r="D48" s="5"/>
      <c r="E48" s="5"/>
      <c r="F48" s="5"/>
      <c r="G48" s="5"/>
      <c r="H48" s="5"/>
    </row>
    <row r="49" customFormat="false" ht="25.5" hidden="false" customHeight="true" outlineLevel="0" collapsed="false">
      <c r="B49" s="5" t="s">
        <v>1281</v>
      </c>
      <c r="C49" s="5"/>
      <c r="D49" s="5"/>
      <c r="E49" s="5"/>
      <c r="F49" s="5"/>
      <c r="G49" s="5"/>
      <c r="H49" s="5"/>
    </row>
    <row r="50" customFormat="false" ht="25.5" hidden="false" customHeight="true" outlineLevel="0" collapsed="false">
      <c r="B50" s="5" t="s">
        <v>1282</v>
      </c>
      <c r="C50" s="5"/>
      <c r="D50" s="5"/>
      <c r="E50" s="5"/>
      <c r="F50" s="5"/>
      <c r="G50" s="5"/>
      <c r="H50" s="5"/>
    </row>
    <row r="51" customFormat="false" ht="25.5" hidden="false" customHeight="true" outlineLevel="0" collapsed="false">
      <c r="B51" s="5" t="s">
        <v>1283</v>
      </c>
      <c r="C51" s="5"/>
      <c r="D51" s="5"/>
      <c r="E51" s="5"/>
      <c r="F51" s="5"/>
      <c r="G51" s="5"/>
      <c r="H51" s="5"/>
    </row>
    <row r="52" customFormat="false" ht="25.5" hidden="false" customHeight="true" outlineLevel="0" collapsed="false">
      <c r="B52" s="5" t="s">
        <v>1284</v>
      </c>
      <c r="C52" s="5"/>
      <c r="D52" s="5"/>
      <c r="E52" s="5"/>
      <c r="F52" s="5"/>
      <c r="G52" s="5"/>
      <c r="H52" s="5"/>
    </row>
  </sheetData>
  <mergeCells count="8">
    <mergeCell ref="B45:H45"/>
    <mergeCell ref="B46:H46"/>
    <mergeCell ref="B47:H47"/>
    <mergeCell ref="B48:H48"/>
    <mergeCell ref="B49:H49"/>
    <mergeCell ref="B50:H50"/>
    <mergeCell ref="B51:H51"/>
    <mergeCell ref="B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E9"/>
    <pageSetUpPr fitToPage="tru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70"/>
    <col collapsed="false" customWidth="true" hidden="false" outlineLevel="0" max="4" min="4" style="0" width="44"/>
    <col collapsed="false" customWidth="true" hidden="false" outlineLevel="0" max="5" min="5" style="0" width="40"/>
    <col collapsed="false" customWidth="true" hidden="false" outlineLevel="0" max="6" min="6" style="0" width="56"/>
  </cols>
  <sheetData>
    <row r="1" customFormat="false" ht="17.35" hidden="false" customHeight="false" outlineLevel="0" collapsed="false">
      <c r="A1" s="1" t="s">
        <v>1285</v>
      </c>
    </row>
    <row r="2" customFormat="false" ht="15" hidden="false" customHeight="false" outlineLevel="0" collapsed="false">
      <c r="A2" s="2" t="s">
        <v>1286</v>
      </c>
    </row>
    <row r="4" customFormat="false" ht="31.5" hidden="false" customHeight="true" outlineLevel="0" collapsed="false">
      <c r="A4" s="8" t="s">
        <v>1287</v>
      </c>
      <c r="B4" s="8" t="s">
        <v>1288</v>
      </c>
      <c r="C4" s="8" t="s">
        <v>1289</v>
      </c>
      <c r="D4" s="8" t="s">
        <v>1290</v>
      </c>
      <c r="E4" s="8" t="s">
        <v>875</v>
      </c>
      <c r="F4" s="8" t="s">
        <v>1291</v>
      </c>
    </row>
    <row r="5" customFormat="false" ht="35.05" hidden="false" customHeight="false" outlineLevel="0" collapsed="false">
      <c r="A5" s="10" t="s">
        <v>1292</v>
      </c>
      <c r="B5" s="7" t="s">
        <v>1293</v>
      </c>
      <c r="C5" s="7" t="s">
        <v>1294</v>
      </c>
      <c r="D5" s="7" t="s">
        <v>1295</v>
      </c>
      <c r="E5" s="7" t="s">
        <v>1296</v>
      </c>
      <c r="F5" s="7" t="s">
        <v>1297</v>
      </c>
    </row>
    <row r="6" customFormat="false" ht="35.05" hidden="false" customHeight="false" outlineLevel="0" collapsed="false">
      <c r="A6" s="10" t="s">
        <v>1298</v>
      </c>
      <c r="B6" s="7" t="s">
        <v>1299</v>
      </c>
      <c r="C6" s="7" t="s">
        <v>1300</v>
      </c>
      <c r="D6" s="7" t="s">
        <v>1301</v>
      </c>
      <c r="E6" s="7" t="s">
        <v>1302</v>
      </c>
      <c r="F6" s="7" t="s">
        <v>1303</v>
      </c>
    </row>
    <row r="7" customFormat="false" ht="23.85" hidden="false" customHeight="false" outlineLevel="0" collapsed="false">
      <c r="A7" s="10" t="s">
        <v>385</v>
      </c>
      <c r="B7" s="7" t="s">
        <v>1304</v>
      </c>
      <c r="C7" s="7" t="s">
        <v>1305</v>
      </c>
      <c r="D7" s="7" t="s">
        <v>1306</v>
      </c>
      <c r="E7" s="7" t="s">
        <v>1307</v>
      </c>
      <c r="F7" s="7" t="s">
        <v>1308</v>
      </c>
    </row>
    <row r="8" customFormat="false" ht="35.05" hidden="false" customHeight="false" outlineLevel="0" collapsed="false">
      <c r="A8" s="10" t="s">
        <v>1309</v>
      </c>
      <c r="B8" s="7" t="s">
        <v>1310</v>
      </c>
      <c r="C8" s="7" t="s">
        <v>1311</v>
      </c>
      <c r="D8" s="7" t="s">
        <v>1312</v>
      </c>
      <c r="E8" s="7" t="s">
        <v>1313</v>
      </c>
      <c r="F8" s="7" t="s">
        <v>1314</v>
      </c>
    </row>
    <row r="9" customFormat="false" ht="35.05" hidden="false" customHeight="false" outlineLevel="0" collapsed="false">
      <c r="A9" s="10" t="s">
        <v>1315</v>
      </c>
      <c r="B9" s="7" t="s">
        <v>1316</v>
      </c>
      <c r="C9" s="7" t="s">
        <v>1317</v>
      </c>
      <c r="D9" s="7" t="s">
        <v>1318</v>
      </c>
      <c r="E9" s="7" t="s">
        <v>1319</v>
      </c>
      <c r="F9" s="7" t="s">
        <v>1320</v>
      </c>
    </row>
    <row r="10" customFormat="false" ht="35.05" hidden="false" customHeight="false" outlineLevel="0" collapsed="false">
      <c r="A10" s="10" t="s">
        <v>1321</v>
      </c>
      <c r="B10" s="7" t="s">
        <v>1322</v>
      </c>
      <c r="C10" s="7" t="s">
        <v>1323</v>
      </c>
      <c r="D10" s="7" t="s">
        <v>1324</v>
      </c>
      <c r="E10" s="7" t="s">
        <v>1325</v>
      </c>
      <c r="F10" s="7" t="s">
        <v>1326</v>
      </c>
    </row>
    <row r="11" customFormat="false" ht="35.05" hidden="false" customHeight="false" outlineLevel="0" collapsed="false">
      <c r="A11" s="10" t="s">
        <v>1327</v>
      </c>
      <c r="B11" s="7" t="s">
        <v>1328</v>
      </c>
      <c r="C11" s="7" t="s">
        <v>1329</v>
      </c>
      <c r="D11" s="7" t="s">
        <v>1330</v>
      </c>
      <c r="E11" s="7" t="s">
        <v>1331</v>
      </c>
      <c r="F11" s="7" t="s">
        <v>1332</v>
      </c>
    </row>
    <row r="12" customFormat="false" ht="35.05" hidden="false" customHeight="false" outlineLevel="0" collapsed="false">
      <c r="A12" s="10" t="s">
        <v>1333</v>
      </c>
      <c r="B12" s="7" t="s">
        <v>1334</v>
      </c>
      <c r="C12" s="7" t="s">
        <v>1335</v>
      </c>
      <c r="D12" s="7" t="s">
        <v>1336</v>
      </c>
      <c r="E12" s="7" t="s">
        <v>1337</v>
      </c>
      <c r="F12" s="7" t="s">
        <v>1338</v>
      </c>
    </row>
    <row r="13" customFormat="false" ht="35.05" hidden="false" customHeight="false" outlineLevel="0" collapsed="false">
      <c r="A13" s="10" t="s">
        <v>1339</v>
      </c>
      <c r="B13" s="7" t="s">
        <v>1340</v>
      </c>
      <c r="C13" s="7" t="s">
        <v>1341</v>
      </c>
      <c r="D13" s="7" t="s">
        <v>1342</v>
      </c>
      <c r="E13" s="7" t="s">
        <v>1343</v>
      </c>
      <c r="F13" s="7" t="s">
        <v>1344</v>
      </c>
    </row>
    <row r="14" customFormat="false" ht="23.85" hidden="false" customHeight="false" outlineLevel="0" collapsed="false">
      <c r="A14" s="10" t="s">
        <v>1345</v>
      </c>
      <c r="B14" s="7" t="s">
        <v>1346</v>
      </c>
      <c r="C14" s="7" t="s">
        <v>1347</v>
      </c>
      <c r="D14" s="7" t="s">
        <v>1348</v>
      </c>
      <c r="E14" s="7" t="s">
        <v>1349</v>
      </c>
      <c r="F14" s="7" t="s">
        <v>1350</v>
      </c>
    </row>
    <row r="15" customFormat="false" ht="35.05" hidden="false" customHeight="false" outlineLevel="0" collapsed="false">
      <c r="A15" s="10" t="s">
        <v>1351</v>
      </c>
      <c r="B15" s="7" t="s">
        <v>1352</v>
      </c>
      <c r="C15" s="7" t="s">
        <v>1353</v>
      </c>
      <c r="D15" s="7" t="s">
        <v>1354</v>
      </c>
      <c r="E15" s="7" t="s">
        <v>1355</v>
      </c>
      <c r="F15" s="7" t="s">
        <v>1356</v>
      </c>
    </row>
    <row r="16" customFormat="false" ht="35.05" hidden="false" customHeight="false" outlineLevel="0" collapsed="false">
      <c r="A16" s="10" t="s">
        <v>1357</v>
      </c>
      <c r="B16" s="7" t="s">
        <v>1358</v>
      </c>
      <c r="C16" s="7" t="s">
        <v>1359</v>
      </c>
      <c r="D16" s="7" t="s">
        <v>1360</v>
      </c>
      <c r="E16" s="7" t="s">
        <v>1361</v>
      </c>
      <c r="F16" s="7" t="s">
        <v>1362</v>
      </c>
    </row>
    <row r="17" customFormat="false" ht="35.05" hidden="false" customHeight="false" outlineLevel="0" collapsed="false">
      <c r="A17" s="10" t="s">
        <v>1363</v>
      </c>
      <c r="B17" s="7" t="s">
        <v>1364</v>
      </c>
      <c r="C17" s="7" t="s">
        <v>1365</v>
      </c>
      <c r="D17" s="7" t="s">
        <v>1366</v>
      </c>
      <c r="E17" s="7" t="s">
        <v>1367</v>
      </c>
      <c r="F17" s="7" t="s">
        <v>1368</v>
      </c>
    </row>
    <row r="19" customFormat="false" ht="15" hidden="false" customHeight="true" outlineLevel="0" collapsed="false">
      <c r="A19" s="9" t="s">
        <v>1369</v>
      </c>
      <c r="B19" s="9"/>
      <c r="C19" s="9"/>
      <c r="D19" s="9"/>
      <c r="E19" s="9"/>
      <c r="F19" s="9"/>
    </row>
  </sheetData>
  <mergeCells count="1"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E9"/>
    <pageSetUpPr fitToPage="tru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36"/>
    <col collapsed="false" customWidth="true" hidden="false" outlineLevel="0" max="8" min="8" style="0" width="38"/>
    <col collapsed="false" customWidth="true" hidden="false" outlineLevel="0" max="9" min="9" style="0" width="16"/>
    <col collapsed="false" customWidth="true" hidden="false" outlineLevel="0" max="10" min="10" style="0" width="38"/>
  </cols>
  <sheetData>
    <row r="1" customFormat="false" ht="17.35" hidden="false" customHeight="false" outlineLevel="0" collapsed="false">
      <c r="A1" s="1" t="s">
        <v>1370</v>
      </c>
    </row>
    <row r="2" customFormat="false" ht="15" hidden="false" customHeight="false" outlineLevel="0" collapsed="false">
      <c r="A2" s="2" t="s">
        <v>1371</v>
      </c>
    </row>
    <row r="3" customFormat="false" ht="23.85" hidden="false" customHeight="false" outlineLevel="0" collapsed="false">
      <c r="A3" s="20" t="s">
        <v>1372</v>
      </c>
      <c r="B3" s="21" t="n">
        <f aca="false">COUNTA(B7:B32)</f>
        <v>26</v>
      </c>
      <c r="C3" s="20" t="s">
        <v>1373</v>
      </c>
      <c r="D3" s="21" t="n">
        <f aca="false">COUNTA(B35:B43)</f>
        <v>9</v>
      </c>
      <c r="E3" s="20" t="s">
        <v>1374</v>
      </c>
      <c r="F3" s="21" t="n">
        <f aca="false">B3*D3</f>
        <v>234</v>
      </c>
    </row>
    <row r="6" customFormat="false" ht="31.5" hidden="false" customHeight="true" outlineLevel="0" collapsed="false">
      <c r="A6" s="8" t="s">
        <v>219</v>
      </c>
      <c r="B6" s="8" t="s">
        <v>1375</v>
      </c>
      <c r="C6" s="8" t="s">
        <v>1376</v>
      </c>
      <c r="D6" s="8" t="s">
        <v>1377</v>
      </c>
      <c r="E6" s="8" t="s">
        <v>1085</v>
      </c>
      <c r="F6" s="8" t="s">
        <v>1378</v>
      </c>
      <c r="G6" s="8" t="s">
        <v>1379</v>
      </c>
      <c r="H6" s="8" t="s">
        <v>1380</v>
      </c>
      <c r="I6" s="8" t="s">
        <v>1381</v>
      </c>
      <c r="J6" s="8" t="s">
        <v>1382</v>
      </c>
    </row>
    <row r="7" customFormat="false" ht="15" hidden="false" customHeight="false" outlineLevel="0" collapsed="false">
      <c r="A7" s="13" t="n">
        <v>1</v>
      </c>
      <c r="B7" s="10" t="s">
        <v>1383</v>
      </c>
      <c r="C7" s="7" t="s">
        <v>1384</v>
      </c>
      <c r="D7" s="13" t="n">
        <v>1</v>
      </c>
      <c r="E7" s="7" t="s">
        <v>1385</v>
      </c>
      <c r="F7" s="13" t="n">
        <v>1</v>
      </c>
      <c r="G7" s="7" t="s">
        <v>741</v>
      </c>
      <c r="H7" s="7" t="s">
        <v>1386</v>
      </c>
      <c r="I7" s="13" t="s">
        <v>781</v>
      </c>
      <c r="J7" s="7" t="s">
        <v>1387</v>
      </c>
    </row>
    <row r="8" customFormat="false" ht="15" hidden="false" customHeight="false" outlineLevel="0" collapsed="false">
      <c r="A8" s="13" t="n">
        <v>2</v>
      </c>
      <c r="B8" s="10" t="s">
        <v>1388</v>
      </c>
      <c r="C8" s="7" t="s">
        <v>1389</v>
      </c>
      <c r="D8" s="13" t="n">
        <v>1</v>
      </c>
      <c r="E8" s="7" t="s">
        <v>1385</v>
      </c>
      <c r="F8" s="13" t="n">
        <v>1</v>
      </c>
      <c r="G8" s="7" t="s">
        <v>741</v>
      </c>
      <c r="H8" s="7" t="s">
        <v>1390</v>
      </c>
      <c r="I8" s="13" t="s">
        <v>781</v>
      </c>
      <c r="J8" s="7" t="s">
        <v>1387</v>
      </c>
    </row>
    <row r="9" customFormat="false" ht="15" hidden="false" customHeight="false" outlineLevel="0" collapsed="false">
      <c r="A9" s="13" t="n">
        <v>3</v>
      </c>
      <c r="B9" s="10" t="s">
        <v>1391</v>
      </c>
      <c r="C9" s="7" t="s">
        <v>1392</v>
      </c>
      <c r="D9" s="13" t="n">
        <v>2</v>
      </c>
      <c r="E9" s="7" t="s">
        <v>1393</v>
      </c>
      <c r="F9" s="13" t="n">
        <v>1</v>
      </c>
      <c r="G9" s="7" t="s">
        <v>1394</v>
      </c>
      <c r="H9" s="7" t="s">
        <v>1395</v>
      </c>
      <c r="I9" s="13" t="s">
        <v>791</v>
      </c>
      <c r="J9" s="7" t="s">
        <v>1387</v>
      </c>
    </row>
    <row r="10" customFormat="false" ht="15" hidden="false" customHeight="false" outlineLevel="0" collapsed="false">
      <c r="A10" s="13" t="n">
        <v>4</v>
      </c>
      <c r="B10" s="10" t="s">
        <v>1396</v>
      </c>
      <c r="C10" s="7" t="s">
        <v>1397</v>
      </c>
      <c r="D10" s="13" t="n">
        <v>1</v>
      </c>
      <c r="E10" s="7" t="s">
        <v>1385</v>
      </c>
      <c r="F10" s="13" t="n">
        <v>1</v>
      </c>
      <c r="G10" s="7" t="s">
        <v>1398</v>
      </c>
      <c r="H10" s="7" t="s">
        <v>1399</v>
      </c>
      <c r="I10" s="13" t="s">
        <v>791</v>
      </c>
      <c r="J10" s="7" t="s">
        <v>1387</v>
      </c>
    </row>
    <row r="11" customFormat="false" ht="15" hidden="false" customHeight="false" outlineLevel="0" collapsed="false">
      <c r="A11" s="13" t="n">
        <v>5</v>
      </c>
      <c r="B11" s="10" t="s">
        <v>1400</v>
      </c>
      <c r="C11" s="7" t="s">
        <v>1401</v>
      </c>
      <c r="D11" s="13" t="n">
        <v>1</v>
      </c>
      <c r="E11" s="7" t="s">
        <v>1385</v>
      </c>
      <c r="F11" s="13" t="n">
        <v>1</v>
      </c>
      <c r="G11" s="7" t="s">
        <v>1402</v>
      </c>
      <c r="H11" s="7" t="s">
        <v>1403</v>
      </c>
      <c r="I11" s="13" t="s">
        <v>781</v>
      </c>
      <c r="J11" s="7" t="s">
        <v>1387</v>
      </c>
    </row>
    <row r="12" customFormat="false" ht="15" hidden="false" customHeight="false" outlineLevel="0" collapsed="false">
      <c r="A12" s="13" t="n">
        <v>6</v>
      </c>
      <c r="B12" s="10" t="s">
        <v>1404</v>
      </c>
      <c r="C12" s="7" t="s">
        <v>1405</v>
      </c>
      <c r="D12" s="13" t="n">
        <v>1</v>
      </c>
      <c r="E12" s="7" t="s">
        <v>1385</v>
      </c>
      <c r="F12" s="13" t="n">
        <v>1</v>
      </c>
      <c r="G12" s="7" t="s">
        <v>1406</v>
      </c>
      <c r="H12" s="7" t="s">
        <v>1407</v>
      </c>
      <c r="I12" s="13" t="s">
        <v>781</v>
      </c>
      <c r="J12" s="7" t="s">
        <v>1387</v>
      </c>
    </row>
    <row r="13" customFormat="false" ht="15" hidden="false" customHeight="false" outlineLevel="0" collapsed="false">
      <c r="A13" s="13" t="n">
        <v>7</v>
      </c>
      <c r="B13" s="10" t="s">
        <v>1408</v>
      </c>
      <c r="C13" s="7" t="s">
        <v>1409</v>
      </c>
      <c r="D13" s="13" t="n">
        <v>1</v>
      </c>
      <c r="E13" s="7" t="s">
        <v>1385</v>
      </c>
      <c r="F13" s="13" t="n">
        <v>1</v>
      </c>
      <c r="G13" s="7" t="s">
        <v>1410</v>
      </c>
      <c r="H13" s="7" t="s">
        <v>1411</v>
      </c>
      <c r="I13" s="13" t="s">
        <v>781</v>
      </c>
      <c r="J13" s="7" t="s">
        <v>1387</v>
      </c>
    </row>
    <row r="14" customFormat="false" ht="15" hidden="false" customHeight="false" outlineLevel="0" collapsed="false">
      <c r="A14" s="13" t="n">
        <v>8</v>
      </c>
      <c r="B14" s="10" t="s">
        <v>1412</v>
      </c>
      <c r="C14" s="7" t="s">
        <v>1413</v>
      </c>
      <c r="D14" s="13" t="n">
        <v>1</v>
      </c>
      <c r="E14" s="7" t="s">
        <v>1393</v>
      </c>
      <c r="F14" s="13" t="n">
        <v>1</v>
      </c>
      <c r="G14" s="7" t="s">
        <v>1414</v>
      </c>
      <c r="H14" s="7" t="s">
        <v>1415</v>
      </c>
      <c r="I14" s="13" t="s">
        <v>781</v>
      </c>
      <c r="J14" s="7" t="s">
        <v>1387</v>
      </c>
    </row>
    <row r="15" customFormat="false" ht="15" hidden="false" customHeight="false" outlineLevel="0" collapsed="false">
      <c r="A15" s="13" t="n">
        <v>9</v>
      </c>
      <c r="B15" s="10" t="s">
        <v>1416</v>
      </c>
      <c r="C15" s="7" t="s">
        <v>1417</v>
      </c>
      <c r="D15" s="13" t="n">
        <v>1</v>
      </c>
      <c r="E15" s="7" t="s">
        <v>1385</v>
      </c>
      <c r="F15" s="13" t="n">
        <v>1</v>
      </c>
      <c r="G15" s="7" t="s">
        <v>1418</v>
      </c>
      <c r="H15" s="7" t="s">
        <v>1419</v>
      </c>
      <c r="I15" s="13" t="s">
        <v>781</v>
      </c>
      <c r="J15" s="7" t="s">
        <v>1387</v>
      </c>
    </row>
    <row r="16" customFormat="false" ht="15" hidden="false" customHeight="false" outlineLevel="0" collapsed="false">
      <c r="A16" s="13" t="n">
        <v>10</v>
      </c>
      <c r="B16" s="10" t="s">
        <v>1321</v>
      </c>
      <c r="C16" s="7" t="s">
        <v>1420</v>
      </c>
      <c r="D16" s="13" t="n">
        <v>1</v>
      </c>
      <c r="E16" s="7" t="s">
        <v>1385</v>
      </c>
      <c r="F16" s="13" t="n">
        <v>1</v>
      </c>
      <c r="G16" s="7" t="s">
        <v>1421</v>
      </c>
      <c r="H16" s="7" t="s">
        <v>1422</v>
      </c>
      <c r="I16" s="13" t="s">
        <v>781</v>
      </c>
      <c r="J16" s="7" t="s">
        <v>1387</v>
      </c>
    </row>
    <row r="17" customFormat="false" ht="15" hidden="false" customHeight="false" outlineLevel="0" collapsed="false">
      <c r="A17" s="13" t="n">
        <v>11</v>
      </c>
      <c r="B17" s="10" t="s">
        <v>1333</v>
      </c>
      <c r="C17" s="7" t="s">
        <v>1423</v>
      </c>
      <c r="D17" s="13" t="n">
        <v>1</v>
      </c>
      <c r="E17" s="7" t="s">
        <v>1385</v>
      </c>
      <c r="F17" s="13" t="n">
        <v>1</v>
      </c>
      <c r="G17" s="7" t="s">
        <v>1424</v>
      </c>
      <c r="H17" s="7" t="s">
        <v>1425</v>
      </c>
      <c r="I17" s="13" t="s">
        <v>781</v>
      </c>
      <c r="J17" s="7" t="s">
        <v>1387</v>
      </c>
    </row>
    <row r="18" customFormat="false" ht="15" hidden="false" customHeight="false" outlineLevel="0" collapsed="false">
      <c r="A18" s="13" t="n">
        <v>12</v>
      </c>
      <c r="B18" s="10" t="s">
        <v>1426</v>
      </c>
      <c r="C18" s="7" t="s">
        <v>1427</v>
      </c>
      <c r="D18" s="13" t="n">
        <v>1</v>
      </c>
      <c r="E18" s="7" t="s">
        <v>1385</v>
      </c>
      <c r="F18" s="13" t="n">
        <v>1</v>
      </c>
      <c r="G18" s="7" t="s">
        <v>1428</v>
      </c>
      <c r="H18" s="7" t="s">
        <v>1429</v>
      </c>
      <c r="I18" s="13" t="s">
        <v>781</v>
      </c>
      <c r="J18" s="7" t="s">
        <v>1387</v>
      </c>
    </row>
    <row r="19" customFormat="false" ht="15" hidden="false" customHeight="false" outlineLevel="0" collapsed="false">
      <c r="A19" s="13" t="n">
        <v>13</v>
      </c>
      <c r="B19" s="10" t="s">
        <v>1430</v>
      </c>
      <c r="C19" s="7" t="s">
        <v>1431</v>
      </c>
      <c r="D19" s="13" t="n">
        <v>1</v>
      </c>
      <c r="E19" s="7" t="s">
        <v>1385</v>
      </c>
      <c r="F19" s="13" t="n">
        <v>1</v>
      </c>
      <c r="G19" s="7" t="s">
        <v>1432</v>
      </c>
      <c r="H19" s="7" t="s">
        <v>1433</v>
      </c>
      <c r="I19" s="13" t="s">
        <v>781</v>
      </c>
      <c r="J19" s="7" t="s">
        <v>1387</v>
      </c>
    </row>
    <row r="20" customFormat="false" ht="15" hidden="false" customHeight="false" outlineLevel="0" collapsed="false">
      <c r="A20" s="13" t="n">
        <v>14</v>
      </c>
      <c r="B20" s="10" t="s">
        <v>1434</v>
      </c>
      <c r="C20" s="7" t="s">
        <v>1435</v>
      </c>
      <c r="D20" s="13" t="n">
        <v>1</v>
      </c>
      <c r="E20" s="7" t="s">
        <v>1385</v>
      </c>
      <c r="F20" s="13" t="n">
        <v>2</v>
      </c>
      <c r="G20" s="7" t="s">
        <v>1436</v>
      </c>
      <c r="H20" s="7" t="s">
        <v>1437</v>
      </c>
      <c r="I20" s="13" t="s">
        <v>791</v>
      </c>
      <c r="J20" s="7" t="s">
        <v>1387</v>
      </c>
    </row>
    <row r="21" customFormat="false" ht="15" hidden="false" customHeight="false" outlineLevel="0" collapsed="false">
      <c r="A21" s="13" t="n">
        <v>15</v>
      </c>
      <c r="B21" s="10" t="s">
        <v>1438</v>
      </c>
      <c r="C21" s="7" t="s">
        <v>1439</v>
      </c>
      <c r="D21" s="13" t="n">
        <v>2</v>
      </c>
      <c r="E21" s="7" t="s">
        <v>1393</v>
      </c>
      <c r="F21" s="13" t="n">
        <v>1</v>
      </c>
      <c r="G21" s="7" t="s">
        <v>1440</v>
      </c>
      <c r="H21" s="7" t="s">
        <v>1441</v>
      </c>
      <c r="I21" s="13" t="s">
        <v>1442</v>
      </c>
      <c r="J21" s="7" t="s">
        <v>1387</v>
      </c>
    </row>
    <row r="22" customFormat="false" ht="15" hidden="false" customHeight="false" outlineLevel="0" collapsed="false">
      <c r="A22" s="13" t="n">
        <v>16</v>
      </c>
      <c r="B22" s="10" t="s">
        <v>1443</v>
      </c>
      <c r="C22" s="7" t="s">
        <v>1444</v>
      </c>
      <c r="D22" s="13" t="n">
        <v>1</v>
      </c>
      <c r="E22" s="7" t="s">
        <v>1385</v>
      </c>
      <c r="F22" s="13" t="n">
        <v>1</v>
      </c>
      <c r="G22" s="7" t="s">
        <v>1445</v>
      </c>
      <c r="H22" s="7" t="s">
        <v>1446</v>
      </c>
      <c r="I22" s="13" t="s">
        <v>781</v>
      </c>
      <c r="J22" s="7" t="s">
        <v>1387</v>
      </c>
    </row>
    <row r="23" customFormat="false" ht="15" hidden="false" customHeight="false" outlineLevel="0" collapsed="false">
      <c r="A23" s="13" t="n">
        <v>17</v>
      </c>
      <c r="B23" s="10" t="s">
        <v>1447</v>
      </c>
      <c r="C23" s="7" t="s">
        <v>1448</v>
      </c>
      <c r="D23" s="13" t="n">
        <v>2</v>
      </c>
      <c r="E23" s="7" t="s">
        <v>1447</v>
      </c>
      <c r="F23" s="13" t="n">
        <v>1</v>
      </c>
      <c r="G23" s="7" t="s">
        <v>1449</v>
      </c>
      <c r="H23" s="7" t="s">
        <v>1450</v>
      </c>
      <c r="I23" s="13" t="s">
        <v>791</v>
      </c>
      <c r="J23" s="7" t="s">
        <v>1387</v>
      </c>
    </row>
    <row r="24" customFormat="false" ht="15" hidden="false" customHeight="false" outlineLevel="0" collapsed="false">
      <c r="A24" s="13" t="n">
        <v>18</v>
      </c>
      <c r="B24" s="10" t="s">
        <v>1451</v>
      </c>
      <c r="C24" s="7" t="s">
        <v>1452</v>
      </c>
      <c r="D24" s="13" t="n">
        <v>1</v>
      </c>
      <c r="E24" s="7" t="s">
        <v>1393</v>
      </c>
      <c r="F24" s="13" t="n">
        <v>1</v>
      </c>
      <c r="G24" s="7" t="s">
        <v>741</v>
      </c>
      <c r="H24" s="7" t="s">
        <v>1453</v>
      </c>
      <c r="I24" s="13" t="s">
        <v>791</v>
      </c>
      <c r="J24" s="7" t="s">
        <v>1387</v>
      </c>
    </row>
    <row r="25" customFormat="false" ht="15" hidden="false" customHeight="false" outlineLevel="0" collapsed="false">
      <c r="A25" s="13" t="n">
        <v>19</v>
      </c>
      <c r="B25" s="10" t="s">
        <v>1454</v>
      </c>
      <c r="C25" s="7" t="s">
        <v>1455</v>
      </c>
      <c r="D25" s="13" t="n">
        <v>2</v>
      </c>
      <c r="E25" s="7" t="s">
        <v>1393</v>
      </c>
      <c r="F25" s="13" t="n">
        <v>1</v>
      </c>
      <c r="G25" s="7" t="s">
        <v>1456</v>
      </c>
      <c r="H25" s="7" t="s">
        <v>1457</v>
      </c>
      <c r="I25" s="13" t="s">
        <v>791</v>
      </c>
      <c r="J25" s="7" t="s">
        <v>1387</v>
      </c>
    </row>
    <row r="26" customFormat="false" ht="23.85" hidden="false" customHeight="false" outlineLevel="0" collapsed="false">
      <c r="A26" s="13" t="n">
        <v>20</v>
      </c>
      <c r="B26" s="10" t="s">
        <v>1458</v>
      </c>
      <c r="C26" s="7" t="s">
        <v>1459</v>
      </c>
      <c r="D26" s="13" t="n">
        <v>1</v>
      </c>
      <c r="E26" s="7" t="s">
        <v>1385</v>
      </c>
      <c r="F26" s="13" t="n">
        <v>1</v>
      </c>
      <c r="G26" s="7" t="s">
        <v>1460</v>
      </c>
      <c r="H26" s="7" t="s">
        <v>1461</v>
      </c>
      <c r="I26" s="13" t="s">
        <v>781</v>
      </c>
      <c r="J26" s="7" t="s">
        <v>1462</v>
      </c>
    </row>
    <row r="27" customFormat="false" ht="15" hidden="false" customHeight="false" outlineLevel="0" collapsed="false">
      <c r="A27" s="13" t="n">
        <v>21</v>
      </c>
      <c r="B27" s="10" t="s">
        <v>1463</v>
      </c>
      <c r="C27" s="7" t="s">
        <v>1464</v>
      </c>
      <c r="D27" s="13" t="n">
        <v>1</v>
      </c>
      <c r="E27" s="7" t="s">
        <v>1385</v>
      </c>
      <c r="F27" s="13" t="n">
        <v>2</v>
      </c>
      <c r="G27" s="7" t="s">
        <v>1465</v>
      </c>
      <c r="H27" s="7" t="s">
        <v>1466</v>
      </c>
      <c r="I27" s="13" t="s">
        <v>781</v>
      </c>
      <c r="J27" s="7" t="s">
        <v>1387</v>
      </c>
    </row>
    <row r="28" customFormat="false" ht="15" hidden="false" customHeight="false" outlineLevel="0" collapsed="false">
      <c r="A28" s="13" t="n">
        <v>22</v>
      </c>
      <c r="B28" s="10" t="s">
        <v>1467</v>
      </c>
      <c r="C28" s="7" t="s">
        <v>1468</v>
      </c>
      <c r="D28" s="13" t="n">
        <v>1</v>
      </c>
      <c r="E28" s="7" t="s">
        <v>1385</v>
      </c>
      <c r="F28" s="13" t="n">
        <v>1</v>
      </c>
      <c r="G28" s="7" t="s">
        <v>1469</v>
      </c>
      <c r="H28" s="7" t="s">
        <v>1470</v>
      </c>
      <c r="I28" s="13" t="s">
        <v>781</v>
      </c>
      <c r="J28" s="7" t="s">
        <v>1387</v>
      </c>
    </row>
    <row r="29" customFormat="false" ht="15" hidden="false" customHeight="false" outlineLevel="0" collapsed="false">
      <c r="A29" s="13" t="n">
        <v>23</v>
      </c>
      <c r="B29" s="10" t="s">
        <v>1471</v>
      </c>
      <c r="C29" s="7" t="s">
        <v>1472</v>
      </c>
      <c r="D29" s="13" t="n">
        <v>1</v>
      </c>
      <c r="E29" s="7" t="s">
        <v>1393</v>
      </c>
      <c r="F29" s="13" t="n">
        <v>1</v>
      </c>
      <c r="G29" s="7" t="s">
        <v>1473</v>
      </c>
      <c r="H29" s="7" t="s">
        <v>1474</v>
      </c>
      <c r="I29" s="13" t="s">
        <v>791</v>
      </c>
      <c r="J29" s="7" t="s">
        <v>1387</v>
      </c>
    </row>
    <row r="30" customFormat="false" ht="15" hidden="false" customHeight="false" outlineLevel="0" collapsed="false">
      <c r="A30" s="13" t="n">
        <v>24</v>
      </c>
      <c r="B30" s="10" t="s">
        <v>1475</v>
      </c>
      <c r="C30" s="7" t="s">
        <v>1476</v>
      </c>
      <c r="D30" s="13" t="n">
        <v>1</v>
      </c>
      <c r="E30" s="7" t="s">
        <v>1385</v>
      </c>
      <c r="F30" s="13" t="n">
        <v>1</v>
      </c>
      <c r="G30" s="7" t="s">
        <v>1477</v>
      </c>
      <c r="H30" s="7" t="s">
        <v>1478</v>
      </c>
      <c r="I30" s="13" t="s">
        <v>781</v>
      </c>
      <c r="J30" s="7" t="s">
        <v>1387</v>
      </c>
    </row>
    <row r="31" customFormat="false" ht="15" hidden="false" customHeight="false" outlineLevel="0" collapsed="false">
      <c r="A31" s="13" t="n">
        <v>25</v>
      </c>
      <c r="B31" s="10" t="s">
        <v>1479</v>
      </c>
      <c r="C31" s="7" t="s">
        <v>1480</v>
      </c>
      <c r="D31" s="13" t="n">
        <v>1</v>
      </c>
      <c r="E31" s="7" t="s">
        <v>1385</v>
      </c>
      <c r="F31" s="13" t="n">
        <v>1</v>
      </c>
      <c r="G31" s="7" t="s">
        <v>1481</v>
      </c>
      <c r="H31" s="7" t="s">
        <v>1482</v>
      </c>
      <c r="I31" s="13" t="s">
        <v>781</v>
      </c>
      <c r="J31" s="7" t="s">
        <v>1387</v>
      </c>
    </row>
    <row r="32" customFormat="false" ht="15" hidden="false" customHeight="false" outlineLevel="0" collapsed="false">
      <c r="A32" s="13" t="n">
        <v>26</v>
      </c>
      <c r="B32" s="10" t="s">
        <v>1483</v>
      </c>
      <c r="C32" s="7" t="s">
        <v>1484</v>
      </c>
      <c r="D32" s="13" t="n">
        <v>1</v>
      </c>
      <c r="E32" s="7" t="s">
        <v>1385</v>
      </c>
      <c r="F32" s="13" t="n">
        <v>2</v>
      </c>
      <c r="G32" s="7" t="s">
        <v>1485</v>
      </c>
      <c r="H32" s="7" t="s">
        <v>1486</v>
      </c>
      <c r="I32" s="13" t="s">
        <v>781</v>
      </c>
      <c r="J32" s="7" t="s">
        <v>1487</v>
      </c>
    </row>
    <row r="34" customFormat="false" ht="31.5" hidden="false" customHeight="true" outlineLevel="0" collapsed="false">
      <c r="A34" s="8" t="s">
        <v>219</v>
      </c>
      <c r="B34" s="8" t="s">
        <v>1488</v>
      </c>
      <c r="C34" s="8" t="s">
        <v>1489</v>
      </c>
      <c r="D34" s="8" t="s">
        <v>1490</v>
      </c>
      <c r="E34" s="8" t="s">
        <v>1491</v>
      </c>
      <c r="F34" s="8" t="s">
        <v>1380</v>
      </c>
      <c r="G34" s="8" t="s">
        <v>1492</v>
      </c>
      <c r="H34" s="8" t="s">
        <v>1493</v>
      </c>
      <c r="I34" s="8" t="s">
        <v>1494</v>
      </c>
      <c r="J34" s="8" t="s">
        <v>113</v>
      </c>
    </row>
    <row r="35" customFormat="false" ht="23.85" hidden="false" customHeight="false" outlineLevel="0" collapsed="false">
      <c r="A35" s="13" t="n">
        <v>1</v>
      </c>
      <c r="B35" s="10" t="s">
        <v>1495</v>
      </c>
      <c r="C35" s="31" t="s">
        <v>1496</v>
      </c>
      <c r="D35" s="32" t="s">
        <v>1497</v>
      </c>
      <c r="E35" s="33" t="s">
        <v>1498</v>
      </c>
      <c r="F35" s="34" t="s">
        <v>1499</v>
      </c>
      <c r="G35" s="24" t="n">
        <v>8.8</v>
      </c>
      <c r="H35" s="24" t="n">
        <v>6.6</v>
      </c>
      <c r="I35" s="13" t="s">
        <v>203</v>
      </c>
      <c r="J35" s="7" t="s">
        <v>1500</v>
      </c>
    </row>
    <row r="36" customFormat="false" ht="23.85" hidden="false" customHeight="false" outlineLevel="0" collapsed="false">
      <c r="A36" s="13" t="n">
        <v>2</v>
      </c>
      <c r="B36" s="10" t="s">
        <v>1501</v>
      </c>
      <c r="C36" s="35" t="s">
        <v>1502</v>
      </c>
      <c r="D36" s="36" t="s">
        <v>1503</v>
      </c>
      <c r="E36" s="37" t="s">
        <v>1504</v>
      </c>
      <c r="F36" s="13" t="s">
        <v>186</v>
      </c>
      <c r="G36" s="24" t="n">
        <v>7.7</v>
      </c>
      <c r="H36" s="24" t="n">
        <v>5.2</v>
      </c>
      <c r="I36" s="13" t="s">
        <v>203</v>
      </c>
      <c r="J36" s="7" t="s">
        <v>1500</v>
      </c>
    </row>
    <row r="37" customFormat="false" ht="23.85" hidden="false" customHeight="false" outlineLevel="0" collapsed="false">
      <c r="A37" s="13" t="n">
        <v>3</v>
      </c>
      <c r="B37" s="10" t="s">
        <v>1505</v>
      </c>
      <c r="C37" s="34" t="s">
        <v>1499</v>
      </c>
      <c r="D37" s="38" t="s">
        <v>1506</v>
      </c>
      <c r="E37" s="39" t="s">
        <v>1507</v>
      </c>
      <c r="F37" s="31" t="s">
        <v>1496</v>
      </c>
      <c r="G37" s="24" t="n">
        <v>8.7</v>
      </c>
      <c r="H37" s="24" t="n">
        <v>1.5</v>
      </c>
      <c r="I37" s="13" t="s">
        <v>1508</v>
      </c>
      <c r="J37" s="7" t="s">
        <v>1500</v>
      </c>
    </row>
    <row r="38" customFormat="false" ht="23.85" hidden="false" customHeight="false" outlineLevel="0" collapsed="false">
      <c r="A38" s="13" t="n">
        <v>4</v>
      </c>
      <c r="B38" s="10" t="s">
        <v>1509</v>
      </c>
      <c r="C38" s="40" t="s">
        <v>1510</v>
      </c>
      <c r="D38" s="41" t="s">
        <v>1511</v>
      </c>
      <c r="E38" s="42" t="s">
        <v>1512</v>
      </c>
      <c r="F38" s="13" t="s">
        <v>186</v>
      </c>
      <c r="G38" s="24" t="n">
        <v>11</v>
      </c>
      <c r="H38" s="24" t="n">
        <v>6.5</v>
      </c>
      <c r="I38" s="13" t="s">
        <v>203</v>
      </c>
      <c r="J38" s="7" t="s">
        <v>1500</v>
      </c>
    </row>
    <row r="39" customFormat="false" ht="23.85" hidden="false" customHeight="false" outlineLevel="0" collapsed="false">
      <c r="A39" s="13" t="n">
        <v>5</v>
      </c>
      <c r="B39" s="10" t="s">
        <v>1513</v>
      </c>
      <c r="C39" s="43" t="s">
        <v>1514</v>
      </c>
      <c r="D39" s="44" t="s">
        <v>1515</v>
      </c>
      <c r="E39" s="45" t="s">
        <v>1516</v>
      </c>
      <c r="F39" s="13" t="s">
        <v>186</v>
      </c>
      <c r="G39" s="24" t="n">
        <v>8.9</v>
      </c>
      <c r="H39" s="24" t="n">
        <v>6.7</v>
      </c>
      <c r="I39" s="13" t="s">
        <v>203</v>
      </c>
      <c r="J39" s="7" t="s">
        <v>1500</v>
      </c>
    </row>
    <row r="40" customFormat="false" ht="23.85" hidden="false" customHeight="false" outlineLevel="0" collapsed="false">
      <c r="A40" s="13" t="n">
        <v>6</v>
      </c>
      <c r="B40" s="10" t="s">
        <v>1517</v>
      </c>
      <c r="C40" s="46" t="s">
        <v>1518</v>
      </c>
      <c r="D40" s="47" t="s">
        <v>1519</v>
      </c>
      <c r="E40" s="48" t="s">
        <v>1520</v>
      </c>
      <c r="F40" s="13" t="s">
        <v>186</v>
      </c>
      <c r="G40" s="24" t="n">
        <v>9.3</v>
      </c>
      <c r="H40" s="24" t="n">
        <v>7.1</v>
      </c>
      <c r="I40" s="13" t="s">
        <v>203</v>
      </c>
      <c r="J40" s="7" t="s">
        <v>1500</v>
      </c>
    </row>
    <row r="41" customFormat="false" ht="23.85" hidden="false" customHeight="false" outlineLevel="0" collapsed="false">
      <c r="A41" s="13" t="n">
        <v>7</v>
      </c>
      <c r="B41" s="10" t="s">
        <v>1521</v>
      </c>
      <c r="C41" s="49" t="s">
        <v>1522</v>
      </c>
      <c r="D41" s="50" t="s">
        <v>1523</v>
      </c>
      <c r="E41" s="51" t="s">
        <v>1524</v>
      </c>
      <c r="F41" s="13" t="s">
        <v>186</v>
      </c>
      <c r="G41" s="24" t="n">
        <v>11.1</v>
      </c>
      <c r="H41" s="24" t="n">
        <v>7.3</v>
      </c>
      <c r="I41" s="13" t="s">
        <v>203</v>
      </c>
      <c r="J41" s="7" t="s">
        <v>1500</v>
      </c>
    </row>
    <row r="42" customFormat="false" ht="23.85" hidden="false" customHeight="false" outlineLevel="0" collapsed="false">
      <c r="A42" s="13" t="n">
        <v>8</v>
      </c>
      <c r="B42" s="10" t="s">
        <v>1525</v>
      </c>
      <c r="C42" s="52" t="s">
        <v>1526</v>
      </c>
      <c r="D42" s="53" t="s">
        <v>1527</v>
      </c>
      <c r="E42" s="54" t="s">
        <v>1528</v>
      </c>
      <c r="F42" s="13" t="s">
        <v>186</v>
      </c>
      <c r="G42" s="24" t="n">
        <v>8.2</v>
      </c>
      <c r="H42" s="24" t="n">
        <v>6</v>
      </c>
      <c r="I42" s="13" t="s">
        <v>203</v>
      </c>
      <c r="J42" s="7" t="s">
        <v>1500</v>
      </c>
    </row>
    <row r="43" customFormat="false" ht="23.85" hidden="false" customHeight="false" outlineLevel="0" collapsed="false">
      <c r="A43" s="13" t="n">
        <v>9</v>
      </c>
      <c r="B43" s="10" t="s">
        <v>1529</v>
      </c>
      <c r="C43" s="55" t="s">
        <v>1530</v>
      </c>
      <c r="D43" s="56" t="s">
        <v>1531</v>
      </c>
      <c r="E43" s="57" t="s">
        <v>1532</v>
      </c>
      <c r="F43" s="13" t="s">
        <v>186</v>
      </c>
      <c r="G43" s="24" t="n">
        <v>15.5</v>
      </c>
      <c r="H43" s="24" t="n">
        <v>14.7</v>
      </c>
      <c r="I43" s="13" t="s">
        <v>203</v>
      </c>
      <c r="J43" s="7" t="s">
        <v>1500</v>
      </c>
    </row>
    <row r="44" customFormat="false" ht="68.65" hidden="false" customHeight="false" outlineLevel="0" collapsed="false">
      <c r="B44" s="28" t="s">
        <v>1533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tru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3"/>
    <col collapsed="false" customWidth="true" hidden="false" outlineLevel="0" max="9" min="9" style="0" width="20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1534</v>
      </c>
    </row>
    <row r="2" customFormat="false" ht="15" hidden="false" customHeight="false" outlineLevel="0" collapsed="false">
      <c r="A2" s="2" t="s">
        <v>1535</v>
      </c>
    </row>
    <row r="3" customFormat="false" ht="370.85" hidden="false" customHeight="false" outlineLevel="0" collapsed="false">
      <c r="A3" s="28" t="s">
        <v>1536</v>
      </c>
    </row>
    <row r="6" customFormat="false" ht="31.5" hidden="false" customHeight="true" outlineLevel="0" collapsed="false">
      <c r="A6" s="8" t="s">
        <v>219</v>
      </c>
      <c r="B6" s="8" t="s">
        <v>1537</v>
      </c>
      <c r="C6" s="8" t="s">
        <v>1538</v>
      </c>
      <c r="D6" s="8" t="s">
        <v>1539</v>
      </c>
      <c r="E6" s="8" t="s">
        <v>1540</v>
      </c>
      <c r="F6" s="8" t="s">
        <v>954</v>
      </c>
      <c r="G6" s="8" t="s">
        <v>1541</v>
      </c>
      <c r="I6" s="8" t="s">
        <v>1537</v>
      </c>
      <c r="J6" s="8" t="s">
        <v>1542</v>
      </c>
    </row>
    <row r="7" customFormat="false" ht="15" hidden="false" customHeight="false" outlineLevel="0" collapsed="false">
      <c r="A7" s="13" t="n">
        <v>1</v>
      </c>
      <c r="B7" s="7" t="s">
        <v>1543</v>
      </c>
      <c r="C7" s="7" t="s">
        <v>1544</v>
      </c>
      <c r="D7" s="7" t="s">
        <v>1545</v>
      </c>
      <c r="E7" s="12"/>
      <c r="F7" s="13" t="str">
        <f aca="false">IF(E7="","",IF(D7="Invertido",6-E7,E7))</f>
        <v/>
      </c>
      <c r="G7" s="58" t="s">
        <v>1546</v>
      </c>
      <c r="I7" s="10" t="s">
        <v>1543</v>
      </c>
      <c r="J7" s="24" t="str">
        <f aca="false">IFERROR(AVERAGEIF($B$7:$B$31,I7,$F$7:$F$31),"")</f>
        <v/>
      </c>
    </row>
    <row r="8" customFormat="false" ht="15" hidden="false" customHeight="false" outlineLevel="0" collapsed="false">
      <c r="A8" s="13" t="n">
        <v>2</v>
      </c>
      <c r="B8" s="7" t="s">
        <v>1543</v>
      </c>
      <c r="C8" s="7" t="s">
        <v>1547</v>
      </c>
      <c r="D8" s="7" t="s">
        <v>1545</v>
      </c>
      <c r="E8" s="12"/>
      <c r="F8" s="13" t="str">
        <f aca="false">IF(E8="","",IF(D8="Invertido",6-E8,E8))</f>
        <v/>
      </c>
      <c r="G8" s="58" t="s">
        <v>1548</v>
      </c>
      <c r="I8" s="10" t="s">
        <v>1549</v>
      </c>
      <c r="J8" s="24" t="str">
        <f aca="false">IFERROR(AVERAGEIF($B$7:$B$31,I8,$F$7:$F$31),"")</f>
        <v/>
      </c>
    </row>
    <row r="9" customFormat="false" ht="15" hidden="false" customHeight="false" outlineLevel="0" collapsed="false">
      <c r="A9" s="13" t="n">
        <v>3</v>
      </c>
      <c r="B9" s="7" t="s">
        <v>1543</v>
      </c>
      <c r="C9" s="7" t="s">
        <v>1550</v>
      </c>
      <c r="D9" s="7" t="s">
        <v>1551</v>
      </c>
      <c r="E9" s="12"/>
      <c r="F9" s="13" t="str">
        <f aca="false">IF(E9="","",IF(D9="Invertido",6-E9,E9))</f>
        <v/>
      </c>
      <c r="G9" s="58" t="s">
        <v>1552</v>
      </c>
      <c r="I9" s="10" t="s">
        <v>1553</v>
      </c>
      <c r="J9" s="24" t="str">
        <f aca="false">IFERROR(AVERAGEIF($B$7:$B$31,I9,$F$7:$F$31),"")</f>
        <v/>
      </c>
    </row>
    <row r="10" customFormat="false" ht="15" hidden="false" customHeight="false" outlineLevel="0" collapsed="false">
      <c r="A10" s="13" t="n">
        <v>4</v>
      </c>
      <c r="B10" s="7" t="s">
        <v>1543</v>
      </c>
      <c r="C10" s="7" t="s">
        <v>1554</v>
      </c>
      <c r="D10" s="7" t="s">
        <v>1551</v>
      </c>
      <c r="E10" s="12"/>
      <c r="F10" s="13" t="str">
        <f aca="false">IF(E10="","",IF(D10="Invertido",6-E10,E10))</f>
        <v/>
      </c>
      <c r="G10" s="58" t="s">
        <v>1555</v>
      </c>
      <c r="I10" s="10" t="s">
        <v>1556</v>
      </c>
      <c r="J10" s="24" t="str">
        <f aca="false">IFERROR(AVERAGEIF($B$7:$B$31,I10,$F$7:$F$31),"")</f>
        <v/>
      </c>
    </row>
    <row r="11" customFormat="false" ht="15" hidden="false" customHeight="false" outlineLevel="0" collapsed="false">
      <c r="A11" s="13" t="n">
        <v>5</v>
      </c>
      <c r="B11" s="7" t="s">
        <v>1543</v>
      </c>
      <c r="C11" s="7" t="s">
        <v>1557</v>
      </c>
      <c r="D11" s="7" t="s">
        <v>1545</v>
      </c>
      <c r="E11" s="12"/>
      <c r="F11" s="13" t="str">
        <f aca="false">IF(E11="","",IF(D11="Invertido",6-E11,E11))</f>
        <v/>
      </c>
      <c r="G11" s="58" t="s">
        <v>1558</v>
      </c>
      <c r="I11" s="10" t="s">
        <v>1559</v>
      </c>
      <c r="J11" s="24" t="str">
        <f aca="false">IFERROR(AVERAGEIF($B$7:$B$31,I11,$F$7:$F$31),"")</f>
        <v/>
      </c>
    </row>
    <row r="12" customFormat="false" ht="15" hidden="false" customHeight="false" outlineLevel="0" collapsed="false">
      <c r="A12" s="13" t="n">
        <v>6</v>
      </c>
      <c r="B12" s="7" t="s">
        <v>1549</v>
      </c>
      <c r="C12" s="7" t="s">
        <v>1560</v>
      </c>
      <c r="D12" s="7" t="s">
        <v>1545</v>
      </c>
      <c r="E12" s="12"/>
      <c r="F12" s="13" t="str">
        <f aca="false">IF(E12="","",IF(D12="Invertido",6-E12,E12))</f>
        <v/>
      </c>
      <c r="G12" s="58" t="s">
        <v>1561</v>
      </c>
    </row>
    <row r="13" customFormat="false" ht="46.25" hidden="false" customHeight="false" outlineLevel="0" collapsed="false">
      <c r="A13" s="13" t="n">
        <v>7</v>
      </c>
      <c r="B13" s="7" t="s">
        <v>1549</v>
      </c>
      <c r="C13" s="7" t="s">
        <v>1562</v>
      </c>
      <c r="D13" s="7" t="s">
        <v>1545</v>
      </c>
      <c r="E13" s="12"/>
      <c r="F13" s="13" t="str">
        <f aca="false">IF(E13="","",IF(D13="Invertido",6-E13,E13))</f>
        <v/>
      </c>
      <c r="G13" s="58" t="s">
        <v>1563</v>
      </c>
      <c r="I13" s="28" t="s">
        <v>1564</v>
      </c>
    </row>
    <row r="14" customFormat="false" ht="46.25" hidden="false" customHeight="false" outlineLevel="0" collapsed="false">
      <c r="A14" s="13" t="n">
        <v>8</v>
      </c>
      <c r="B14" s="7" t="s">
        <v>1549</v>
      </c>
      <c r="C14" s="7" t="s">
        <v>1565</v>
      </c>
      <c r="D14" s="7" t="s">
        <v>1551</v>
      </c>
      <c r="E14" s="12"/>
      <c r="F14" s="13" t="str">
        <f aca="false">IF(E14="","",IF(D14="Invertido",6-E14,E14))</f>
        <v/>
      </c>
      <c r="G14" s="58" t="s">
        <v>1566</v>
      </c>
      <c r="I14" s="28" t="s">
        <v>1567</v>
      </c>
    </row>
    <row r="15" customFormat="false" ht="15" hidden="false" customHeight="false" outlineLevel="0" collapsed="false">
      <c r="A15" s="13" t="n">
        <v>9</v>
      </c>
      <c r="B15" s="7" t="s">
        <v>1549</v>
      </c>
      <c r="C15" s="7" t="s">
        <v>1568</v>
      </c>
      <c r="D15" s="7" t="s">
        <v>1545</v>
      </c>
      <c r="E15" s="12"/>
      <c r="F15" s="13" t="str">
        <f aca="false">IF(E15="","",IF(D15="Invertido",6-E15,E15))</f>
        <v/>
      </c>
      <c r="G15" s="58" t="s">
        <v>1569</v>
      </c>
    </row>
    <row r="16" customFormat="false" ht="15" hidden="false" customHeight="false" outlineLevel="0" collapsed="false">
      <c r="A16" s="13" t="n">
        <v>10</v>
      </c>
      <c r="B16" s="7" t="s">
        <v>1549</v>
      </c>
      <c r="C16" s="7" t="s">
        <v>1570</v>
      </c>
      <c r="D16" s="7" t="s">
        <v>1551</v>
      </c>
      <c r="E16" s="12"/>
      <c r="F16" s="13" t="str">
        <f aca="false">IF(E16="","",IF(D16="Invertido",6-E16,E16))</f>
        <v/>
      </c>
      <c r="G16" s="58" t="s">
        <v>1571</v>
      </c>
    </row>
    <row r="17" customFormat="false" ht="15" hidden="false" customHeight="false" outlineLevel="0" collapsed="false">
      <c r="A17" s="13" t="n">
        <v>11</v>
      </c>
      <c r="B17" s="7" t="s">
        <v>1553</v>
      </c>
      <c r="C17" s="7" t="s">
        <v>1572</v>
      </c>
      <c r="D17" s="7" t="s">
        <v>1545</v>
      </c>
      <c r="E17" s="12"/>
      <c r="F17" s="13" t="str">
        <f aca="false">IF(E17="","",IF(D17="Invertido",6-E17,E17))</f>
        <v/>
      </c>
      <c r="G17" s="58" t="s">
        <v>1573</v>
      </c>
    </row>
    <row r="18" customFormat="false" ht="15" hidden="false" customHeight="false" outlineLevel="0" collapsed="false">
      <c r="A18" s="13" t="n">
        <v>12</v>
      </c>
      <c r="B18" s="7" t="s">
        <v>1553</v>
      </c>
      <c r="C18" s="7" t="s">
        <v>1574</v>
      </c>
      <c r="D18" s="7" t="s">
        <v>1545</v>
      </c>
      <c r="E18" s="12"/>
      <c r="F18" s="13" t="str">
        <f aca="false">IF(E18="","",IF(D18="Invertido",6-E18,E18))</f>
        <v/>
      </c>
      <c r="G18" s="58" t="s">
        <v>1575</v>
      </c>
    </row>
    <row r="19" customFormat="false" ht="15" hidden="false" customHeight="false" outlineLevel="0" collapsed="false">
      <c r="A19" s="13" t="n">
        <v>13</v>
      </c>
      <c r="B19" s="7" t="s">
        <v>1553</v>
      </c>
      <c r="C19" s="7" t="s">
        <v>1576</v>
      </c>
      <c r="D19" s="7" t="s">
        <v>1545</v>
      </c>
      <c r="E19" s="12"/>
      <c r="F19" s="13" t="str">
        <f aca="false">IF(E19="","",IF(D19="Invertido",6-E19,E19))</f>
        <v/>
      </c>
      <c r="G19" s="58" t="s">
        <v>1577</v>
      </c>
    </row>
    <row r="20" customFormat="false" ht="15" hidden="false" customHeight="false" outlineLevel="0" collapsed="false">
      <c r="A20" s="13" t="n">
        <v>14</v>
      </c>
      <c r="B20" s="7" t="s">
        <v>1553</v>
      </c>
      <c r="C20" s="7" t="s">
        <v>1578</v>
      </c>
      <c r="D20" s="7" t="s">
        <v>1545</v>
      </c>
      <c r="E20" s="12"/>
      <c r="F20" s="13" t="str">
        <f aca="false">IF(E20="","",IF(D20="Invertido",6-E20,E20))</f>
        <v/>
      </c>
      <c r="G20" s="58" t="s">
        <v>1579</v>
      </c>
    </row>
    <row r="21" customFormat="false" ht="15" hidden="false" customHeight="false" outlineLevel="0" collapsed="false">
      <c r="A21" s="13" t="n">
        <v>15</v>
      </c>
      <c r="B21" s="7" t="s">
        <v>1553</v>
      </c>
      <c r="C21" s="7" t="s">
        <v>1580</v>
      </c>
      <c r="D21" s="7" t="s">
        <v>1551</v>
      </c>
      <c r="E21" s="12"/>
      <c r="F21" s="13" t="str">
        <f aca="false">IF(E21="","",IF(D21="Invertido",6-E21,E21))</f>
        <v/>
      </c>
      <c r="G21" s="58" t="s">
        <v>1581</v>
      </c>
    </row>
    <row r="22" customFormat="false" ht="15" hidden="false" customHeight="false" outlineLevel="0" collapsed="false">
      <c r="A22" s="13" t="n">
        <v>16</v>
      </c>
      <c r="B22" s="7" t="s">
        <v>1556</v>
      </c>
      <c r="C22" s="7" t="s">
        <v>1582</v>
      </c>
      <c r="D22" s="7" t="s">
        <v>1545</v>
      </c>
      <c r="E22" s="12"/>
      <c r="F22" s="13" t="str">
        <f aca="false">IF(E22="","",IF(D22="Invertido",6-E22,E22))</f>
        <v/>
      </c>
      <c r="G22" s="58" t="s">
        <v>1583</v>
      </c>
    </row>
    <row r="23" customFormat="false" ht="15" hidden="false" customHeight="false" outlineLevel="0" collapsed="false">
      <c r="A23" s="13" t="n">
        <v>17</v>
      </c>
      <c r="B23" s="7" t="s">
        <v>1556</v>
      </c>
      <c r="C23" s="7" t="s">
        <v>1584</v>
      </c>
      <c r="D23" s="7" t="s">
        <v>1551</v>
      </c>
      <c r="E23" s="12"/>
      <c r="F23" s="13" t="str">
        <f aca="false">IF(E23="","",IF(D23="Invertido",6-E23,E23))</f>
        <v/>
      </c>
      <c r="G23" s="58" t="s">
        <v>1585</v>
      </c>
    </row>
    <row r="24" customFormat="false" ht="15" hidden="false" customHeight="false" outlineLevel="0" collapsed="false">
      <c r="A24" s="13" t="n">
        <v>18</v>
      </c>
      <c r="B24" s="7" t="s">
        <v>1556</v>
      </c>
      <c r="C24" s="7" t="s">
        <v>1586</v>
      </c>
      <c r="D24" s="7" t="s">
        <v>1551</v>
      </c>
      <c r="E24" s="12"/>
      <c r="F24" s="13" t="str">
        <f aca="false">IF(E24="","",IF(D24="Invertido",6-E24,E24))</f>
        <v/>
      </c>
      <c r="G24" s="58" t="s">
        <v>1587</v>
      </c>
    </row>
    <row r="25" customFormat="false" ht="15" hidden="false" customHeight="false" outlineLevel="0" collapsed="false">
      <c r="A25" s="13" t="n">
        <v>19</v>
      </c>
      <c r="B25" s="7" t="s">
        <v>1556</v>
      </c>
      <c r="C25" s="7" t="s">
        <v>1588</v>
      </c>
      <c r="D25" s="7" t="s">
        <v>1545</v>
      </c>
      <c r="E25" s="12"/>
      <c r="F25" s="13" t="str">
        <f aca="false">IF(E25="","",IF(D25="Invertido",6-E25,E25))</f>
        <v/>
      </c>
      <c r="G25" s="58" t="s">
        <v>1589</v>
      </c>
    </row>
    <row r="26" customFormat="false" ht="15" hidden="false" customHeight="false" outlineLevel="0" collapsed="false">
      <c r="A26" s="13" t="n">
        <v>20</v>
      </c>
      <c r="B26" s="7" t="s">
        <v>1556</v>
      </c>
      <c r="C26" s="7" t="s">
        <v>1590</v>
      </c>
      <c r="D26" s="7" t="s">
        <v>1551</v>
      </c>
      <c r="E26" s="12"/>
      <c r="F26" s="13" t="str">
        <f aca="false">IF(E26="","",IF(D26="Invertido",6-E26,E26))</f>
        <v/>
      </c>
      <c r="G26" s="58" t="s">
        <v>1591</v>
      </c>
    </row>
    <row r="27" customFormat="false" ht="15" hidden="false" customHeight="false" outlineLevel="0" collapsed="false">
      <c r="A27" s="13" t="n">
        <v>21</v>
      </c>
      <c r="B27" s="7" t="s">
        <v>1559</v>
      </c>
      <c r="C27" s="7" t="s">
        <v>1592</v>
      </c>
      <c r="D27" s="7" t="s">
        <v>1545</v>
      </c>
      <c r="E27" s="12"/>
      <c r="F27" s="13" t="str">
        <f aca="false">IF(E27="","",IF(D27="Invertido",6-E27,E27))</f>
        <v/>
      </c>
      <c r="G27" s="58" t="s">
        <v>1593</v>
      </c>
    </row>
    <row r="28" customFormat="false" ht="15" hidden="false" customHeight="false" outlineLevel="0" collapsed="false">
      <c r="A28" s="13" t="n">
        <v>22</v>
      </c>
      <c r="B28" s="7" t="s">
        <v>1559</v>
      </c>
      <c r="C28" s="7" t="s">
        <v>1594</v>
      </c>
      <c r="D28" s="7" t="s">
        <v>1545</v>
      </c>
      <c r="E28" s="12"/>
      <c r="F28" s="13" t="str">
        <f aca="false">IF(E28="","",IF(D28="Invertido",6-E28,E28))</f>
        <v/>
      </c>
      <c r="G28" s="58" t="s">
        <v>1595</v>
      </c>
    </row>
    <row r="29" customFormat="false" ht="15" hidden="false" customHeight="false" outlineLevel="0" collapsed="false">
      <c r="A29" s="13" t="n">
        <v>23</v>
      </c>
      <c r="B29" s="7" t="s">
        <v>1559</v>
      </c>
      <c r="C29" s="7" t="s">
        <v>1596</v>
      </c>
      <c r="D29" s="7" t="s">
        <v>1551</v>
      </c>
      <c r="E29" s="12"/>
      <c r="F29" s="13" t="str">
        <f aca="false">IF(E29="","",IF(D29="Invertido",6-E29,E29))</f>
        <v/>
      </c>
      <c r="G29" s="58" t="s">
        <v>1597</v>
      </c>
    </row>
    <row r="30" customFormat="false" ht="15" hidden="false" customHeight="false" outlineLevel="0" collapsed="false">
      <c r="A30" s="13" t="n">
        <v>24</v>
      </c>
      <c r="B30" s="7" t="s">
        <v>1559</v>
      </c>
      <c r="C30" s="7" t="s">
        <v>1598</v>
      </c>
      <c r="D30" s="7" t="s">
        <v>1545</v>
      </c>
      <c r="E30" s="12"/>
      <c r="F30" s="13" t="str">
        <f aca="false">IF(E30="","",IF(D30="Invertido",6-E30,E30))</f>
        <v/>
      </c>
      <c r="G30" s="58" t="s">
        <v>1599</v>
      </c>
    </row>
    <row r="31" customFormat="false" ht="15" hidden="false" customHeight="false" outlineLevel="0" collapsed="false">
      <c r="A31" s="13" t="n">
        <v>25</v>
      </c>
      <c r="B31" s="7" t="s">
        <v>1559</v>
      </c>
      <c r="C31" s="7" t="s">
        <v>1600</v>
      </c>
      <c r="D31" s="7" t="s">
        <v>1545</v>
      </c>
      <c r="E31" s="12"/>
      <c r="F31" s="13" t="str">
        <f aca="false">IF(E31="","",IF(D31="Invertido",6-E31,E31))</f>
        <v/>
      </c>
      <c r="G31" s="58" t="s">
        <v>1601</v>
      </c>
    </row>
  </sheetData>
  <dataValidations count="1">
    <dataValidation allowBlank="true" errorStyle="stop" operator="between" showDropDown="false" showErrorMessage="false" showInputMessage="false" sqref="E7:E3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tru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56"/>
    <col collapsed="false" customWidth="true" hidden="false" outlineLevel="0" max="4" min="4" style="0" width="14"/>
    <col collapsed="false" customWidth="true" hidden="false" outlineLevel="0" max="5" min="5" style="0" width="3"/>
    <col collapsed="false" customWidth="true" hidden="false" outlineLevel="0" max="6" min="6" style="0" width="38"/>
    <col collapsed="false" customWidth="true" hidden="false" outlineLevel="0" max="7" min="7" style="0" width="12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1" t="s">
        <v>1602</v>
      </c>
    </row>
    <row r="2" customFormat="false" ht="15" hidden="false" customHeight="false" outlineLevel="0" collapsed="false">
      <c r="A2" s="2" t="s">
        <v>1603</v>
      </c>
    </row>
    <row r="3" customFormat="false" ht="236.55" hidden="false" customHeight="false" outlineLevel="0" collapsed="false">
      <c r="A3" s="28" t="s">
        <v>1604</v>
      </c>
    </row>
    <row r="6" customFormat="false" ht="31.5" hidden="false" customHeight="true" outlineLevel="0" collapsed="false">
      <c r="A6" s="8" t="s">
        <v>219</v>
      </c>
      <c r="B6" s="8" t="s">
        <v>221</v>
      </c>
      <c r="C6" s="8" t="s">
        <v>1538</v>
      </c>
      <c r="D6" s="8" t="s">
        <v>1605</v>
      </c>
      <c r="F6" s="8" t="s">
        <v>221</v>
      </c>
      <c r="G6" s="8" t="s">
        <v>1606</v>
      </c>
      <c r="H6" s="8" t="s">
        <v>1607</v>
      </c>
    </row>
    <row r="7" customFormat="false" ht="15" hidden="false" customHeight="false" outlineLevel="0" collapsed="false">
      <c r="A7" s="13" t="n">
        <v>1</v>
      </c>
      <c r="B7" s="7" t="s">
        <v>1608</v>
      </c>
      <c r="C7" s="7" t="s">
        <v>1609</v>
      </c>
      <c r="D7" s="12"/>
      <c r="F7" s="10" t="s">
        <v>1608</v>
      </c>
      <c r="G7" s="13" t="n">
        <f aca="false">SUMIF($B$7:$B$24,F7,$D$7:$D$24)</f>
        <v>0</v>
      </c>
      <c r="H7" s="7" t="s">
        <v>1610</v>
      </c>
    </row>
    <row r="8" customFormat="false" ht="15" hidden="false" customHeight="false" outlineLevel="0" collapsed="false">
      <c r="A8" s="13" t="n">
        <v>2</v>
      </c>
      <c r="B8" s="7" t="s">
        <v>1608</v>
      </c>
      <c r="C8" s="7" t="s">
        <v>1611</v>
      </c>
      <c r="D8" s="12"/>
      <c r="F8" s="10" t="s">
        <v>1612</v>
      </c>
      <c r="G8" s="13" t="n">
        <f aca="false">SUMIF($B$7:$B$24,F8,$D$7:$D$24)</f>
        <v>0</v>
      </c>
      <c r="H8" s="7" t="s">
        <v>1613</v>
      </c>
    </row>
    <row r="9" customFormat="false" ht="15" hidden="false" customHeight="false" outlineLevel="0" collapsed="false">
      <c r="A9" s="13" t="n">
        <v>3</v>
      </c>
      <c r="B9" s="7" t="s">
        <v>1608</v>
      </c>
      <c r="C9" s="7" t="s">
        <v>1614</v>
      </c>
      <c r="D9" s="12"/>
      <c r="F9" s="10" t="s">
        <v>1615</v>
      </c>
      <c r="G9" s="13" t="n">
        <f aca="false">SUMIF($B$7:$B$24,F9,$D$7:$D$24)</f>
        <v>0</v>
      </c>
      <c r="H9" s="7" t="s">
        <v>1616</v>
      </c>
    </row>
    <row r="10" customFormat="false" ht="15" hidden="false" customHeight="false" outlineLevel="0" collapsed="false">
      <c r="A10" s="13" t="n">
        <v>4</v>
      </c>
      <c r="B10" s="7" t="s">
        <v>1612</v>
      </c>
      <c r="C10" s="7" t="s">
        <v>1617</v>
      </c>
      <c r="D10" s="12"/>
      <c r="F10" s="10" t="s">
        <v>1618</v>
      </c>
      <c r="G10" s="13" t="n">
        <f aca="false">SUMIF($B$7:$B$24,F10,$D$7:$D$24)</f>
        <v>0</v>
      </c>
      <c r="H10" s="7" t="s">
        <v>1619</v>
      </c>
    </row>
    <row r="11" customFormat="false" ht="15" hidden="false" customHeight="false" outlineLevel="0" collapsed="false">
      <c r="A11" s="13" t="n">
        <v>5</v>
      </c>
      <c r="B11" s="7" t="s">
        <v>1612</v>
      </c>
      <c r="C11" s="7" t="s">
        <v>1620</v>
      </c>
      <c r="D11" s="12"/>
      <c r="F11" s="10" t="s">
        <v>1621</v>
      </c>
      <c r="G11" s="13" t="n">
        <f aca="false">SUMIF($B$7:$B$24,F11,$D$7:$D$24)</f>
        <v>0</v>
      </c>
      <c r="H11" s="7" t="s">
        <v>1622</v>
      </c>
    </row>
    <row r="12" customFormat="false" ht="15" hidden="false" customHeight="false" outlineLevel="0" collapsed="false">
      <c r="A12" s="13" t="n">
        <v>6</v>
      </c>
      <c r="B12" s="7" t="s">
        <v>1612</v>
      </c>
      <c r="C12" s="7" t="s">
        <v>1623</v>
      </c>
      <c r="D12" s="12"/>
      <c r="F12" s="10" t="s">
        <v>1624</v>
      </c>
      <c r="G12" s="13" t="n">
        <f aca="false">SUMIF($B$7:$B$24,F12,$D$7:$D$24)</f>
        <v>0</v>
      </c>
      <c r="H12" s="7" t="s">
        <v>1625</v>
      </c>
    </row>
    <row r="13" customFormat="false" ht="15" hidden="false" customHeight="false" outlineLevel="0" collapsed="false">
      <c r="A13" s="13" t="n">
        <v>7</v>
      </c>
      <c r="B13" s="7" t="s">
        <v>1615</v>
      </c>
      <c r="C13" s="7" t="s">
        <v>1626</v>
      </c>
      <c r="D13" s="12"/>
    </row>
    <row r="14" customFormat="false" ht="15" hidden="false" customHeight="false" outlineLevel="0" collapsed="false">
      <c r="A14" s="13" t="n">
        <v>8</v>
      </c>
      <c r="B14" s="7" t="s">
        <v>1615</v>
      </c>
      <c r="C14" s="7" t="s">
        <v>1627</v>
      </c>
      <c r="D14" s="12"/>
      <c r="F14" s="10" t="s">
        <v>1628</v>
      </c>
      <c r="G14" s="7" t="str">
        <f aca="false">IF(MAX(G7:G12)=0,"",INDEX(F7:F12,MATCH(MAX(G7:G12),G7:G12,0)))</f>
        <v/>
      </c>
      <c r="H14" s="7"/>
    </row>
    <row r="15" customFormat="false" ht="15" hidden="false" customHeight="false" outlineLevel="0" collapsed="false">
      <c r="A15" s="13" t="n">
        <v>9</v>
      </c>
      <c r="B15" s="7" t="s">
        <v>1615</v>
      </c>
      <c r="C15" s="7" t="s">
        <v>1629</v>
      </c>
      <c r="D15" s="12"/>
    </row>
    <row r="16" customFormat="false" ht="15" hidden="false" customHeight="false" outlineLevel="0" collapsed="false">
      <c r="A16" s="13" t="n">
        <v>10</v>
      </c>
      <c r="B16" s="7" t="s">
        <v>1618</v>
      </c>
      <c r="C16" s="7" t="s">
        <v>1630</v>
      </c>
      <c r="D16" s="12"/>
    </row>
    <row r="17" customFormat="false" ht="15" hidden="false" customHeight="false" outlineLevel="0" collapsed="false">
      <c r="A17" s="13" t="n">
        <v>11</v>
      </c>
      <c r="B17" s="7" t="s">
        <v>1618</v>
      </c>
      <c r="C17" s="7" t="s">
        <v>1631</v>
      </c>
      <c r="D17" s="12"/>
    </row>
    <row r="18" customFormat="false" ht="15" hidden="false" customHeight="false" outlineLevel="0" collapsed="false">
      <c r="A18" s="13" t="n">
        <v>12</v>
      </c>
      <c r="B18" s="7" t="s">
        <v>1618</v>
      </c>
      <c r="C18" s="7" t="s">
        <v>1632</v>
      </c>
      <c r="D18" s="12"/>
    </row>
    <row r="19" customFormat="false" ht="15" hidden="false" customHeight="false" outlineLevel="0" collapsed="false">
      <c r="A19" s="13" t="n">
        <v>13</v>
      </c>
      <c r="B19" s="7" t="s">
        <v>1621</v>
      </c>
      <c r="C19" s="7" t="s">
        <v>1633</v>
      </c>
      <c r="D19" s="12"/>
    </row>
    <row r="20" customFormat="false" ht="15" hidden="false" customHeight="false" outlineLevel="0" collapsed="false">
      <c r="A20" s="13" t="n">
        <v>14</v>
      </c>
      <c r="B20" s="7" t="s">
        <v>1621</v>
      </c>
      <c r="C20" s="7" t="s">
        <v>1634</v>
      </c>
      <c r="D20" s="12"/>
    </row>
    <row r="21" customFormat="false" ht="15" hidden="false" customHeight="false" outlineLevel="0" collapsed="false">
      <c r="A21" s="13" t="n">
        <v>15</v>
      </c>
      <c r="B21" s="7" t="s">
        <v>1621</v>
      </c>
      <c r="C21" s="7" t="s">
        <v>1635</v>
      </c>
      <c r="D21" s="12"/>
    </row>
    <row r="22" customFormat="false" ht="15" hidden="false" customHeight="false" outlineLevel="0" collapsed="false">
      <c r="A22" s="13" t="n">
        <v>16</v>
      </c>
      <c r="B22" s="7" t="s">
        <v>1624</v>
      </c>
      <c r="C22" s="7" t="s">
        <v>1636</v>
      </c>
      <c r="D22" s="12"/>
    </row>
    <row r="23" customFormat="false" ht="15" hidden="false" customHeight="false" outlineLevel="0" collapsed="false">
      <c r="A23" s="13" t="n">
        <v>17</v>
      </c>
      <c r="B23" s="7" t="s">
        <v>1624</v>
      </c>
      <c r="C23" s="7" t="s">
        <v>1637</v>
      </c>
      <c r="D23" s="12"/>
    </row>
    <row r="24" customFormat="false" ht="15" hidden="false" customHeight="false" outlineLevel="0" collapsed="false">
      <c r="A24" s="13" t="n">
        <v>18</v>
      </c>
      <c r="B24" s="7" t="s">
        <v>1624</v>
      </c>
      <c r="C24" s="7" t="s">
        <v>1638</v>
      </c>
      <c r="D24" s="12"/>
    </row>
  </sheetData>
  <mergeCells count="1">
    <mergeCell ref="G14:H14"/>
  </mergeCells>
  <dataValidations count="1">
    <dataValidation allowBlank="true" errorStyle="stop" operator="between" showDropDown="false" showErrorMessage="false" showInputMessage="false" sqref="D7:D2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tru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5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"/>
    <col collapsed="false" customWidth="true" hidden="false" outlineLevel="0" max="7" min="7" style="0" width="26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40"/>
  </cols>
  <sheetData>
    <row r="1" customFormat="false" ht="17.35" hidden="false" customHeight="false" outlineLevel="0" collapsed="false">
      <c r="A1" s="1" t="s">
        <v>1639</v>
      </c>
    </row>
    <row r="2" customFormat="false" ht="15" hidden="false" customHeight="false" outlineLevel="0" collapsed="false">
      <c r="A2" s="2" t="s">
        <v>1640</v>
      </c>
    </row>
    <row r="3" customFormat="false" ht="348.5" hidden="false" customHeight="false" outlineLevel="0" collapsed="false">
      <c r="A3" s="28" t="s">
        <v>1641</v>
      </c>
    </row>
    <row r="6" customFormat="false" ht="31.5" hidden="false" customHeight="true" outlineLevel="0" collapsed="false">
      <c r="A6" s="8" t="s">
        <v>219</v>
      </c>
      <c r="B6" s="8" t="s">
        <v>1642</v>
      </c>
      <c r="C6" s="8" t="s">
        <v>1538</v>
      </c>
      <c r="D6" s="8" t="s">
        <v>1643</v>
      </c>
      <c r="E6" s="8" t="s">
        <v>1644</v>
      </c>
      <c r="G6" s="8" t="s">
        <v>1642</v>
      </c>
      <c r="H6" s="8" t="s">
        <v>1645</v>
      </c>
      <c r="I6" s="8" t="s">
        <v>1646</v>
      </c>
      <c r="J6" s="8" t="s">
        <v>1647</v>
      </c>
    </row>
    <row r="7" customFormat="false" ht="15" hidden="false" customHeight="false" outlineLevel="0" collapsed="false">
      <c r="A7" s="13" t="n">
        <v>1</v>
      </c>
      <c r="B7" s="7" t="s">
        <v>1648</v>
      </c>
      <c r="C7" s="7" t="s">
        <v>1649</v>
      </c>
      <c r="D7" s="12"/>
      <c r="E7" s="12"/>
      <c r="G7" s="10" t="s">
        <v>1648</v>
      </c>
      <c r="H7" s="24" t="str">
        <f aca="false">IFERROR(AVERAGEIF($B$7:$B$22,G7,$D$7:$D$22),"")</f>
        <v/>
      </c>
      <c r="I7" s="24" t="str">
        <f aca="false">IFERROR(AVERAGEIF($B$7:$B$22,G7,$E$7:$E$22),"")</f>
        <v/>
      </c>
      <c r="J7" s="59" t="str">
        <f aca="false">IF(OR(H7="",I7=""),"",I7-H7)</f>
        <v/>
      </c>
    </row>
    <row r="8" customFormat="false" ht="15" hidden="false" customHeight="false" outlineLevel="0" collapsed="false">
      <c r="A8" s="13" t="n">
        <v>2</v>
      </c>
      <c r="B8" s="7" t="s">
        <v>1648</v>
      </c>
      <c r="C8" s="7" t="s">
        <v>1650</v>
      </c>
      <c r="D8" s="12"/>
      <c r="E8" s="12"/>
      <c r="G8" s="10" t="s">
        <v>1651</v>
      </c>
      <c r="H8" s="24" t="str">
        <f aca="false">IFERROR(AVERAGEIF($B$7:$B$22,G8,$D$7:$D$22),"")</f>
        <v/>
      </c>
      <c r="I8" s="24" t="str">
        <f aca="false">IFERROR(AVERAGEIF($B$7:$B$22,G8,$E$7:$E$22),"")</f>
        <v/>
      </c>
      <c r="J8" s="59" t="str">
        <f aca="false">IF(OR(H8="",I8=""),"",I8-H8)</f>
        <v/>
      </c>
    </row>
    <row r="9" customFormat="false" ht="15" hidden="false" customHeight="false" outlineLevel="0" collapsed="false">
      <c r="A9" s="13" t="n">
        <v>3</v>
      </c>
      <c r="B9" s="7" t="s">
        <v>1651</v>
      </c>
      <c r="C9" s="7" t="s">
        <v>1652</v>
      </c>
      <c r="D9" s="12"/>
      <c r="E9" s="12"/>
      <c r="G9" s="10" t="s">
        <v>339</v>
      </c>
      <c r="H9" s="24" t="str">
        <f aca="false">IFERROR(AVERAGEIF($B$7:$B$22,G9,$D$7:$D$22),"")</f>
        <v/>
      </c>
      <c r="I9" s="24" t="str">
        <f aca="false">IFERROR(AVERAGEIF($B$7:$B$22,G9,$E$7:$E$22),"")</f>
        <v/>
      </c>
      <c r="J9" s="59" t="str">
        <f aca="false">IF(OR(H9="",I9=""),"",I9-H9)</f>
        <v/>
      </c>
    </row>
    <row r="10" customFormat="false" ht="15" hidden="false" customHeight="false" outlineLevel="0" collapsed="false">
      <c r="A10" s="13" t="n">
        <v>4</v>
      </c>
      <c r="B10" s="7" t="s">
        <v>1651</v>
      </c>
      <c r="C10" s="7" t="s">
        <v>1653</v>
      </c>
      <c r="D10" s="12"/>
      <c r="E10" s="12"/>
      <c r="G10" s="10" t="s">
        <v>1654</v>
      </c>
      <c r="H10" s="24" t="str">
        <f aca="false">IFERROR(AVERAGEIF($B$7:$B$22,G10,$D$7:$D$22),"")</f>
        <v/>
      </c>
      <c r="I10" s="24" t="str">
        <f aca="false">IFERROR(AVERAGEIF($B$7:$B$22,G10,$E$7:$E$22),"")</f>
        <v/>
      </c>
      <c r="J10" s="59" t="str">
        <f aca="false">IF(OR(H10="",I10=""),"",I10-H10)</f>
        <v/>
      </c>
    </row>
    <row r="11" customFormat="false" ht="15" hidden="false" customHeight="false" outlineLevel="0" collapsed="false">
      <c r="A11" s="13" t="n">
        <v>5</v>
      </c>
      <c r="B11" s="7" t="s">
        <v>339</v>
      </c>
      <c r="C11" s="7" t="s">
        <v>1655</v>
      </c>
      <c r="D11" s="12"/>
      <c r="E11" s="12"/>
      <c r="G11" s="10" t="s">
        <v>1656</v>
      </c>
      <c r="H11" s="24" t="str">
        <f aca="false">IFERROR(AVERAGEIF($B$7:$B$22,G11,$D$7:$D$22),"")</f>
        <v/>
      </c>
      <c r="I11" s="24" t="str">
        <f aca="false">IFERROR(AVERAGEIF($B$7:$B$22,G11,$E$7:$E$22),"")</f>
        <v/>
      </c>
      <c r="J11" s="59" t="str">
        <f aca="false">IF(OR(H11="",I11=""),"",I11-H11)</f>
        <v/>
      </c>
    </row>
    <row r="12" customFormat="false" ht="15" hidden="false" customHeight="false" outlineLevel="0" collapsed="false">
      <c r="A12" s="13" t="n">
        <v>6</v>
      </c>
      <c r="B12" s="7" t="s">
        <v>339</v>
      </c>
      <c r="C12" s="7" t="s">
        <v>1657</v>
      </c>
      <c r="D12" s="12"/>
      <c r="E12" s="12"/>
      <c r="G12" s="10" t="s">
        <v>1658</v>
      </c>
      <c r="H12" s="24" t="str">
        <f aca="false">IFERROR(AVERAGEIF($B$7:$B$22,G12,$D$7:$D$22),"")</f>
        <v/>
      </c>
      <c r="I12" s="24" t="str">
        <f aca="false">IFERROR(AVERAGEIF($B$7:$B$22,G12,$E$7:$E$22),"")</f>
        <v/>
      </c>
      <c r="J12" s="59" t="str">
        <f aca="false">IF(OR(H12="",I12=""),"",I12-H12)</f>
        <v/>
      </c>
    </row>
    <row r="13" customFormat="false" ht="15" hidden="false" customHeight="false" outlineLevel="0" collapsed="false">
      <c r="A13" s="13" t="n">
        <v>7</v>
      </c>
      <c r="B13" s="7" t="s">
        <v>1654</v>
      </c>
      <c r="C13" s="7" t="s">
        <v>1659</v>
      </c>
      <c r="D13" s="12"/>
      <c r="E13" s="12"/>
      <c r="G13" s="10" t="s">
        <v>590</v>
      </c>
      <c r="H13" s="24" t="str">
        <f aca="false">IFERROR(AVERAGEIF($B$7:$B$22,G13,$D$7:$D$22),"")</f>
        <v/>
      </c>
      <c r="I13" s="24" t="str">
        <f aca="false">IFERROR(AVERAGEIF($B$7:$B$22,G13,$E$7:$E$22),"")</f>
        <v/>
      </c>
      <c r="J13" s="59" t="str">
        <f aca="false">IF(OR(H13="",I13=""),"",I13-H13)</f>
        <v/>
      </c>
    </row>
    <row r="14" customFormat="false" ht="15" hidden="false" customHeight="false" outlineLevel="0" collapsed="false">
      <c r="A14" s="13" t="n">
        <v>8</v>
      </c>
      <c r="B14" s="7" t="s">
        <v>1654</v>
      </c>
      <c r="C14" s="7" t="s">
        <v>1660</v>
      </c>
      <c r="D14" s="12"/>
      <c r="E14" s="12"/>
      <c r="G14" s="10" t="s">
        <v>1661</v>
      </c>
      <c r="H14" s="24" t="str">
        <f aca="false">IFERROR(AVERAGEIF($B$7:$B$22,G14,$D$7:$D$22),"")</f>
        <v/>
      </c>
      <c r="I14" s="24" t="str">
        <f aca="false">IFERROR(AVERAGEIF($B$7:$B$22,G14,$E$7:$E$22),"")</f>
        <v/>
      </c>
      <c r="J14" s="59" t="str">
        <f aca="false">IF(OR(H14="",I14=""),"",I14-H14)</f>
        <v/>
      </c>
    </row>
    <row r="15" customFormat="false" ht="15" hidden="false" customHeight="false" outlineLevel="0" collapsed="false">
      <c r="A15" s="13" t="n">
        <v>9</v>
      </c>
      <c r="B15" s="7" t="s">
        <v>1656</v>
      </c>
      <c r="C15" s="7" t="s">
        <v>1662</v>
      </c>
      <c r="D15" s="12"/>
      <c r="E15" s="12"/>
    </row>
    <row r="16" customFormat="false" ht="68.65" hidden="false" customHeight="false" outlineLevel="0" collapsed="false">
      <c r="A16" s="13" t="n">
        <v>10</v>
      </c>
      <c r="B16" s="7" t="s">
        <v>1656</v>
      </c>
      <c r="C16" s="7" t="s">
        <v>1663</v>
      </c>
      <c r="D16" s="12"/>
      <c r="E16" s="12"/>
      <c r="G16" s="28" t="s">
        <v>1664</v>
      </c>
    </row>
    <row r="17" customFormat="false" ht="15" hidden="false" customHeight="false" outlineLevel="0" collapsed="false">
      <c r="A17" s="13" t="n">
        <v>11</v>
      </c>
      <c r="B17" s="7" t="s">
        <v>1658</v>
      </c>
      <c r="C17" s="7" t="s">
        <v>1665</v>
      </c>
      <c r="D17" s="12"/>
      <c r="E17" s="12"/>
    </row>
    <row r="18" customFormat="false" ht="15" hidden="false" customHeight="false" outlineLevel="0" collapsed="false">
      <c r="A18" s="13" t="n">
        <v>12</v>
      </c>
      <c r="B18" s="7" t="s">
        <v>1658</v>
      </c>
      <c r="C18" s="7" t="s">
        <v>1666</v>
      </c>
      <c r="D18" s="12"/>
      <c r="E18" s="12"/>
    </row>
    <row r="19" customFormat="false" ht="15" hidden="false" customHeight="false" outlineLevel="0" collapsed="false">
      <c r="A19" s="13" t="n">
        <v>13</v>
      </c>
      <c r="B19" s="7" t="s">
        <v>590</v>
      </c>
      <c r="C19" s="7" t="s">
        <v>1667</v>
      </c>
      <c r="D19" s="12"/>
      <c r="E19" s="12"/>
    </row>
    <row r="20" customFormat="false" ht="15" hidden="false" customHeight="false" outlineLevel="0" collapsed="false">
      <c r="A20" s="13" t="n">
        <v>14</v>
      </c>
      <c r="B20" s="7" t="s">
        <v>590</v>
      </c>
      <c r="C20" s="7" t="s">
        <v>1668</v>
      </c>
      <c r="D20" s="12"/>
      <c r="E20" s="12"/>
    </row>
    <row r="21" customFormat="false" ht="15" hidden="false" customHeight="false" outlineLevel="0" collapsed="false">
      <c r="A21" s="13" t="n">
        <v>15</v>
      </c>
      <c r="B21" s="7" t="s">
        <v>1661</v>
      </c>
      <c r="C21" s="7" t="s">
        <v>1669</v>
      </c>
      <c r="D21" s="12"/>
      <c r="E21" s="12"/>
    </row>
    <row r="22" customFormat="false" ht="15" hidden="false" customHeight="false" outlineLevel="0" collapsed="false">
      <c r="A22" s="13" t="n">
        <v>16</v>
      </c>
      <c r="B22" s="7" t="s">
        <v>1661</v>
      </c>
      <c r="C22" s="7" t="s">
        <v>1670</v>
      </c>
      <c r="D22" s="12"/>
      <c r="E22" s="12"/>
    </row>
  </sheetData>
  <dataValidations count="1">
    <dataValidation allowBlank="true" errorStyle="stop" operator="between" showDropDown="false" showErrorMessage="false" showInputMessage="false" sqref="D7:E22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70"/>
    <col collapsed="false" customWidth="true" hidden="false" outlineLevel="0" max="4" min="4" style="0" width="6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1671</v>
      </c>
    </row>
    <row r="4" customFormat="false" ht="31.5" hidden="false" customHeight="true" outlineLevel="0" collapsed="false">
      <c r="A4" s="8" t="s">
        <v>219</v>
      </c>
      <c r="B4" s="8" t="s">
        <v>1672</v>
      </c>
      <c r="C4" s="8" t="s">
        <v>1673</v>
      </c>
      <c r="D4" s="8" t="s">
        <v>1674</v>
      </c>
      <c r="E4" s="8" t="s">
        <v>1675</v>
      </c>
    </row>
    <row r="5" customFormat="false" ht="23.85" hidden="false" customHeight="false" outlineLevel="0" collapsed="false">
      <c r="A5" s="13" t="n">
        <v>1</v>
      </c>
      <c r="B5" s="7" t="s">
        <v>1676</v>
      </c>
      <c r="C5" s="6" t="s">
        <v>1677</v>
      </c>
      <c r="D5" s="7" t="s">
        <v>1678</v>
      </c>
      <c r="E5" s="7" t="s">
        <v>1679</v>
      </c>
    </row>
    <row r="6" customFormat="false" ht="15" hidden="false" customHeight="false" outlineLevel="0" collapsed="false">
      <c r="A6" s="13" t="n">
        <v>2</v>
      </c>
      <c r="B6" s="7" t="s">
        <v>1680</v>
      </c>
      <c r="C6" s="6" t="s">
        <v>1681</v>
      </c>
      <c r="D6" s="7" t="s">
        <v>1682</v>
      </c>
      <c r="E6" s="7" t="s">
        <v>1679</v>
      </c>
    </row>
    <row r="7" customFormat="false" ht="23.85" hidden="false" customHeight="false" outlineLevel="0" collapsed="false">
      <c r="A7" s="13" t="n">
        <v>3</v>
      </c>
      <c r="B7" s="7" t="s">
        <v>1683</v>
      </c>
      <c r="C7" s="6" t="s">
        <v>1684</v>
      </c>
      <c r="D7" s="7" t="s">
        <v>1685</v>
      </c>
      <c r="E7" s="7" t="s">
        <v>1679</v>
      </c>
    </row>
  </sheetData>
  <hyperlinks>
    <hyperlink ref="C5" r:id="rId1" display="https://ipip.ori.org/"/>
    <hyperlink ref="C6" r:id="rId2" display="https://ipip.ori.org/newBigFive5broadKey.htm"/>
    <hyperlink ref="C7" r:id="rId3" display="https://www.onetcenter.org/IP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2026-10-06T20:10:22Z</dcterms:created>
  <dc:creator>openpyxl</dc:creator>
  <dc:description/>
  <dc:language>en-US</dc:language>
  <cp:lastModifiedBy/>
  <dcterms:modified xsi:type="dcterms:W3CDTF">2026-10-06T20:10:22Z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