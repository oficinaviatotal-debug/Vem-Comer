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9.xml.rels" ContentType="application/vnd.openxmlformats-package.relationships+xml"/>
  <Override PartName="/xl/worksheets/_rels/sheet7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_rels/sheet10.xml.rels" ContentType="application/vnd.openxmlformats-package.relationships+xml"/>
  <Override PartName="/xl/worksheets/_rels/sheet6.xml.rels" ContentType="application/vnd.openxmlformats-package.relationship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17.xml" ContentType="application/vnd.openxmlformats-officedocument.spreadsheetml.worksheet+xml"/>
  <Override PartName="/xl/worksheets/sheet29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8.xml" ContentType="application/vnd.openxmlformats-officedocument.spreadsheetml.worksheet+xml"/>
  <Override PartName="/xl/worksheets/sheet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 primeiro" sheetId="1" state="visible" r:id="rId3"/>
    <sheet name="Parcerias" sheetId="2" state="visible" r:id="rId4"/>
    <sheet name="Portal do parceiro" sheetId="3" state="visible" r:id="rId5"/>
    <sheet name="Escolas técnicas" sheetId="4" state="visible" r:id="rId6"/>
    <sheet name="Faculdades" sheetId="5" state="visible" r:id="rId7"/>
    <sheet name="Cursos com parceiros" sheetId="6" state="visible" r:id="rId8"/>
    <sheet name="Ideias de cursos" sheetId="7" state="visible" r:id="rId9"/>
    <sheet name="Cursos próprios" sheetId="8" state="visible" r:id="rId10"/>
    <sheet name="Padrão do curso" sheetId="9" state="visible" r:id="rId11"/>
    <sheet name="Catálogo por região" sheetId="10" state="visible" r:id="rId12"/>
    <sheet name="Canais" sheetId="11" state="visible" r:id="rId13"/>
    <sheet name="Sistema vivo" sheetId="12" state="visible" r:id="rId14"/>
    <sheet name="IA para o dono" sheetId="13" state="visible" r:id="rId15"/>
    <sheet name="Comandos de voz" sheetId="14" state="visible" r:id="rId16"/>
    <sheet name="Benchmark" sheetId="15" state="visible" r:id="rId17"/>
    <sheet name="Prioridade" sheetId="16" state="visible" r:id="rId18"/>
    <sheet name="Matching" sheetId="17" state="visible" r:id="rId19"/>
    <sheet name="Matching exemplo" sheetId="18" state="visible" r:id="rId20"/>
    <sheet name="Geografia" sheetId="19" state="visible" r:id="rId21"/>
    <sheet name="Cadastro" sheetId="20" state="visible" r:id="rId22"/>
    <sheet name="Entrevista do currículo" sheetId="21" state="visible" r:id="rId23"/>
    <sheet name="Tarefas por área" sheetId="22" state="visible" r:id="rId24"/>
    <sheet name="Currículos" sheetId="23" state="visible" r:id="rId25"/>
    <sheet name="Perfil" sheetId="24" state="visible" r:id="rId26"/>
    <sheet name="Interesses" sheetId="25" state="visible" r:id="rId27"/>
    <sheet name="Desempenho" sheetId="26" state="visible" r:id="rId28"/>
    <sheet name="Importar equipe" sheetId="27" state="visible" r:id="rId29"/>
    <sheet name="RH parceiro" sheetId="28" state="visible" r:id="rId30"/>
    <sheet name="Fontes" sheetId="29" state="visible" r:id="rId31"/>
  </sheets>
  <definedNames>
    <definedName function="false" hidden="true" localSheetId="9" name="_xlnm._FilterDatabase" vbProcedure="false">'Catálogo por região'!$A$17:$H$1017</definedName>
    <definedName function="false" hidden="true" localSheetId="13" name="_xlnm._FilterDatabase" vbProcedure="false">'Comandos de voz'!$A$4:$G$36</definedName>
    <definedName function="false" hidden="true" localSheetId="5" name="_xlnm._FilterDatabase" vbProcedure="false">'Cursos com parceiros'!$A$4:$H$35</definedName>
    <definedName function="false" hidden="true" localSheetId="6" name="_xlnm._FilterDatabase" vbProcedure="false">'Ideias de cursos'!$A$7:$J$78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<sst xmlns="http://schemas.openxmlformats.org/spreadsheetml/2006/main" count="8822" uniqueCount="2920">
  <si>
    <t xml:space="preserve">Planilhas do Vem Trabalhar</t>
  </si>
  <si>
    <t xml:space="preserve">Versão 5, de 06/10/2026: 200 cursos por região, padrão do curso, RH terceirizado e importação da equipe. Tudo que é pergunta é de tocar. Células amarelas com letra azul são suas.</t>
  </si>
  <si>
    <t xml:space="preserve">Em uma frase</t>
  </si>
  <si>
    <t xml:space="preserve">Um método só, do trabalhador autônomo até a empresa de mil funcionários: a mesma pessoa se cadastra, aprende, é avaliada com transparência e é encontrada pela vaga certa.</t>
  </si>
  <si>
    <t xml:space="preserve">Como os cursos funcionam</t>
  </si>
  <si>
    <t xml:space="preserve">Cursos nossos: só cursos livres, feitos por nós, com certificado de curso livre. Não usamos cursos de terceiros (Sebrae, Fundação Bradesco, Sistema S): ficaram de fora.</t>
  </si>
  <si>
    <t xml:space="preserve">Cursos técnicos e faculdades: entram por parceria. A escola paga ao Vem Trabalhar 50% da matrícula e 30% de cada mensalidade (como entendi sua fala; confirmar com cada escola).</t>
  </si>
  <si>
    <t xml:space="preserve">A comissão nunca muda a nota do match. O curso de parceiro aparece com a etiqueta 'Parceiro', para a pessoa saber que existe um acordo.</t>
  </si>
  <si>
    <t xml:space="preserve">O que tem em cada aba (toque no nome para ir)</t>
  </si>
  <si>
    <t xml:space="preserve">Parcerias</t>
  </si>
  <si>
    <t xml:space="preserve">Regra de comissão (50% da matrícula, 30% da mensalidade), calculadora e regras do acordo com escolas.</t>
  </si>
  <si>
    <t xml:space="preserve">Portal do parceiro</t>
  </si>
  <si>
    <t xml:space="preserve">O passo a passo da escola: cadastra a si, os cursos e as empresas; aparece ao aluno com a etiqueta Parceiro; comissão nasce da matrícula e das mensalidades.</t>
  </si>
  <si>
    <t xml:space="preserve">Escolas técnicas</t>
  </si>
  <si>
    <t xml:space="preserve">Lista de escolas técnicas parceiras, para você preencher: curso, matrícula, mensalidade, comissão por aluno, situação.</t>
  </si>
  <si>
    <t xml:space="preserve">Faculdades</t>
  </si>
  <si>
    <t xml:space="preserve">A mesma lista, para faculdades e universidades.</t>
  </si>
  <si>
    <t xml:space="preserve">Cursos com parceiros</t>
  </si>
  <si>
    <t xml:space="preserve">31 cursos que queremos com escola parceira (técnicos e mistos), com quem emite o documento.</t>
  </si>
  <si>
    <t xml:space="preserve">Ideias de cursos</t>
  </si>
  <si>
    <t xml:space="preserve">71 cursos livres nossos, com a atividade de toque de cada um. A meta de 200 se acompanha no topo.</t>
  </si>
  <si>
    <t xml:space="preserve">Cursos próprios</t>
  </si>
  <si>
    <t xml:space="preserve">Como é um curso nosso: lições curtas, atividade de toque, reteste, prova final, certificado.</t>
  </si>
  <si>
    <t xml:space="preserve">Padrão do curso</t>
  </si>
  <si>
    <t xml:space="preserve">As 7 partes de toda lição (vídeo, leitura, desenho, atividade, reflexão, teste, certificado), com o link da lição de exemplo.</t>
  </si>
  <si>
    <t xml:space="preserve">Catálogo por região</t>
  </si>
  <si>
    <t xml:space="preserve">200 cursos livres nossos em cada região: núcleo nacional e cursos da região, com o placar no topo.</t>
  </si>
  <si>
    <t xml:space="preserve">Canais</t>
  </si>
  <si>
    <t xml:space="preserve">14 formas de entrar e de manter contato todo dia com as pessoas, com o que já pode rodar em 13/10.</t>
  </si>
  <si>
    <t xml:space="preserve">Sistema vivo</t>
  </si>
  <si>
    <t xml:space="preserve">Os agentes que propõem melhoria (benchmark, cursos, vídeos, match) e quem aprova.</t>
  </si>
  <si>
    <t xml:space="preserve">IA para o dono</t>
  </si>
  <si>
    <t xml:space="preserve">Os 3 pilares do texto da V4 (conteúdo em escala, análise de dados, imagens) e como cada um vira função, por voz ou foto, para cada dono que comprar o software.</t>
  </si>
  <si>
    <t xml:space="preserve">Comandos de voz</t>
  </si>
  <si>
    <t xml:space="preserve">32 frases de exemplo: o dono, o gerente, o candidato e você falam, e o sistema faz, pedindo confirmação quando mexe com dinheiro.</t>
  </si>
  <si>
    <t xml:space="preserve">Benchmark</t>
  </si>
  <si>
    <t xml:space="preserve">O que vimos de novo no mercado e onde entra. O agente de benchmark acrescenta linhas; a coluna amarela é a sua decisão.</t>
  </si>
  <si>
    <t xml:space="preserve">Prioridade</t>
  </si>
  <si>
    <t xml:space="preserve">Para cada região, quais setores pedem mais curso. Avaliação nossa; toque na célula para mudar.</t>
  </si>
  <si>
    <t xml:space="preserve">Matching</t>
  </si>
  <si>
    <t xml:space="preserve">As 20 perguntas ao candidato e as 20 correspondentes na vaga, com regra de comparação e peso.</t>
  </si>
  <si>
    <t xml:space="preserve">Matching exemplo</t>
  </si>
  <si>
    <t xml:space="preserve">Um candidato inventado contra uma vaga inventada, para ver como a nota sai.</t>
  </si>
  <si>
    <t xml:space="preserve">Geografia</t>
  </si>
  <si>
    <t xml:space="preserve">Casa, trabalho e local de estudo: distância, tempo de deslocamento, estudo a distância ou presencial.</t>
  </si>
  <si>
    <t xml:space="preserve">Cadastro</t>
  </si>
  <si>
    <t xml:space="preserve">As telas de entrada do candidato, do funcionário e da empresa: tudo de tocar, com a base legal de cada dado.</t>
  </si>
  <si>
    <t xml:space="preserve">Entrevista do currículo</t>
  </si>
  <si>
    <t xml:space="preserve">A pessoa tira uma foto ou fala; o sistema pergunta onde trabalhou, o que fazia, quanto tempo, o que aprendeu; quem nunca trabalhou é guiado por áreas; no fim, oferece um curso.</t>
  </si>
  <si>
    <t xml:space="preserve">Tarefas por área</t>
  </si>
  <si>
    <t xml:space="preserve">13 áreas com cargos, tarefas, ferramentas, habilidades e cursos: as bolinhas que a pessoa toca em vez de digitar.</t>
  </si>
  <si>
    <t xml:space="preserve">Perfil</t>
  </si>
  <si>
    <t xml:space="preserve">Teste de jeito de ser (Big Five do IPIP, domínio público): 25 frases.</t>
  </si>
  <si>
    <t xml:space="preserve">Interesses</t>
  </si>
  <si>
    <t xml:space="preserve">Teste de interesses de carreira (modelo RIASEC): 18 frases nossas.</t>
  </si>
  <si>
    <t xml:space="preserve">Desempenho</t>
  </si>
  <si>
    <t xml:space="preserve">Avaliação de competências do funcionário: 16 frases, uma versão para ele e outra para o gestor.</t>
  </si>
  <si>
    <t xml:space="preserve">Importar equipe</t>
  </si>
  <si>
    <t xml:space="preserve">A empresa manda a equipe por planilha, foto ou voz; o sistema propõe competências por cargo e cursos.</t>
  </si>
  <si>
    <t xml:space="preserve">RH parceiro</t>
  </si>
  <si>
    <t xml:space="preserve">RH terceirizado: taxa de R$ 200, preço do RH, 30% do Vem Trabalhar, roteiro de 20 perguntas e relatório.</t>
  </si>
  <si>
    <t xml:space="preserve">Currículos</t>
  </si>
  <si>
    <t xml:space="preserve">26 modelos de currículo e 9 paletas de cor.</t>
  </si>
  <si>
    <t xml:space="preserve">Fontes</t>
  </si>
  <si>
    <t xml:space="preserve">De onde vieram os testes.</t>
  </si>
  <si>
    <t xml:space="preserve">Mesmo método, qualquer tamanho de empresa</t>
  </si>
  <si>
    <t xml:space="preserve">Quem é</t>
  </si>
  <si>
    <t xml:space="preserve">O que vê na tela (proposta nossa)</t>
  </si>
  <si>
    <t xml:space="preserve">Plano por vagas por mês (decisão do GD, 06/10/2026)</t>
  </si>
  <si>
    <t xml:space="preserve">Quem trabalha sozinho (MEI, autônomo)</t>
  </si>
  <si>
    <t xml:space="preserve">Uma vaga de 1 toque, perfil pronto, cursos de gestão do pequeno negócio.</t>
  </si>
  <si>
    <t xml:space="preserve">0 a 10 vagas: R$ 300</t>
  </si>
  <si>
    <t xml:space="preserve">Empresa com 2 a 50 funcionários</t>
  </si>
  <si>
    <t xml:space="preserve">As mesmas telas, com a vaga montada em 20 respostas de toque e a lista de candidatos já ordenada.</t>
  </si>
  <si>
    <t xml:space="preserve">0 a 10 vagas: R$ 300; 11 a 500: R$ 500</t>
  </si>
  <si>
    <t xml:space="preserve">Empresa com 51 a 500 funcionários</t>
  </si>
  <si>
    <t xml:space="preserve">Acrescenta a avaliação de desempenho dos funcionários e os relatórios por setor.</t>
  </si>
  <si>
    <t xml:space="preserve">11 a 500 vagas: R$ 500</t>
  </si>
  <si>
    <t xml:space="preserve">Empresa com 501 a 1.000 funcionários</t>
  </si>
  <si>
    <t xml:space="preserve">Acrescenta vários gestores, vários locais e relatórios por região.</t>
  </si>
  <si>
    <t xml:space="preserve">501 a 1.000 vagas: R$ 1.000</t>
  </si>
  <si>
    <t xml:space="preserve">Mais de 1.000</t>
  </si>
  <si>
    <t xml:space="preserve">Mesmo método, com contrato sob medida.</t>
  </si>
  <si>
    <t xml:space="preserve">Acima de 1.000 vagas: negociado</t>
  </si>
  <si>
    <t xml:space="preserve">Observação: o GD disse '11 a 50 = R$ 500' e '51 a 500 = R$ 500'; tratei como uma faixa só, de 11 a 500. O candidato paga R$ 80 (mensal ou uma vez: pergunta aberta). Semana de teste grátis, sem baixar nada.</t>
  </si>
  <si>
    <t xml:space="preserve">Regras que valem em tudo</t>
  </si>
  <si>
    <t xml:space="preserve">Ninguém é eliminado por nota ou por prova. A prova final de um curso só dá o certificado; quem não passa refaz com perguntas novas.</t>
  </si>
  <si>
    <t xml:space="preserve">A pessoa vê o que a empresa vê sobre ela e vê por que a nota deu aquele valor, com o curso que a faria subir.</t>
  </si>
  <si>
    <t xml:space="preserve">Dados sensíveis não entram no match: raça ou cor, religião, estado civil, filhos, gravidez, idade como filtro, saúde, orientação sexual, opinião política.</t>
  </si>
  <si>
    <t xml:space="preserve">Aviso de vaga, de curso e uso das respostas para estudo ou marketing só com consentimento separado, desmarcado de início e revogável.</t>
  </si>
  <si>
    <t xml:space="preserve">Funcionário sabe que está sendo avaliado e vê o próprio resultado. Avaliação serve para desenvolver, não para demitir de forma automática.</t>
  </si>
  <si>
    <t xml:space="preserve">Teste de jeito de ser e de interesses é para a pessoa se conhecer. Só vai para a empresa se ela autorizar, e nunca elimina.</t>
  </si>
  <si>
    <t xml:space="preserve">Certificado do Vem Trabalhar é de curso livre. Diploma técnico ou superior só instituição credenciada emite.</t>
  </si>
  <si>
    <t xml:space="preserve">Curso de parceiro leva a etiqueta 'Parceiro'. A comissão não entra na conta do match.</t>
  </si>
  <si>
    <t xml:space="preserve">O banco de pessoas só cresce com consentimento: nada de lista comprada, nada de raspar Instagram, nada de mensagem fora do aceite.</t>
  </si>
  <si>
    <t xml:space="preserve">Antes de abrir o cadastro e de fechar a primeira parceria: revisão de advogado (LGPD, Lei 9.029/1995, testes na seleção, avaliação de funcionários, contrato com as escolas).</t>
  </si>
  <si>
    <t xml:space="preserve">Limites desta versão (para ninguém se enganar)</t>
  </si>
  <si>
    <t xml:space="preserve">O catálogo por região tem 200 ideias de cursos em cada região, ainda não escritos. Cada curso precisa ser escrito, revisado por quem conhece o ofício e testado com alunos.</t>
  </si>
  <si>
    <t xml:space="preserve">Nenhuma escola foi contatada. As abas de parceiros estão com um exemplo inventado e a linha do Centec, que você citou; o resto está vazio, esperando os nomes.</t>
  </si>
  <si>
    <t xml:space="preserve">50% da matrícula e 30% da mensalidade é como entendi sua fala. A calculadora supõe 12 mensalidades de comissão; é uma premissa que você muda.</t>
  </si>
  <si>
    <t xml:space="preserve">As frases do teste de jeito de ser são do IPIP (domínio público), traduzidas por nós. Precisam de revisão de um psicólogo antes de uso real em seleção.</t>
  </si>
  <si>
    <t xml:space="preserve">Os pesos do matching e as velocidades de deslocamento são ponto de partida (premissas nossas). Serão calibrados com contratações reais.</t>
  </si>
  <si>
    <t xml:space="preserve">Os modelos de currículo e as notas de leitura automática (ATS) são avaliação nossa, ainda sem teste em programas de empresas.</t>
  </si>
  <si>
    <t xml:space="preserve">As prioridades por região são avaliação nossa, sem dados. Os dados de região que eu tinha levantado saíram, como você pediu.</t>
  </si>
  <si>
    <t xml:space="preserve">A entrevista do currículo, as tarefas por área e os comandos de voz são desenho nosso, ainda sem teste com pessoas reais. As listas por área precisam de revisão de quem conhece cada ofício.</t>
  </si>
  <si>
    <t xml:space="preserve">O texto da V4 e o anúncio da gentia.tech vieram de você; eu não abri esses sites. O que está em Benchmark é o que você mandou, não pesquisa minha.</t>
  </si>
  <si>
    <t xml:space="preserve">O que preciso de você (nada trava o trabalho)</t>
  </si>
  <si>
    <t xml:space="preserve">1. A comissão de 30% da mensalidade vale por todas as mensalidades do aluno ou só por um período? E vale igual para curso técnico e para faculdade?</t>
  </si>
  <si>
    <t xml:space="preserve">2. Quais escolas técnicas e faculdades você já fala? As abas esperam os nomes.</t>
  </si>
  <si>
    <t xml:space="preserve">3. O nome da nossa escola é 'Vem Aprender'? Ouvi 'venha aprender' na sua fala. Por enquanto usei 'Vem Trabalhar · Escola'.</t>
  </si>
  <si>
    <t xml:space="preserve">4. O currículo básico por voz fica de graça e os R$ 80 são o pacote completo? Recomendo isso para o informal entrar sem barreira.</t>
  </si>
  <si>
    <t xml:space="preserve">5. Os R$ 80 do candidato são por mês ou pagamento único?</t>
  </si>
  <si>
    <t xml:space="preserve">6. Conte, por voz, a sua metodologia de gestão comercial dos 25 anos. O app deve nascer dela, e esta planilha vira o esqueleto.</t>
  </si>
  <si>
    <t xml:space="preserve">7. Aprovar que um advogado revise termos, testes, avaliação e o contrato com as escolas.</t>
  </si>
  <si>
    <t xml:space="preserve">8. Quando puder, passe os dados das faculdades e universidades que estão chamando alunos: eu coloco nas abas de parceiros.</t>
  </si>
  <si>
    <t xml:space="preserve">9. Quer que eu agende o benchmark semanal (aba Sistema vivo)? Ele só pesquisa e me manda um relatório curto; não muda nada no sistema.</t>
  </si>
  <si>
    <t xml:space="preserve">10. Currículo na semana de teste: só ver na tela, e baixar o PDF libera com o pagamento. Combinado? (Se o básico for grátis, como na pergunta 4, o PDF simples sai de graça.)</t>
  </si>
  <si>
    <t xml:space="preserve">11. A taxa de R$ 200 do RH terceirizado é paga uma vez (cadastro) ou todo mês?</t>
  </si>
  <si>
    <t xml:space="preserve">12. O RH terceirizado precisa ser psicólogo? Na lei, teste psicológico é só de psicólogo; sem isso, o RH faz entrevista e relatório, e o teste do app fica como autoconhecimento.</t>
  </si>
  <si>
    <t xml:space="preserve">Parcerias com escolas: como o Vem Trabalhar ganha</t>
  </si>
  <si>
    <t xml:space="preserve">A escola paga ao Vem Trabalhar uma comissão sobre cada aluno que trouxermos. Letra azul em fundo amarelo = você pode mudar.</t>
  </si>
  <si>
    <t xml:space="preserve">Regra</t>
  </si>
  <si>
    <t xml:space="preserve">Valor</t>
  </si>
  <si>
    <t xml:space="preserve">Observação</t>
  </si>
  <si>
    <t xml:space="preserve">Comissão sobre a matrícula</t>
  </si>
  <si>
    <t xml:space="preserve">Como entendi sua fala: 50% da matrícula.</t>
  </si>
  <si>
    <t xml:space="preserve">Comissão sobre cada mensalidade</t>
  </si>
  <si>
    <t xml:space="preserve">Como entendi sua fala: 30% da mensalidade.</t>
  </si>
  <si>
    <t xml:space="preserve">Quantas mensalidades pagam comissão</t>
  </si>
  <si>
    <t xml:space="preserve">Premissa nossa (12). Pergunta aberta: vale por todas as mensalidades ou por um período?</t>
  </si>
  <si>
    <t xml:space="preserve">Quem paga</t>
  </si>
  <si>
    <t xml:space="preserve">A escola</t>
  </si>
  <si>
    <t xml:space="preserve">O aluno paga o preço normal da escola. A comissão sai da escola, não de um acréscimo ao aluno.</t>
  </si>
  <si>
    <t xml:space="preserve">Exemplo de conta (valores inventados)</t>
  </si>
  <si>
    <t xml:space="preserve">Como calcula</t>
  </si>
  <si>
    <t xml:space="preserve">Matrícula (R$)</t>
  </si>
  <si>
    <t xml:space="preserve">Exemplo</t>
  </si>
  <si>
    <t xml:space="preserve">Mensalidade (R$)</t>
  </si>
  <si>
    <t xml:space="preserve">Alunos que trouxemos</t>
  </si>
  <si>
    <t xml:space="preserve">Comissão por aluno (R$)</t>
  </si>
  <si>
    <t xml:space="preserve">matrícula x comissão da matrícula + mensalidade x comissão da mensalidade x número de mensalidades</t>
  </si>
  <si>
    <t xml:space="preserve">Receita do Vem Trabalhar com esses alunos (R$)</t>
  </si>
  <si>
    <t xml:space="preserve">comissão por aluno x alunos</t>
  </si>
  <si>
    <t xml:space="preserve">Regras do acordo com escola</t>
  </si>
  <si>
    <t xml:space="preserve">Contrato por escola, revisado por advogado, dizendo quem paga, quando e como o Vem Trabalhar comprova que o aluno veio por nós.</t>
  </si>
  <si>
    <t xml:space="preserve">A escola precisa ser credenciada. Para faculdade, conferir no cadastro oficial do MEC (e-MEC); para escola técnica, no sistema de ensino do estado. Endereços e regras a confirmar.</t>
  </si>
  <si>
    <t xml:space="preserve">Curso de parceiro leva a etiqueta 'Parceiro'. A comissão nunca muda a nota do match nem a ordem das vagas.</t>
  </si>
  <si>
    <t xml:space="preserve">O diploma é da escola. O Vem Trabalhar nunca chama o próprio certificado de diploma.</t>
  </si>
  <si>
    <t xml:space="preserve">Meta de acompanhamento: quantos alunos por escola, quantos concluíram, quantos conseguiram vaga.</t>
  </si>
  <si>
    <t xml:space="preserve">Portal do parceiro: a escola se cadastra e cadastra os próprios cursos e empresas</t>
  </si>
  <si>
    <t xml:space="preserve">Cada escola entra por um link, preenche tudo de toque e aparece para os alunos junto com os cursos livres, com a etiqueta 'Parceiro'.</t>
  </si>
  <si>
    <t xml:space="preserve">Etapa</t>
  </si>
  <si>
    <t xml:space="preserve">O que a escola faz</t>
  </si>
  <si>
    <t xml:space="preserve">O que o aluno vê</t>
  </si>
  <si>
    <t xml:space="preserve">Dado guardado</t>
  </si>
  <si>
    <t xml:space="preserve">1. Quero ser parceiro</t>
  </si>
  <si>
    <t xml:space="preserve">Entra por um link ou QR, informa nome, CNPJ, cidade, responsável e aceita o contrato.</t>
  </si>
  <si>
    <t xml:space="preserve">Nada ainda.</t>
  </si>
  <si>
    <t xml:space="preserve">Dados da instituição e aceite do contrato (data e versão).</t>
  </si>
  <si>
    <t xml:space="preserve">O aceite é do contrato revisado por advogado. Sem aceite, não publica nada.</t>
  </si>
  <si>
    <t xml:space="preserve">2. Conferência</t>
  </si>
  <si>
    <t xml:space="preserve">Espera a conferência.</t>
  </si>
  <si>
    <t xml:space="preserve">Situação: pendente, conferida ou recusada.</t>
  </si>
  <si>
    <t xml:space="preserve">Nós conferimos o credenciamento (faculdade: cadastro oficial do MEC; escola técnica: sistema de ensino do estado). Endereços e regras a confirmar.</t>
  </si>
  <si>
    <t xml:space="preserve">3. Cadastrar curso</t>
  </si>
  <si>
    <t xml:space="preserve">Informa curso, tipo (técnico, graduação, curso livre pago), modalidade, CEP do local, duração, matrícula, mensalidade, vagas por turma, início e link de inscrição.</t>
  </si>
  <si>
    <t xml:space="preserve">Ficha do curso com preço, local, tempo de deslocamento e se é EAD ou presencial.</t>
  </si>
  <si>
    <t xml:space="preserve">Curso, preço, vagas, local (CEP) e data de início.</t>
  </si>
  <si>
    <t xml:space="preserve">Preço publicado é o preço normal da escola. O aluno não paga a mais por vir pelo Vem Trabalhar.</t>
  </si>
  <si>
    <t xml:space="preserve">4. Cadastrar empresas</t>
  </si>
  <si>
    <t xml:space="preserve">Informa as empresas que contratam seus alunos (convênios de estágio e emprego) e as vagas que elas têm.</t>
  </si>
  <si>
    <t xml:space="preserve">As vagas aparecem no match, como as de qualquer empresa.</t>
  </si>
  <si>
    <t xml:space="preserve">Empresa e vaga ligadas à escola.</t>
  </si>
  <si>
    <t xml:space="preserve">A empresa precisa aceitar. As vagas seguem o mesmo método de 20 perguntas.</t>
  </si>
  <si>
    <t xml:space="preserve">5. Publicar</t>
  </si>
  <si>
    <t xml:space="preserve">Toca em publicar.</t>
  </si>
  <si>
    <t xml:space="preserve">O curso aparece na tela de cursos, depois dos cursos livres que cobrem a mesma habilidade, com a etiqueta 'Parceiro'.</t>
  </si>
  <si>
    <t xml:space="preserve">Curso publicado, data e versão.</t>
  </si>
  <si>
    <t xml:space="preserve">A comissão nunca muda a nota do match nem a ordem.</t>
  </si>
  <si>
    <t xml:space="preserve">6. Interesse do aluno</t>
  </si>
  <si>
    <t xml:space="preserve">Recebe o aviso de que alguém tem interesse (WhatsApp ou e-mail).</t>
  </si>
  <si>
    <t xml:space="preserve">Toca em 'Tenho interesse' e autoriza a escola a falar com ele.</t>
  </si>
  <si>
    <t xml:space="preserve">Interesse, consentimento do aluno, data e código de origem.</t>
  </si>
  <si>
    <t xml:space="preserve">Só vai para a escola quem tocou e autorizou. Nada de lista vendida.</t>
  </si>
  <si>
    <t xml:space="preserve">7. Matrícula</t>
  </si>
  <si>
    <t xml:space="preserve">Marca 'matriculou' e anexa o comprovante.</t>
  </si>
  <si>
    <t xml:space="preserve">Confirma 'me matriculei' no app.</t>
  </si>
  <si>
    <t xml:space="preserve">Matrícula confirmada pelas duas pontas.</t>
  </si>
  <si>
    <t xml:space="preserve">A comissão da matrícula só nasce quando escola e aluno confirmam. Se houver divergência, a conta fica em análise.</t>
  </si>
  <si>
    <t xml:space="preserve">8. Mensalidades</t>
  </si>
  <si>
    <t xml:space="preserve">Todo mês marca quem pagou ou envia a lista.</t>
  </si>
  <si>
    <t xml:space="preserve">Vê o curso na sua trilha.</t>
  </si>
  <si>
    <t xml:space="preserve">Mensalidade paga, por aluno e mês.</t>
  </si>
  <si>
    <t xml:space="preserve">A comissão da mensalidade nasce a cada mês pago. A escola aceita auditoria no contrato.</t>
  </si>
  <si>
    <t xml:space="preserve">9. Extrato</t>
  </si>
  <si>
    <t xml:space="preserve">Vê o que deve, o que pagou e paga por Pix.</t>
  </si>
  <si>
    <t xml:space="preserve">-</t>
  </si>
  <si>
    <t xml:space="preserve">Comissões a receber e pagas, por escola, aluno e mês.</t>
  </si>
  <si>
    <t xml:space="preserve">Vencimento e multa por atraso ficam no contrato (advogado).</t>
  </si>
  <si>
    <t xml:space="preserve">Escolas técnicas parceiras</t>
  </si>
  <si>
    <t xml:space="preserve">Primeira linha é um EXEMPLO inventado. Preencha as seguintes, uma escola por linha. Comissão por aluno é fórmula.</t>
  </si>
  <si>
    <t xml:space="preserve">Instituição</t>
  </si>
  <si>
    <t xml:space="preserve">Cidade e UF</t>
  </si>
  <si>
    <t xml:space="preserve">Curso</t>
  </si>
  <si>
    <t xml:space="preserve">Modalidade</t>
  </si>
  <si>
    <t xml:space="preserve">Comissão sobre a mensalidade</t>
  </si>
  <si>
    <t xml:space="preserve">Credenciamento conferido?</t>
  </si>
  <si>
    <t xml:space="preserve">Contato</t>
  </si>
  <si>
    <t xml:space="preserve">Situação</t>
  </si>
  <si>
    <t xml:space="preserve">EXEMPLO: Escola Técnica Modelo (inventada)</t>
  </si>
  <si>
    <t xml:space="preserve">Cidade Exemplo, UF</t>
  </si>
  <si>
    <t xml:space="preserve">Técnico em Eletrotécnica</t>
  </si>
  <si>
    <t xml:space="preserve">Presencial</t>
  </si>
  <si>
    <t xml:space="preserve">Sim</t>
  </si>
  <si>
    <t xml:space="preserve">Pessoa Exemplo, (00) 00000-0000</t>
  </si>
  <si>
    <t xml:space="preserve">Conversando</t>
  </si>
  <si>
    <t xml:space="preserve">Linha de exemplo; pode apagar.</t>
  </si>
  <si>
    <t xml:space="preserve">Centec (citado pelo GD)</t>
  </si>
  <si>
    <t xml:space="preserve">Elétrica, eletrônica, mecânica e mecânica de moto (citados pelo GD)</t>
  </si>
  <si>
    <t xml:space="preserve">Não contatada</t>
  </si>
  <si>
    <t xml:space="preserve">Dados a confirmar: cidade, valores e credenciamento. Eu não abri o site.</t>
  </si>
  <si>
    <t xml:space="preserve">Faculdades e universidades parceiras</t>
  </si>
  <si>
    <t xml:space="preserve">Primeira linha é um EXEMPLO inventado. Preencha as seguintes, uma instituição por linha. Comissão por aluno é fórmula.</t>
  </si>
  <si>
    <t xml:space="preserve">EXEMPLO: Faculdade Modelo (inventada)</t>
  </si>
  <si>
    <t xml:space="preserve">Administração (graduação)</t>
  </si>
  <si>
    <t xml:space="preserve">EAD</t>
  </si>
  <si>
    <t xml:space="preserve">Proposta enviada</t>
  </si>
  <si>
    <t xml:space="preserve">Cursos que queremos com escola parceira</t>
  </si>
  <si>
    <t xml:space="preserve">Técnicos (diploma da escola) e mistos (teoria nossa, prática com parceiro). Coloque o parceiro na coluna amarela quando houver.</t>
  </si>
  <si>
    <t xml:space="preserve">Nº</t>
  </si>
  <si>
    <t xml:space="preserve">Setor</t>
  </si>
  <si>
    <t xml:space="preserve">Tipo</t>
  </si>
  <si>
    <t xml:space="preserve">Horas-alvo</t>
  </si>
  <si>
    <t xml:space="preserve">Quem emite o documento</t>
  </si>
  <si>
    <t xml:space="preserve">Parceiro</t>
  </si>
  <si>
    <t xml:space="preserve">Gestão e carreira</t>
  </si>
  <si>
    <t xml:space="preserve">Libras básico</t>
  </si>
  <si>
    <t xml:space="preserve">Misto (teoria nossa, prática com parceiro)</t>
  </si>
  <si>
    <t xml:space="preserve">Vem Trabalhar (certificado) + parceiro confirma a prática</t>
  </si>
  <si>
    <t xml:space="preserve">Sem parceiro</t>
  </si>
  <si>
    <t xml:space="preserve">Turismo e gastronomia</t>
  </si>
  <si>
    <t xml:space="preserve">Auxiliar de cozinha</t>
  </si>
  <si>
    <t xml:space="preserve">Barista</t>
  </si>
  <si>
    <t xml:space="preserve">Padaria e confeitaria básica</t>
  </si>
  <si>
    <t xml:space="preserve">Pizzaiolo e churrasqueiro</t>
  </si>
  <si>
    <t xml:space="preserve">Bartender</t>
  </si>
  <si>
    <t xml:space="preserve">Indústria</t>
  </si>
  <si>
    <t xml:space="preserve">Metrologia básica (paquímetro e micrômetro)</t>
  </si>
  <si>
    <t xml:space="preserve">Operador de empilhadeira</t>
  </si>
  <si>
    <t xml:space="preserve">Técnico (escola parceira)</t>
  </si>
  <si>
    <t xml:space="preserve">Escola credenciada (diploma técnico)</t>
  </si>
  <si>
    <t xml:space="preserve">Eletricista (curso técnico)</t>
  </si>
  <si>
    <t xml:space="preserve">escola define</t>
  </si>
  <si>
    <t xml:space="preserve">Eletrônica (curso técnico)</t>
  </si>
  <si>
    <t xml:space="preserve">Mecânica de motos</t>
  </si>
  <si>
    <t xml:space="preserve">Mecânica automotiva básica</t>
  </si>
  <si>
    <t xml:space="preserve">Soldagem</t>
  </si>
  <si>
    <t xml:space="preserve">Manutenção industrial</t>
  </si>
  <si>
    <t xml:space="preserve">Operador de máquinas CNC</t>
  </si>
  <si>
    <t xml:space="preserve">Costura industrial</t>
  </si>
  <si>
    <t xml:space="preserve">Saúde e cuidados</t>
  </si>
  <si>
    <t xml:space="preserve">Técnico de enfermagem</t>
  </si>
  <si>
    <t xml:space="preserve">Técnico em saúde bucal</t>
  </si>
  <si>
    <t xml:space="preserve">Atendente de farmácia</t>
  </si>
  <si>
    <t xml:space="preserve">Cuidador de idosos</t>
  </si>
  <si>
    <t xml:space="preserve">Primeiros socorros no trabalho</t>
  </si>
  <si>
    <t xml:space="preserve">Agro</t>
  </si>
  <si>
    <t xml:space="preserve">Apicultura básica</t>
  </si>
  <si>
    <t xml:space="preserve">Piscicultura básica</t>
  </si>
  <si>
    <t xml:space="preserve">Agroindústria artesanal (queijo, doces)</t>
  </si>
  <si>
    <t xml:space="preserve">Operador de máquinas agrícolas</t>
  </si>
  <si>
    <t xml:space="preserve">Construção</t>
  </si>
  <si>
    <t xml:space="preserve">Pintura de parede</t>
  </si>
  <si>
    <t xml:space="preserve">Instalação hidráulica básica</t>
  </si>
  <si>
    <t xml:space="preserve">Eletricista predial</t>
  </si>
  <si>
    <t xml:space="preserve">Pedreiro de acabamento</t>
  </si>
  <si>
    <t xml:space="preserve">Técnico e tecnologia</t>
  </si>
  <si>
    <t xml:space="preserve">Suporte técnico em informática</t>
  </si>
  <si>
    <t xml:space="preserve">Redes de computadores (curso técnico)</t>
  </si>
  <si>
    <t xml:space="preserve">Cursos livres nossos: ideias</t>
  </si>
  <si>
    <t xml:space="preserve">Só cursos livres, feitos por nós, com certificado de curso livre. As colunas das regiões leem a aba Prioridade. Técnicos e mistos estão na aba Cursos com parceiros.</t>
  </si>
  <si>
    <t xml:space="preserve">Ideias de cursos livres</t>
  </si>
  <si>
    <t xml:space="preserve">Meta por região (aba Catálogo por região)</t>
  </si>
  <si>
    <t xml:space="preserve">Estes são os cursos que já existiam; o catálogo completo por região está na aba Catálogo por região.</t>
  </si>
  <si>
    <t xml:space="preserve">Atividade de toque</t>
  </si>
  <si>
    <t xml:space="preserve">Norte</t>
  </si>
  <si>
    <t xml:space="preserve">Nordeste</t>
  </si>
  <si>
    <t xml:space="preserve">Centro-Oeste</t>
  </si>
  <si>
    <t xml:space="preserve">Sudeste</t>
  </si>
  <si>
    <t xml:space="preserve">Sul</t>
  </si>
  <si>
    <t xml:space="preserve">Comércio e serviços</t>
  </si>
  <si>
    <t xml:space="preserve">Atendimento de balcão</t>
  </si>
  <si>
    <t xml:space="preserve">Simulador: escolha a resposta ao cliente</t>
  </si>
  <si>
    <t xml:space="preserve">Operador de caixa</t>
  </si>
  <si>
    <t xml:space="preserve">Contar o troco arrastando notas e moedas</t>
  </si>
  <si>
    <t xml:space="preserve">Atendimento ao cliente por WhatsApp</t>
  </si>
  <si>
    <t xml:space="preserve">Ordenar mensagens e escolher o tom</t>
  </si>
  <si>
    <t xml:space="preserve">Vendas para quem está começando</t>
  </si>
  <si>
    <t xml:space="preserve">Role-play: contornar uma objeção</t>
  </si>
  <si>
    <t xml:space="preserve">Atendimento por telefone</t>
  </si>
  <si>
    <t xml:space="preserve">Escolher a frase certa em cada ligação</t>
  </si>
  <si>
    <t xml:space="preserve">Como lidar com cliente difícil</t>
  </si>
  <si>
    <t xml:space="preserve">Escolher o caminho em histórias curtas</t>
  </si>
  <si>
    <t xml:space="preserve">Organização e reposição de loja</t>
  </si>
  <si>
    <t xml:space="preserve">Arrastar produtos para a prateleira certa</t>
  </si>
  <si>
    <t xml:space="preserve">Controle de estoque simples</t>
  </si>
  <si>
    <t xml:space="preserve">Contar e conferir a lista</t>
  </si>
  <si>
    <t xml:space="preserve">Vender pelas redes sociais</t>
  </si>
  <si>
    <t xml:space="preserve">Montar uma postagem de venda</t>
  </si>
  <si>
    <t xml:space="preserve">Foto de produto com o celular</t>
  </si>
  <si>
    <t xml:space="preserve">Comparar fotos boas e ruins</t>
  </si>
  <si>
    <t xml:space="preserve">Marketing e publicidade para pequenos negócios</t>
  </si>
  <si>
    <t xml:space="preserve">Montar uma campanha em 3 passos</t>
  </si>
  <si>
    <t xml:space="preserve">Instagram para negócios</t>
  </si>
  <si>
    <t xml:space="preserve">Escolher legenda e horário</t>
  </si>
  <si>
    <t xml:space="preserve">Canva para quem nunca usou</t>
  </si>
  <si>
    <t xml:space="preserve">Refazer um cartaz passo a passo</t>
  </si>
  <si>
    <t xml:space="preserve">Preço de venda e lucro</t>
  </si>
  <si>
    <t xml:space="preserve">Calculadora guiada</t>
  </si>
  <si>
    <t xml:space="preserve">Atendimento a pessoas com deficiência</t>
  </si>
  <si>
    <t xml:space="preserve">Escolher a atitude certa</t>
  </si>
  <si>
    <t xml:space="preserve">Atendimento em salão de beleza</t>
  </si>
  <si>
    <t xml:space="preserve">Simulador de agenda e recepção</t>
  </si>
  <si>
    <t xml:space="preserve">Vendedor de loja de roupas</t>
  </si>
  <si>
    <t xml:space="preserve">Combinar peças para o cliente</t>
  </si>
  <si>
    <t xml:space="preserve">Vendedor de materiais de construção</t>
  </si>
  <si>
    <t xml:space="preserve">Escolher o material certo para cada obra</t>
  </si>
  <si>
    <t xml:space="preserve">Atendimento em posto de combustível</t>
  </si>
  <si>
    <t xml:space="preserve">Ordenar os passos do abastecimento seguro</t>
  </si>
  <si>
    <t xml:space="preserve">Recepcionista</t>
  </si>
  <si>
    <t xml:space="preserve">Simulador de recepção e agenda</t>
  </si>
  <si>
    <t xml:space="preserve">Como fazer um currículo que chama atenção</t>
  </si>
  <si>
    <t xml:space="preserve">Corrigir um currículo ruim</t>
  </si>
  <si>
    <t xml:space="preserve">Entrevista de emprego: como se preparar</t>
  </si>
  <si>
    <t xml:space="preserve">Simulador de entrevista por voz</t>
  </si>
  <si>
    <t xml:space="preserve">Oratória: perder o medo de falar</t>
  </si>
  <si>
    <t xml:space="preserve">Gravar 30 segundos e ouvir de volta</t>
  </si>
  <si>
    <t xml:space="preserve">Primeiro emprego: rotina, direitos e deveres</t>
  </si>
  <si>
    <t xml:space="preserve">Escolher a atitude em cada situação</t>
  </si>
  <si>
    <t xml:space="preserve">Informática básica no celular e no computador</t>
  </si>
  <si>
    <t xml:space="preserve">Tarefas guiadas na tela</t>
  </si>
  <si>
    <t xml:space="preserve">Excel do zero</t>
  </si>
  <si>
    <t xml:space="preserve">Planilha de exercício dentro do app</t>
  </si>
  <si>
    <t xml:space="preserve">Comunicação e escrita profissional</t>
  </si>
  <si>
    <t xml:space="preserve">Reescrever mensagens</t>
  </si>
  <si>
    <t xml:space="preserve">Educação financeira para quem trabalha</t>
  </si>
  <si>
    <t xml:space="preserve">Montar o orçamento do mês</t>
  </si>
  <si>
    <t xml:space="preserve">Organização do tempo</t>
  </si>
  <si>
    <t xml:space="preserve">Arrastar tarefas para a agenda</t>
  </si>
  <si>
    <t xml:space="preserve">Trabalho em equipe</t>
  </si>
  <si>
    <t xml:space="preserve">Histórias de escolha em grupo</t>
  </si>
  <si>
    <t xml:space="preserve">Liderança para quem vai ser chefe pela primeira vez</t>
  </si>
  <si>
    <t xml:space="preserve">Decidir casos reais do dia a dia</t>
  </si>
  <si>
    <t xml:space="preserve">Inteligência emocional no trabalho</t>
  </si>
  <si>
    <t xml:space="preserve">Reconhecer a emoção em cenas curtas</t>
  </si>
  <si>
    <t xml:space="preserve">Como abrir e cuidar do MEI</t>
  </si>
  <si>
    <t xml:space="preserve">Passo a passo com o checklist</t>
  </si>
  <si>
    <t xml:space="preserve">Direitos trabalhistas básicos</t>
  </si>
  <si>
    <t xml:space="preserve">Verdadeiro ou falso (advogado revisa)</t>
  </si>
  <si>
    <t xml:space="preserve">Português para o trabalho</t>
  </si>
  <si>
    <t xml:space="preserve">Corrigir frases e e-mails</t>
  </si>
  <si>
    <t xml:space="preserve">Matemática do dia a dia</t>
  </si>
  <si>
    <t xml:space="preserve">Porcentagem, troco e regra de três com jogos</t>
  </si>
  <si>
    <t xml:space="preserve">Inglês básico para atendimento</t>
  </si>
  <si>
    <t xml:space="preserve">Ouvir e escolher a resposta</t>
  </si>
  <si>
    <t xml:space="preserve">Espanhol básico para atendimento</t>
  </si>
  <si>
    <t xml:space="preserve">Garçom e atendimento no salão</t>
  </si>
  <si>
    <t xml:space="preserve">Simulador de mesa e comanda</t>
  </si>
  <si>
    <t xml:space="preserve">Boas práticas de manipulação de alimentos</t>
  </si>
  <si>
    <t xml:space="preserve">Arrastar o certo e o errado na cozinha</t>
  </si>
  <si>
    <t xml:space="preserve">Atendimento em hotel e pousada</t>
  </si>
  <si>
    <t xml:space="preserve">Simulador de check-in</t>
  </si>
  <si>
    <t xml:space="preserve">Camareira e governança</t>
  </si>
  <si>
    <t xml:space="preserve">Ordenar a arrumação de um quarto</t>
  </si>
  <si>
    <t xml:space="preserve">Atendimento ao turista em inglês</t>
  </si>
  <si>
    <t xml:space="preserve">Ouvir e responder</t>
  </si>
  <si>
    <t xml:space="preserve">Montagem e entrega de marmita e delivery</t>
  </si>
  <si>
    <t xml:space="preserve">Montar um pedido sem erro</t>
  </si>
  <si>
    <t xml:space="preserve">Cardápio, preço e CMV para quem tem restaurante</t>
  </si>
  <si>
    <t xml:space="preserve">Calculadora guiada (liga com o Vem Comer)</t>
  </si>
  <si>
    <t xml:space="preserve">Organização de eventos pequenos</t>
  </si>
  <si>
    <t xml:space="preserve">Montar o cronograma de uma festa</t>
  </si>
  <si>
    <t xml:space="preserve">Segurança no trabalho: noções (não substitui NR)</t>
  </si>
  <si>
    <t xml:space="preserve">Achar o risco na foto</t>
  </si>
  <si>
    <t xml:space="preserve">5S na prática</t>
  </si>
  <si>
    <t xml:space="preserve">Arrumar uma bancada arrastando</t>
  </si>
  <si>
    <t xml:space="preserve">Leitura de desenho técnico básico</t>
  </si>
  <si>
    <t xml:space="preserve">Ligar a vista à peça</t>
  </si>
  <si>
    <t xml:space="preserve">Qualidade na produção</t>
  </si>
  <si>
    <t xml:space="preserve">Separar peça boa e peça com defeito</t>
  </si>
  <si>
    <t xml:space="preserve">Introdução à Indústria 4.0</t>
  </si>
  <si>
    <t xml:space="preserve">Ligar conceito e exemplo</t>
  </si>
  <si>
    <t xml:space="preserve">Auxiliar de produção em alimentos</t>
  </si>
  <si>
    <t xml:space="preserve">Ordenar as etapas da linha</t>
  </si>
  <si>
    <t xml:space="preserve">Transporte e logística</t>
  </si>
  <si>
    <t xml:space="preserve">Logística e estoque</t>
  </si>
  <si>
    <t xml:space="preserve">Montar um fluxo de entrada e saída</t>
  </si>
  <si>
    <t xml:space="preserve">Entregador de moto e bicicleta: rotina e segurança</t>
  </si>
  <si>
    <t xml:space="preserve">Escolher a atitude no trânsito</t>
  </si>
  <si>
    <t xml:space="preserve">Direção defensiva (não substitui curso exigido por lei)</t>
  </si>
  <si>
    <t xml:space="preserve">Situações de trânsito em vídeo curto</t>
  </si>
  <si>
    <t xml:space="preserve">Conferência e separação de pedidos</t>
  </si>
  <si>
    <t xml:space="preserve">Separar itens sem erro</t>
  </si>
  <si>
    <t xml:space="preserve">Almoxarifado</t>
  </si>
  <si>
    <t xml:space="preserve">Organizar o almoxarifado arrastando</t>
  </si>
  <si>
    <t xml:space="preserve">Motorista de aplicativo: atendimento e segurança</t>
  </si>
  <si>
    <t xml:space="preserve">Escolher o caminho em histórias</t>
  </si>
  <si>
    <t xml:space="preserve">Recepção em clínicas</t>
  </si>
  <si>
    <t xml:space="preserve">Simulador de agendamento e acolhimento</t>
  </si>
  <si>
    <t xml:space="preserve">Humanização no atendimento em saúde</t>
  </si>
  <si>
    <t xml:space="preserve">Escolher a atitude em cada cena</t>
  </si>
  <si>
    <t xml:space="preserve">Boas práticas no campo</t>
  </si>
  <si>
    <t xml:space="preserve">Achar o erro na foto da propriedade</t>
  </si>
  <si>
    <t xml:space="preserve">Gestão da propriedade rural</t>
  </si>
  <si>
    <t xml:space="preserve">Planilha de custo e receita</t>
  </si>
  <si>
    <t xml:space="preserve">Vendas diretas do produtor (feira e WhatsApp)</t>
  </si>
  <si>
    <t xml:space="preserve">Montar a oferta da semana</t>
  </si>
  <si>
    <t xml:space="preserve">Cooperativismo e associativismo</t>
  </si>
  <si>
    <t xml:space="preserve">Casos de decisão em grupo</t>
  </si>
  <si>
    <t xml:space="preserve">Segurança em obra: noções (não substitui NR)</t>
  </si>
  <si>
    <t xml:space="preserve">Achar o risco na obra</t>
  </si>
  <si>
    <t xml:space="preserve">Orçamento de pequenas obras</t>
  </si>
  <si>
    <t xml:space="preserve">Calculadora de material</t>
  </si>
  <si>
    <t xml:space="preserve">Lógica de programação para iniciantes</t>
  </si>
  <si>
    <t xml:space="preserve">Montar blocos de lógica arrastando</t>
  </si>
  <si>
    <t xml:space="preserve">Usar IA no trabalho</t>
  </si>
  <si>
    <t xml:space="preserve">Comparar um bom e um mau pedido</t>
  </si>
  <si>
    <t xml:space="preserve">Segurança digital e golpes</t>
  </si>
  <si>
    <t xml:space="preserve">Identificar o golpe em mensagens</t>
  </si>
  <si>
    <t xml:space="preserve">Edição de vídeo no celular</t>
  </si>
  <si>
    <t xml:space="preserve">Montar um vídeo curto</t>
  </si>
  <si>
    <t xml:space="preserve">Criação de site simples</t>
  </si>
  <si>
    <t xml:space="preserve">Montar uma página arrastando blocos</t>
  </si>
  <si>
    <t xml:space="preserve">Como é um curso do Vem Trabalhar</t>
  </si>
  <si>
    <t xml:space="preserve">Curso livre feito por nós, com lições curtas, atividades de toque, reteste e prova final que dá certificado e nunca elimina.</t>
  </si>
  <si>
    <t xml:space="preserve">Parte</t>
  </si>
  <si>
    <t xml:space="preserve">Como é</t>
  </si>
  <si>
    <t xml:space="preserve">Tamanho</t>
  </si>
  <si>
    <t xml:space="preserve">De 3 a 20 horas por curso, em lições de 5 a 8 minutos. Cabe numa pausa e no 3G.</t>
  </si>
  <si>
    <t xml:space="preserve">Cada lição</t>
  </si>
  <si>
    <t xml:space="preserve">1) texto curto (até 150 palavras) com figura; 2) áudio opcional com voz calma; 3) atividade de toque (arrastar, ordenar, escolher a resposta do cliente, contar o troco); 4) mini-pergunta.</t>
  </si>
  <si>
    <t xml:space="preserve">Reteste</t>
  </si>
  <si>
    <t xml:space="preserve">Perguntas que já erradas voltam em outro dia, com outra redação. Cada habilidade tem pelo menos 3 perguntas diferentes no banco.</t>
  </si>
  <si>
    <t xml:space="preserve">Prova final</t>
  </si>
  <si>
    <t xml:space="preserve">10 a 20 perguntas sorteadas do banco. Nota mínima 70%. Pode refazer quantas vezes quiser, com perguntas novas. Nunca elimina ninguém.</t>
  </si>
  <si>
    <t xml:space="preserve">Certificado</t>
  </si>
  <si>
    <t xml:space="preserve">Certificado de conclusão de curso livre, em PDF, com código e QR para a empresa conferir. Não é diploma. Diploma técnico só uma escola credenciada pode emitir.</t>
  </si>
  <si>
    <t xml:space="preserve">Quem escreve</t>
  </si>
  <si>
    <t xml:space="preserve">A IA escreve o rascunho; uma pessoa revisa antes de publicar (conteúdo errado em curso é risco para nós).</t>
  </si>
  <si>
    <t xml:space="preserve">Melhoria contínua</t>
  </si>
  <si>
    <t xml:space="preserve">O app mede onde as pessoas erram e saem; a pergunta mais errada vira lição melhor. Cada curso tem versão e data da revisão.</t>
  </si>
  <si>
    <t xml:space="preserve">Funciona em rede ruim</t>
  </si>
  <si>
    <t xml:space="preserve">Lição baixa em poucos KB, texto primeiro, imagem leve, áudio só se a pessoa tocar. Continua de onde parou.</t>
  </si>
  <si>
    <t xml:space="preserve">Liga com o match</t>
  </si>
  <si>
    <t xml:space="preserve">Cada curso concluído soma habilidade e certificado no perfil. Na vaga, o app mostra: 'faça este curso e sua nota sobe de 62% para 74%'.</t>
  </si>
  <si>
    <t xml:space="preserve">O que não substitui</t>
  </si>
  <si>
    <t xml:space="preserve">Treinamentos que a lei exige de instituição credenciada (NR com carga e instrutor, CNH, cursos de conselhos como COREN) e curso técnico com diploma.</t>
  </si>
  <si>
    <t xml:space="preserve">Padrão de todo curso nosso: a cara do Vem</t>
  </si>
  <si>
    <t xml:space="preserve">Material nosso, da nossa escola. Cada lição tem estas partes. Toque no link para ver a lição de exemplo (Operador de caixa).</t>
  </si>
  <si>
    <t xml:space="preserve">Abrir a lição de exemplo</t>
  </si>
  <si>
    <t xml:space="preserve">Parte da lição</t>
  </si>
  <si>
    <t xml:space="preserve">O que tem</t>
  </si>
  <si>
    <t xml:space="preserve">Jeito leve (2G, celular simples)</t>
  </si>
  <si>
    <t xml:space="preserve">Na lição de exemplo</t>
  </si>
  <si>
    <t xml:space="preserve">Vídeo curto</t>
  </si>
  <si>
    <t xml:space="preserve">1 a 3 minutos, com legenda escrita. Pessoa real ou desenho animado nosso.</t>
  </si>
  <si>
    <t xml:space="preserve">Sempre tem a versão em texto e áudio; o vídeo baixa em qualidade baixa ou nem baixa.</t>
  </si>
  <si>
    <t xml:space="preserve">Rascunho animado do caixa contando o troco, com legenda e narração.</t>
  </si>
  <si>
    <t xml:space="preserve">Leia ou ouça</t>
  </si>
  <si>
    <t xml:space="preserve">Texto curto, frases simples, palavras da profissão explicadas. Botão para ouvir.</t>
  </si>
  <si>
    <t xml:space="preserve">Texto puro, pesa quase nada. O áudio sai do próprio celular.</t>
  </si>
  <si>
    <t xml:space="preserve">Três hábitos do troco certo, com o botão Ouvir.</t>
  </si>
  <si>
    <t xml:space="preserve">Converse com o desenho</t>
  </si>
  <si>
    <t xml:space="preserve">Um desenho da situação real; a pessoa toca no que está certo ou errado e recebe a explicação.</t>
  </si>
  <si>
    <t xml:space="preserve">Desenho em traço leve (vetor), sem foto pesada.</t>
  </si>
  <si>
    <t xml:space="preserve">Caixa com 2 erros para achar: gaveta aberta e nota longe do cliente.</t>
  </si>
  <si>
    <t xml:space="preserve">Fazer a tarefa na tela: arrastar, montar, escolher, ordenar. Erro vira dica, nunca castigo.</t>
  </si>
  <si>
    <t xml:space="preserve">Funciona sem internet depois de aberta.</t>
  </si>
  <si>
    <t xml:space="preserve">Montar R$ 12,50 de troco com notas e moedas.</t>
  </si>
  <si>
    <t xml:space="preserve">Para pensar</t>
  </si>
  <si>
    <t xml:space="preserve">Uma pergunta que liga a lição à vida da pessoa. Ela escreve ou fala. Fica só com ela.</t>
  </si>
  <si>
    <t xml:space="preserve">Texto livre; nada é enviado sem ela querer.</t>
  </si>
  <si>
    <t xml:space="preserve">Lembrar de um troco errado e o que o caixa poderia ter feito.</t>
  </si>
  <si>
    <t xml:space="preserve">Teste rápido com reteste</t>
  </si>
  <si>
    <t xml:space="preserve">3 a 5 perguntas. Errou: explica e faz uma parecida. Ninguém reprova.</t>
  </si>
  <si>
    <t xml:space="preserve">Perguntas de toque, poucas letras.</t>
  </si>
  <si>
    <t xml:space="preserve">3 perguntas, cada uma com reteste.</t>
  </si>
  <si>
    <t xml:space="preserve">Prova final e certificado</t>
  </si>
  <si>
    <t xml:space="preserve">No fim do curso. Nota mínima 70% para o certificado; quem não passa refaz com perguntas novas.</t>
  </si>
  <si>
    <t xml:space="preserve">Certificado em PDF leve e no currículo do Vem Trabalhar.</t>
  </si>
  <si>
    <t xml:space="preserve">Exemplo do certificado de curso livre com o nome.</t>
  </si>
  <si>
    <t xml:space="preserve">Regras de todo curso</t>
  </si>
  <si>
    <t xml:space="preserve">Material próprio: texto, desenho, vídeo e atividades nossos. Curso de terceiros só com autorização por escrito.</t>
  </si>
  <si>
    <t xml:space="preserve">Identidade do Vem: as cores e as letras do app, um personagem guia original (na lição de exemplo, Dona Cida), linguagem simples.</t>
  </si>
  <si>
    <t xml:space="preserve">Cada lição em até 15 minutos; dá para parar e voltar.</t>
  </si>
  <si>
    <t xml:space="preserve">Acessível: ouvir o texto, letra que aumenta, vídeo com legenda. Libras com parceiro surdo, quando houver.</t>
  </si>
  <si>
    <t xml:space="preserve">Produção: a IA faz o rascunho; uma pessoa que conhece o ofício revisa antes de publicar. Erro achado pelo aluno volta para revisão.</t>
  </si>
  <si>
    <t xml:space="preserve">Certificado é de curso livre. Nunca chamar de diploma nem prometer vaga.</t>
  </si>
  <si>
    <t xml:space="preserve">Curso de segurança ou de profissão regulada é sempre 'noções' e diz que não substitui o curso exigido por lei.</t>
  </si>
  <si>
    <t xml:space="preserve">Catálogo de cursos livres nossos: 200 por região</t>
  </si>
  <si>
    <t xml:space="preserve">Decisão do GD (06/10/2026): 200 cursos por região, podendo repetir. Núcleo nacional (igual em todas) + cursos da região. São ideias: ainda não escritos.</t>
  </si>
  <si>
    <t xml:space="preserve">Meta por região</t>
  </si>
  <si>
    <t xml:space="preserve">Região</t>
  </si>
  <si>
    <t xml:space="preserve">Cursos</t>
  </si>
  <si>
    <t xml:space="preserve">Núcleo nacional</t>
  </si>
  <si>
    <t xml:space="preserve">Da região</t>
  </si>
  <si>
    <t xml:space="preserve">Falta para a meta</t>
  </si>
  <si>
    <t xml:space="preserve">Horas de curso</t>
  </si>
  <si>
    <t xml:space="preserve">Cursos diferentes no catálogo</t>
  </si>
  <si>
    <t xml:space="preserve">Um curso da região pode aparecer em mais de uma região (ex.: turismo no Norte e no Nordeste). O motivo é avaliação nossa, sem dados oficiais.</t>
  </si>
  <si>
    <t xml:space="preserve">Bloco</t>
  </si>
  <si>
    <t xml:space="preserve">Horas</t>
  </si>
  <si>
    <t xml:space="preserve">Por que nesta região</t>
  </si>
  <si>
    <t xml:space="preserve">vale para todas as regiões</t>
  </si>
  <si>
    <t xml:space="preserve">Ergonomia no posto de trabalho: noções</t>
  </si>
  <si>
    <t xml:space="preserve">Desenho para tocar no erro: achar a postura errada</t>
  </si>
  <si>
    <t xml:space="preserve">EPI: uso e cuidado, noções (não substitui NR-6)</t>
  </si>
  <si>
    <t xml:space="preserve">Jogo de memória: ligar cada EPI ao seu risco</t>
  </si>
  <si>
    <t xml:space="preserve">Prevenção de incêndio: noções (não substitui brigada)</t>
  </si>
  <si>
    <t xml:space="preserve">Vídeo curto com pergunta: qual extintor usar?</t>
  </si>
  <si>
    <t xml:space="preserve">Melhoria contínua: planejar, fazer, checar e agir</t>
  </si>
  <si>
    <t xml:space="preserve">Estudo de caso: resolver um problema da linha</t>
  </si>
  <si>
    <t xml:space="preserve">Produção enxuta: evitar desperdício na linha</t>
  </si>
  <si>
    <t xml:space="preserve">Desenho para tocar no erro: achar o desperdício</t>
  </si>
  <si>
    <t xml:space="preserve">Resíduos na fábrica: separar e reciclar</t>
  </si>
  <si>
    <t xml:space="preserve">Arrastar e soltar: cada resíduo no coletor certo</t>
  </si>
  <si>
    <t xml:space="preserve">Agrotóxicos com segurança: noções (não substitui NR-31)</t>
  </si>
  <si>
    <t xml:space="preserve">Desenho para tocar no erro: achar o risco no depósito</t>
  </si>
  <si>
    <t xml:space="preserve">Horta: do canteiro à venda</t>
  </si>
  <si>
    <t xml:space="preserve">Montar o passo a passo: preparar o canteiro</t>
  </si>
  <si>
    <t xml:space="preserve">Galinha caipira: criação básica</t>
  </si>
  <si>
    <t xml:space="preserve">Quiz com reteste: cuidados com o galinheiro</t>
  </si>
  <si>
    <t xml:space="preserve">Cuidado com o solo e a água na propriedade</t>
  </si>
  <si>
    <t xml:space="preserve">Estudo de caso: a nascente que secou</t>
  </si>
  <si>
    <t xml:space="preserve">Compostagem e adubo orgânico</t>
  </si>
  <si>
    <t xml:space="preserve">Arrastar e soltar: o que vai e o que não vai na composteira</t>
  </si>
  <si>
    <t xml:space="preserve">Crédito rural: como se preparar para pedir</t>
  </si>
  <si>
    <t xml:space="preserve">Planilha de exercício: listar os gastos da safra</t>
  </si>
  <si>
    <t xml:space="preserve">Manutenção básica de celular e computador: noções</t>
  </si>
  <si>
    <t xml:space="preserve">Montar o passo a passo: limpar e liberar espaço</t>
  </si>
  <si>
    <t xml:space="preserve">Proteção de dados pessoais (LGPD) no trabalho</t>
  </si>
  <si>
    <t xml:space="preserve">Quiz com reteste: pode ou não pode compartilhar?</t>
  </si>
  <si>
    <t xml:space="preserve">Arquivos na nuvem: guardar e compartilhar</t>
  </si>
  <si>
    <t xml:space="preserve">Montar o passo a passo: salvar e enviar um arquivo</t>
  </si>
  <si>
    <t xml:space="preserve">Dados para iniciantes: tabelas e gráficos</t>
  </si>
  <si>
    <t xml:space="preserve">Planilha de exercício: montar o gráfico de vendas</t>
  </si>
  <si>
    <t xml:space="preserve">Suporte ao usuário por chat e telefone</t>
  </si>
  <si>
    <t xml:space="preserve">Simulador de atendimento: resolver o chamado</t>
  </si>
  <si>
    <t xml:space="preserve">Digitação e atalhos de teclado</t>
  </si>
  <si>
    <t xml:space="preserve">Jogo de memória: o atalho e o que ele faz</t>
  </si>
  <si>
    <t xml:space="preserve">Instalação de câmeras de segurança: noções</t>
  </si>
  <si>
    <t xml:space="preserve">Desenho para tocar no erro: a câmera mal posicionada</t>
  </si>
  <si>
    <t xml:space="preserve">Receptivo turístico: atender quem chega</t>
  </si>
  <si>
    <t xml:space="preserve">Simulador de atendimento: receber o grupo</t>
  </si>
  <si>
    <t xml:space="preserve">Ficha técnica: padronizar receitas e porções</t>
  </si>
  <si>
    <t xml:space="preserve">Planilha de exercício: montar a ficha de um prato</t>
  </si>
  <si>
    <t xml:space="preserve">Aproveitamento integral dos alimentos</t>
  </si>
  <si>
    <t xml:space="preserve">Arrastar e soltar: casca, talo e sobra viram o quê?</t>
  </si>
  <si>
    <t xml:space="preserve">Comida de rua: organizar a barraca e o atendimento</t>
  </si>
  <si>
    <t xml:space="preserve">Desenho para tocar no erro: a barraca bagunçada</t>
  </si>
  <si>
    <t xml:space="preserve">Pagamentos no balcão: cartão, maquininha e transferência</t>
  </si>
  <si>
    <t xml:space="preserve">Simulador de atendimento: cobrar e conferir o pagamento</t>
  </si>
  <si>
    <t xml:space="preserve">Pós-venda: como fazer o cliente voltar</t>
  </si>
  <si>
    <t xml:space="preserve">Reflexão escrita: o que faz você voltar a uma loja?</t>
  </si>
  <si>
    <t xml:space="preserve">Ambulante e feirante: organizar o ponto de venda</t>
  </si>
  <si>
    <t xml:space="preserve">Montar o passo a passo: abrir a banca do dia</t>
  </si>
  <si>
    <t xml:space="preserve">Busca de emprego pelo celular: passo a passo</t>
  </si>
  <si>
    <t xml:space="preserve">Montar o passo a passo: criar o perfil e se candidatar</t>
  </si>
  <si>
    <t xml:space="preserve">Ética e postura no trabalho</t>
  </si>
  <si>
    <t xml:space="preserve">Estudo de caso: o colega que pediu um favor errado</t>
  </si>
  <si>
    <t xml:space="preserve">Negociação no dia a dia</t>
  </si>
  <si>
    <t xml:space="preserve">Reflexão falada: gravar sua proposta e ouvir de volta</t>
  </si>
  <si>
    <t xml:space="preserve">Sair das dívidas: organizar e negociar</t>
  </si>
  <si>
    <t xml:space="preserve">Planilha de exercício: listar as dívidas e os juros</t>
  </si>
  <si>
    <t xml:space="preserve">Carga e descarga: postura e cuidados</t>
  </si>
  <si>
    <t xml:space="preserve">Vídeo curto com pergunta: qual o jeito certo de levantar?</t>
  </si>
  <si>
    <t xml:space="preserve">Roteiro de entregas: planejar o caminho</t>
  </si>
  <si>
    <t xml:space="preserve">Arrastar e soltar: ordenar as paradas no mapa</t>
  </si>
  <si>
    <t xml:space="preserve">Documentos da carga e nota fiscal: o básico</t>
  </si>
  <si>
    <t xml:space="preserve">Jogo de memória: o documento e para que serve</t>
  </si>
  <si>
    <t xml:space="preserve">Embalagem e proteção de mercadorias</t>
  </si>
  <si>
    <t xml:space="preserve">Desenho para tocar no erro: a caixa mal embalada</t>
  </si>
  <si>
    <t xml:space="preserve">Recebimento de mercadorias: conferir e registrar</t>
  </si>
  <si>
    <t xml:space="preserve">Estudo de caso: a entrega chegou faltando item</t>
  </si>
  <si>
    <t xml:space="preserve">Higiene e limpeza em ambientes de saúde: noções</t>
  </si>
  <si>
    <t xml:space="preserve">Arrastar e soltar: a ordem da limpeza do quarto</t>
  </si>
  <si>
    <t xml:space="preserve">Atendimento ao paciente por telefone e mensagem</t>
  </si>
  <si>
    <t xml:space="preserve">Simulador de atendimento: remarcar a consulta</t>
  </si>
  <si>
    <t xml:space="preserve">Documentos de clínica: sigilo e organização</t>
  </si>
  <si>
    <t xml:space="preserve">Quiz com reteste: pode ou não pode mostrar?</t>
  </si>
  <si>
    <t xml:space="preserve">Prevenção de quedas em casa para quem cuida de idosos</t>
  </si>
  <si>
    <t xml:space="preserve">Desenho para tocar no erro: achar o risco na casa</t>
  </si>
  <si>
    <t xml:space="preserve">Cuidar de quem cuida: estresse e descanso</t>
  </si>
  <si>
    <t xml:space="preserve">Reflexão escrita: o que cansa você e o que ajuda</t>
  </si>
  <si>
    <t xml:space="preserve">Saúde mental no trabalho: sinais e onde buscar ajuda</t>
  </si>
  <si>
    <t xml:space="preserve">Vídeo curto com pergunta: o que esta pessoa sente?</t>
  </si>
  <si>
    <t xml:space="preserve">Cuidado com crianças: rotina, brincadeira e segurança</t>
  </si>
  <si>
    <t xml:space="preserve">Estudo de caso: um dia cuidando de uma criança</t>
  </si>
  <si>
    <t xml:space="preserve">Prevenção de infecções no dia a dia: noções</t>
  </si>
  <si>
    <t xml:space="preserve">Vídeo curto com pergunta: lavou as mãos do jeito certo?</t>
  </si>
  <si>
    <t xml:space="preserve">Segurança em altura: noções (não substitui NR-35)</t>
  </si>
  <si>
    <t xml:space="preserve">Desenho para tocar no erro: achar o risco no telhado</t>
  </si>
  <si>
    <t xml:space="preserve">Leitura de planta baixa simples</t>
  </si>
  <si>
    <t xml:space="preserve">Jogo de memória: o símbolo da planta e o que ele é</t>
  </si>
  <si>
    <t xml:space="preserve">Ferramentas da obra: uso e cuidado</t>
  </si>
  <si>
    <t xml:space="preserve">Arrastar e soltar: a ferramenta certa para cada serviço</t>
  </si>
  <si>
    <t xml:space="preserve">Canteiro de obra organizado e limpo</t>
  </si>
  <si>
    <t xml:space="preserve">Desenho para tocar no erro: o canteiro bagunçado</t>
  </si>
  <si>
    <t xml:space="preserve">Assentamento de piso: noções</t>
  </si>
  <si>
    <t xml:space="preserve">Montar o passo a passo: do contrapiso ao rejunte</t>
  </si>
  <si>
    <t xml:space="preserve">Entulho da obra: separar e descartar</t>
  </si>
  <si>
    <t xml:space="preserve">Arrastar e soltar: cada resto no lugar certo</t>
  </si>
  <si>
    <t xml:space="preserve">Montagem de placas eletrônicas: noções</t>
  </si>
  <si>
    <t xml:space="preserve">Arrastar e soltar: cada componente no lugar da placa</t>
  </si>
  <si>
    <t xml:space="preserve">eletroeletrônica forte no polo industrial de Manaus (avaliação nossa)</t>
  </si>
  <si>
    <t xml:space="preserve">Inspeção visual de placas e soldas</t>
  </si>
  <si>
    <t xml:space="preserve">Desenho para tocar no erro: achar a solda com defeito</t>
  </si>
  <si>
    <t xml:space="preserve">controle de qualidade nas fábricas de eletrônicos de Manaus (avaliação nossa)</t>
  </si>
  <si>
    <t xml:space="preserve">Descarga eletrostática na linha: noções</t>
  </si>
  <si>
    <t xml:space="preserve">Vídeo curto com pergunta: o que o operador esqueceu?</t>
  </si>
  <si>
    <t xml:space="preserve">cuidado básico na montagem de eletrônicos em Manaus (avaliação nossa)</t>
  </si>
  <si>
    <t xml:space="preserve">Linha de montagem de eletroeletrônicos: rotina</t>
  </si>
  <si>
    <t xml:space="preserve">Montar o passo a passo: da peça à caixa</t>
  </si>
  <si>
    <t xml:space="preserve">linhas de montagem são comuns no polo de Manaus (avaliação nossa)</t>
  </si>
  <si>
    <t xml:space="preserve">Teste de produto no fim da linha: noções</t>
  </si>
  <si>
    <t xml:space="preserve">Quiz com reteste: aprovar ou reprovar o aparelho</t>
  </si>
  <si>
    <t xml:space="preserve">etapa presente nas fábricas de eletrônicos de Manaus (avaliação nossa)</t>
  </si>
  <si>
    <t xml:space="preserve">Linha de montagem de motos: noções</t>
  </si>
  <si>
    <t xml:space="preserve">Montar o passo a passo: a ordem da montagem</t>
  </si>
  <si>
    <t xml:space="preserve">fábricas de motos no polo industrial de Manaus (avaliação nossa)</t>
  </si>
  <si>
    <t xml:space="preserve">Injeção de plásticos: noções</t>
  </si>
  <si>
    <t xml:space="preserve">Desenho para tocar no erro: achar o defeito na peça</t>
  </si>
  <si>
    <t xml:space="preserve">peças plásticas abastecem o polo de Manaus (avaliação nossa)</t>
  </si>
  <si>
    <t xml:space="preserve">Rastreabilidade: etiqueta, lote e número de série</t>
  </si>
  <si>
    <t xml:space="preserve">Jogo de memória: ligar a etiqueta à informação</t>
  </si>
  <si>
    <t xml:space="preserve">exigência comum nas fábricas de eletrônicos (avaliação nossa)</t>
  </si>
  <si>
    <t xml:space="preserve">Cosméticos com insumos da floresta: noções</t>
  </si>
  <si>
    <t xml:space="preserve">Estudo de caso: do fruto ao creme</t>
  </si>
  <si>
    <t xml:space="preserve">bioeconomia amazônica usa óleos e frutos da floresta (avaliação nossa)</t>
  </si>
  <si>
    <t xml:space="preserve">Produtos químicos na fábrica: rótulo e guarda (noções)</t>
  </si>
  <si>
    <t xml:space="preserve">Jogo de memória: o símbolo do rótulo e o perigo</t>
  </si>
  <si>
    <t xml:space="preserve">indústria química no polo de Manaus (avaliação nossa)</t>
  </si>
  <si>
    <t xml:space="preserve">Construção de barcos: noções de estaleiro</t>
  </si>
  <si>
    <t xml:space="preserve">Vídeo curto com pergunta: qual a etapa do casco?</t>
  </si>
  <si>
    <t xml:space="preserve">barcos são o transporte de muitas cidades da região (avaliação nossa)</t>
  </si>
  <si>
    <t xml:space="preserve">Operador de produção: primeiros dias na fábrica</t>
  </si>
  <si>
    <t xml:space="preserve">Estudo de caso: o primeiro turno na linha</t>
  </si>
  <si>
    <t xml:space="preserve">porta de entrada no polo de Manaus (avaliação nossa)</t>
  </si>
  <si>
    <t xml:space="preserve">Proteção de máquinas: noções (não substitui NR-12)</t>
  </si>
  <si>
    <t xml:space="preserve">Desenho para tocar no erro: a máquina sem proteção</t>
  </si>
  <si>
    <t xml:space="preserve">máquinas de produção no polo de Manaus (avaliação nossa)</t>
  </si>
  <si>
    <t xml:space="preserve">Açaí: manejo do açaizal e colheita</t>
  </si>
  <si>
    <t xml:space="preserve">Vídeo curto com pergunta: o cacho está no ponto?</t>
  </si>
  <si>
    <t xml:space="preserve">açaí é renda de muitas famílias na região (avaliação nossa)</t>
  </si>
  <si>
    <t xml:space="preserve">Preparo do açaí com higiene: noções</t>
  </si>
  <si>
    <t xml:space="preserve">Montar o passo a passo: da lavagem ao batimento</t>
  </si>
  <si>
    <t xml:space="preserve">batedores de açaí nas cidades da região (avaliação nossa)</t>
  </si>
  <si>
    <t xml:space="preserve">Castanha: coleta, secagem e armazenamento</t>
  </si>
  <si>
    <t xml:space="preserve">Arrastar e soltar: a castanha boa e a estragada</t>
  </si>
  <si>
    <t xml:space="preserve">castanha é produto forte do extrativismo (avaliação nossa)</t>
  </si>
  <si>
    <t xml:space="preserve">Bioeconomia: produtos da floresta em pé</t>
  </si>
  <si>
    <t xml:space="preserve">Estudo de caso: a comunidade que vende sem derrubar</t>
  </si>
  <si>
    <t xml:space="preserve">bioeconomia é aposta da região (avaliação nossa)</t>
  </si>
  <si>
    <t xml:space="preserve">Óleos e manteigas da floresta: noções</t>
  </si>
  <si>
    <t xml:space="preserve">Montar o passo a passo: da semente ao óleo</t>
  </si>
  <si>
    <t xml:space="preserve">óleos vegetais da floresta têm procura (avaliação nossa)</t>
  </si>
  <si>
    <t xml:space="preserve">Sementes nativas: coleta e venda</t>
  </si>
  <si>
    <t xml:space="preserve">Jogo de memória: a semente e a árvore</t>
  </si>
  <si>
    <t xml:space="preserve">recuperação de áreas usa sementes da floresta (avaliação nossa)</t>
  </si>
  <si>
    <t xml:space="preserve">Manejo florestal comunitário: noções</t>
  </si>
  <si>
    <t xml:space="preserve">Estudo de caso: o plano de manejo da comunidade</t>
  </si>
  <si>
    <t xml:space="preserve">muitas comunidades vivem da floresta (avaliação nossa)</t>
  </si>
  <si>
    <t xml:space="preserve">Pesca artesanal: conservar o peixe no gelo</t>
  </si>
  <si>
    <t xml:space="preserve">Desenho para tocar no erro: o peixe mal conservado</t>
  </si>
  <si>
    <t xml:space="preserve">pesca é sustento de ribeirinhos (avaliação nossa)</t>
  </si>
  <si>
    <t xml:space="preserve">Limpeza e filé de peixe: noções</t>
  </si>
  <si>
    <t xml:space="preserve">Vídeo curto com pergunta: qual o corte certo?</t>
  </si>
  <si>
    <t xml:space="preserve">peixe é base da comida e da venda na região (avaliação nossa)</t>
  </si>
  <si>
    <t xml:space="preserve">Pesca responsável e período de defeso</t>
  </si>
  <si>
    <t xml:space="preserve">Quiz com reteste: pode pescar ou não?</t>
  </si>
  <si>
    <t xml:space="preserve">o defeso protege os peixes dos rios (avaliação nossa)</t>
  </si>
  <si>
    <t xml:space="preserve">Peixe em tanque: ração e qualidade da água</t>
  </si>
  <si>
    <t xml:space="preserve">Planilha de exercício: a ração do dia no tanque</t>
  </si>
  <si>
    <t xml:space="preserve">criação de peixes nativos em tanques (avaliação nossa)</t>
  </si>
  <si>
    <t xml:space="preserve">Polpa de frutas: produção com higiene (noções)</t>
  </si>
  <si>
    <t xml:space="preserve">Montar o passo a passo: da fruta ao congelador</t>
  </si>
  <si>
    <t xml:space="preserve">frutas regionais como açaí e cupuaçu (avaliação nossa)</t>
  </si>
  <si>
    <t xml:space="preserve">Mandioca e farinha: produção caprichada</t>
  </si>
  <si>
    <t xml:space="preserve">Montar o passo a passo: da raiz à farinha</t>
  </si>
  <si>
    <t xml:space="preserve">farinha é base da comida regional (avaliação nossa)</t>
  </si>
  <si>
    <t xml:space="preserve">Guaraná: cultivo e beneficiamento (noções)</t>
  </si>
  <si>
    <t xml:space="preserve">Arrastar e soltar: as etapas do guaraná</t>
  </si>
  <si>
    <t xml:space="preserve">guaraná é cultivo tradicional no Amazonas (avaliação nossa)</t>
  </si>
  <si>
    <t xml:space="preserve">Ar-condicionado: manutenção, noções (não substitui NR-10)</t>
  </si>
  <si>
    <t xml:space="preserve">Montar o passo a passo: limpar o filtro com o aparelho desligado</t>
  </si>
  <si>
    <t xml:space="preserve">calor o ano todo e muito aparelho (avaliação nossa)</t>
  </si>
  <si>
    <t xml:space="preserve">Conserto de celular: noções de diagnóstico</t>
  </si>
  <si>
    <t xml:space="preserve">Estudo de caso: o celular que não carrega</t>
  </si>
  <si>
    <t xml:space="preserve">comércio de eletrônicos forte em Manaus (avaliação nossa)</t>
  </si>
  <si>
    <t xml:space="preserve">Eletrônica básica: componentes e medidas (noções)</t>
  </si>
  <si>
    <t xml:space="preserve">Jogo de memória: o componente e o símbolo</t>
  </si>
  <si>
    <t xml:space="preserve">eletroeletrônica do polo de Manaus (avaliação nossa)</t>
  </si>
  <si>
    <t xml:space="preserve">Multímetro na bancada eletrônica: noções</t>
  </si>
  <si>
    <t xml:space="preserve">Vídeo curto com pergunta: qual a leitura certa?</t>
  </si>
  <si>
    <t xml:space="preserve">bancadas de teste nas fábricas de Manaus (avaliação nossa)</t>
  </si>
  <si>
    <t xml:space="preserve">Reparo de eletrodomésticos: noções (não substitui NR-10)</t>
  </si>
  <si>
    <t xml:space="preserve">Estudo de caso: o ventilador que parou</t>
  </si>
  <si>
    <t xml:space="preserve">consertos procurados nas cidades do interior (avaliação nossa)</t>
  </si>
  <si>
    <t xml:space="preserve">Energia solar em comunidade isolada: noções</t>
  </si>
  <si>
    <t xml:space="preserve">Arrastar e soltar: montar o sistema no desenho</t>
  </si>
  <si>
    <t xml:space="preserve">comunidades longe da rede elétrica (avaliação nossa)</t>
  </si>
  <si>
    <t xml:space="preserve">Automação industrial: noções</t>
  </si>
  <si>
    <t xml:space="preserve">Arrastar e soltar: ligar sensor, controlador e motor</t>
  </si>
  <si>
    <t xml:space="preserve">fábricas automatizadas em Manaus (avaliação nossa)</t>
  </si>
  <si>
    <t xml:space="preserve">Sensores e placas programáveis: primeiros passos</t>
  </si>
  <si>
    <t xml:space="preserve">Montar o passo a passo: acender uma luz com um sensor</t>
  </si>
  <si>
    <t xml:space="preserve">eletrônica no polo de Manaus (avaliação nossa)</t>
  </si>
  <si>
    <t xml:space="preserve">Assistência técnica: atender e registrar o conserto</t>
  </si>
  <si>
    <t xml:space="preserve">Simulador de atendimento: receber o aparelho do cliente</t>
  </si>
  <si>
    <t xml:space="preserve">comércio de eletrônicos em Manaus (avaliação nossa)</t>
  </si>
  <si>
    <t xml:space="preserve">Testes de software: noções</t>
  </si>
  <si>
    <t xml:space="preserve">Estudo de caso: achar o defeito no aplicativo</t>
  </si>
  <si>
    <t xml:space="preserve">centros de pesquisa ligados ao polo de Manaus (avaliação nossa)</t>
  </si>
  <si>
    <t xml:space="preserve">Turismo de natureza: receber o visitante</t>
  </si>
  <si>
    <t xml:space="preserve">Simulador de atendimento: o grupo chegou na pousada</t>
  </si>
  <si>
    <t xml:space="preserve">floresta e rios atraem visitantes (avaliação nossa)</t>
  </si>
  <si>
    <t xml:space="preserve">Trilhas com turistas: noções (não substitui credenciamento)</t>
  </si>
  <si>
    <t xml:space="preserve">Desenho para tocar no erro: achar o risco na trilha</t>
  </si>
  <si>
    <t xml:space="preserve">trilhas na floresta (avaliação nossa)</t>
  </si>
  <si>
    <t xml:space="preserve">Pousada na floresta: rotina e atendimento</t>
  </si>
  <si>
    <t xml:space="preserve">Estudo de caso: a chuva que mudou o passeio</t>
  </si>
  <si>
    <t xml:space="preserve">hotéis de selva e pousadas ribeirinhas (avaliação nossa)</t>
  </si>
  <si>
    <t xml:space="preserve">Cozinha amazônica: ingredientes e pratos (noções)</t>
  </si>
  <si>
    <t xml:space="preserve">Jogo de memória: o ingrediente e o prato</t>
  </si>
  <si>
    <t xml:space="preserve">a comida regional atrai turistas (avaliação nossa)</t>
  </si>
  <si>
    <t xml:space="preserve">Peixes da Amazônia na cozinha: preparo e venda</t>
  </si>
  <si>
    <t xml:space="preserve">Montar o passo a passo: do peixe ao prato</t>
  </si>
  <si>
    <t xml:space="preserve">peixe é base da comida regional (avaliação nossa)</t>
  </si>
  <si>
    <t xml:space="preserve">Pesca esportiva: receber o pescador</t>
  </si>
  <si>
    <t xml:space="preserve">Simulador de atendimento: preparar o barco para o cliente</t>
  </si>
  <si>
    <t xml:space="preserve">rios atraem pescadores de fora (avaliação nossa)</t>
  </si>
  <si>
    <t xml:space="preserve">Turismo de base comunitária: receber em casa</t>
  </si>
  <si>
    <t xml:space="preserve">Reflexão falada: conte a história da sua comunidade</t>
  </si>
  <si>
    <t xml:space="preserve">comunidades ribeirinhas recebem visitantes (avaliação nossa)</t>
  </si>
  <si>
    <t xml:space="preserve">Passeio de barco: atendimento ao turista</t>
  </si>
  <si>
    <t xml:space="preserve">Simulador de atendimento: explicar o passeio e as regras</t>
  </si>
  <si>
    <t xml:space="preserve">os rios são o caminho do turismo (avaliação nossa)</t>
  </si>
  <si>
    <t xml:space="preserve">Festas populares: organizar barracas e vendas</t>
  </si>
  <si>
    <t xml:space="preserve">Planilha de exercício: compra e venda da barraca</t>
  </si>
  <si>
    <t xml:space="preserve">festivais folclóricos atraem público (avaliação nossa)</t>
  </si>
  <si>
    <t xml:space="preserve">Observação de aves e bichos: atender o visitante</t>
  </si>
  <si>
    <t xml:space="preserve">Jogo de memória: a ave e o nome</t>
  </si>
  <si>
    <t xml:space="preserve">floresta com muitas espécies (avaliação nossa)</t>
  </si>
  <si>
    <t xml:space="preserve">Venda no porto e na beira do rio</t>
  </si>
  <si>
    <t xml:space="preserve">Simulador de atendimento: vender para quem desce do barco</t>
  </si>
  <si>
    <t xml:space="preserve">comércio forte nos portos das cidades ribeirinhas (avaliação nossa)</t>
  </si>
  <si>
    <t xml:space="preserve">Artesanato regional: preço e venda</t>
  </si>
  <si>
    <t xml:space="preserve">Planilha de exercício: calcular o preço da peça</t>
  </si>
  <si>
    <t xml:space="preserve">artesanato com sementes e fibras da floresta (avaliação nossa)</t>
  </si>
  <si>
    <t xml:space="preserve">Produtos da floresta: embalar e vender para fora</t>
  </si>
  <si>
    <t xml:space="preserve">Desenho para tocar no erro: achar o erro na embalagem</t>
  </si>
  <si>
    <t xml:space="preserve">procura por produtos amazônicos em outras regiões (avaliação nossa)</t>
  </si>
  <si>
    <t xml:space="preserve">Loja de eletroeletrônicos: vender e explicar</t>
  </si>
  <si>
    <t xml:space="preserve">Simulador de atendimento: explicar a garantia</t>
  </si>
  <si>
    <t xml:space="preserve">eletroeletrônicos de Manaus vendidos na região (avaliação nossa)</t>
  </si>
  <si>
    <t xml:space="preserve">Loja de peças de moto: atendimento</t>
  </si>
  <si>
    <t xml:space="preserve">Jogo de memória: a peça e para que serve</t>
  </si>
  <si>
    <t xml:space="preserve">moto é transporte comum nas cidades (avaliação nossa)</t>
  </si>
  <si>
    <t xml:space="preserve">Mercadinho de bairro: compras, estoque e caixa</t>
  </si>
  <si>
    <t xml:space="preserve">Planilha de exercício: o pedido da semana</t>
  </si>
  <si>
    <t xml:space="preserve">comércio de bairro forte nas cidades (avaliação nossa)</t>
  </si>
  <si>
    <t xml:space="preserve">Revenda de cosméticos: pedidos e clientes</t>
  </si>
  <si>
    <t xml:space="preserve">Planilha de exercício: controlar pedidos e pagamentos</t>
  </si>
  <si>
    <t xml:space="preserve">venda porta a porta comum na região (avaliação nossa)</t>
  </si>
  <si>
    <t xml:space="preserve">Fiado com controle: caderneta e cobrança</t>
  </si>
  <si>
    <t xml:space="preserve">Estudo de caso: o cliente que não pagou</t>
  </si>
  <si>
    <t xml:space="preserve">venda a prazo comum no comércio local (avaliação nossa)</t>
  </si>
  <si>
    <t xml:space="preserve">Trabalho em turnos: sono, comida e rotina</t>
  </si>
  <si>
    <t xml:space="preserve">Reflexão escrita: como ficou seu sono nesta semana?</t>
  </si>
  <si>
    <t xml:space="preserve">fábricas de Manaus rodam em turnos (avaliação nossa)</t>
  </si>
  <si>
    <t xml:space="preserve">Primeiro emprego na indústria: o que esperar</t>
  </si>
  <si>
    <t xml:space="preserve">Vídeo curto com pergunta: o que fazer no primeiro dia?</t>
  </si>
  <si>
    <t xml:space="preserve">polo industrial de Manaus (avaliação nossa)</t>
  </si>
  <si>
    <t xml:space="preserve">Associação comunitária: organizar e prestar contas</t>
  </si>
  <si>
    <t xml:space="preserve">Planilha de exercício: a prestação de contas do mês</t>
  </si>
  <si>
    <t xml:space="preserve">comunidades se organizam em associações (avaliação nossa)</t>
  </si>
  <si>
    <t xml:space="preserve">Projetos comunitários: escrever e pedir apoio</t>
  </si>
  <si>
    <t xml:space="preserve">Montar o passo a passo: o projeto em uma página</t>
  </si>
  <si>
    <t xml:space="preserve">comunidades buscam apoio para projetos (avaliação nossa)</t>
  </si>
  <si>
    <t xml:space="preserve">Empreender com produtos da floresta</t>
  </si>
  <si>
    <t xml:space="preserve">Estudo de caso: a cooperativa de frutos</t>
  </si>
  <si>
    <t xml:space="preserve">a bioeconomia abre espaço para pequenos negócios (avaliação nossa)</t>
  </si>
  <si>
    <t xml:space="preserve">Atendimento ao cidadão em órgão público</t>
  </si>
  <si>
    <t xml:space="preserve">Simulador de atendimento: o cidadão com pressa</t>
  </si>
  <si>
    <t xml:space="preserve">administração pública pesa na região (avaliação nossa)</t>
  </si>
  <si>
    <t xml:space="preserve">Transporte fluvial: atendimento a bordo</t>
  </si>
  <si>
    <t xml:space="preserve">Simulador de atendimento: o passageiro na rede</t>
  </si>
  <si>
    <t xml:space="preserve">barcos são o ônibus de muitas cidades (avaliação nossa)</t>
  </si>
  <si>
    <t xml:space="preserve">Carga em barco: arrumação e cuidado</t>
  </si>
  <si>
    <t xml:space="preserve">Arrastar e soltar: arrumar a carga no porão</t>
  </si>
  <si>
    <t xml:space="preserve">a carga segue de barco pelos rios (avaliação nossa)</t>
  </si>
  <si>
    <t xml:space="preserve">Segurança em barcos: noções (não substitui curso da Marinha)</t>
  </si>
  <si>
    <t xml:space="preserve">Vídeo curto com pergunta: onde está o colete?</t>
  </si>
  <si>
    <t xml:space="preserve">transporte pelos rios é diário (avaliação nossa)</t>
  </si>
  <si>
    <t xml:space="preserve">Portos e balsas: rotina de embarque</t>
  </si>
  <si>
    <t xml:space="preserve">Montar o passo a passo: do bilhete ao embarque</t>
  </si>
  <si>
    <t xml:space="preserve">portos e balsas ligam as cidades (avaliação nossa)</t>
  </si>
  <si>
    <t xml:space="preserve">Logística na Amazônia: rios, estradas e prazos</t>
  </si>
  <si>
    <t xml:space="preserve">Estudo de caso: a entrega na época da seca</t>
  </si>
  <si>
    <t xml:space="preserve">distâncias grandes e rios que mudam (avaliação nossa)</t>
  </si>
  <si>
    <t xml:space="preserve">Motor de popa: cuidados e manutenção básica</t>
  </si>
  <si>
    <t xml:space="preserve">Montar o passo a passo: a checagem antes de sair</t>
  </si>
  <si>
    <t xml:space="preserve">barcos pequenos em toda a região (avaliação nossa)</t>
  </si>
  <si>
    <t xml:space="preserve">Cadeia do frio: transporte de alimentos refrigerados</t>
  </si>
  <si>
    <t xml:space="preserve">Desenho para tocar no erro: achar a falha na câmara</t>
  </si>
  <si>
    <t xml:space="preserve">peixe e polpa viajam refrigerados (avaliação nossa)</t>
  </si>
  <si>
    <t xml:space="preserve">Endereçamento e inventário no armazém</t>
  </si>
  <si>
    <t xml:space="preserve">Planilha de exercício: achar o item pelo endereço</t>
  </si>
  <si>
    <t xml:space="preserve">armazéns de peças no polo de Manaus (avaliação nossa)</t>
  </si>
  <si>
    <t xml:space="preserve">Abastecimento da linha de produção</t>
  </si>
  <si>
    <t xml:space="preserve">Arrastar e soltar: levar a peça certa ao posto certo</t>
  </si>
  <si>
    <t xml:space="preserve">linhas de montagem em Manaus (avaliação nossa)</t>
  </si>
  <si>
    <t xml:space="preserve">Mototáxi: noções (não substitui curso exigido por lei)</t>
  </si>
  <si>
    <t xml:space="preserve">Vídeo curto com pergunta: o passageiro está seguro?</t>
  </si>
  <si>
    <t xml:space="preserve">mototáxi é comum nas cidades da região (avaliação nossa)</t>
  </si>
  <si>
    <t xml:space="preserve">Calor no trabalho: água e pausas (noções)</t>
  </si>
  <si>
    <t xml:space="preserve">Quiz com reteste: sinais de que o corpo pede pausa</t>
  </si>
  <si>
    <t xml:space="preserve">calor e umidade o ano todo (avaliação nossa)</t>
  </si>
  <si>
    <t xml:space="preserve">Mosquito: prevenção em casa e no trabalho</t>
  </si>
  <si>
    <t xml:space="preserve">Desenho para tocar no erro: achar a água parada</t>
  </si>
  <si>
    <t xml:space="preserve">as chuvas favorecem o mosquito (avaliação nossa)</t>
  </si>
  <si>
    <t xml:space="preserve">Animais peçonhentos: prevenção (não substitui atendimento)</t>
  </si>
  <si>
    <t xml:space="preserve">Vídeo curto com pergunta: o que fazer e o que não fazer?</t>
  </si>
  <si>
    <t xml:space="preserve">trabalho na mata e no rio (avaliação nossa)</t>
  </si>
  <si>
    <t xml:space="preserve">Água segura para beber: tratar e guardar</t>
  </si>
  <si>
    <t xml:space="preserve">Montar o passo a passo: tratar a água em casa</t>
  </si>
  <si>
    <t xml:space="preserve">comunidades usam água de rio e de poço (avaliação nossa)</t>
  </si>
  <si>
    <t xml:space="preserve">Saúde do pescador: sol, água e esforço</t>
  </si>
  <si>
    <t xml:space="preserve">Reflexão falada: o que mais cansa na pesca?</t>
  </si>
  <si>
    <t xml:space="preserve">a pesca é trabalho pesado na região (avaliação nossa)</t>
  </si>
  <si>
    <t xml:space="preserve">Construção em madeira: noções</t>
  </si>
  <si>
    <t xml:space="preserve">Montar o passo a passo: a estrutura da casa</t>
  </si>
  <si>
    <t xml:space="preserve">casas e palafitas de madeira (avaliação nossa)</t>
  </si>
  <si>
    <t xml:space="preserve">Obras em áreas que alagam: noções</t>
  </si>
  <si>
    <t xml:space="preserve">Estudo de caso: a casa na cheia do rio</t>
  </si>
  <si>
    <t xml:space="preserve">cheias dos rios todo ano (avaliação nossa)</t>
  </si>
  <si>
    <t xml:space="preserve">Telhado: noções (não substitui NR-35)</t>
  </si>
  <si>
    <t xml:space="preserve">Desenho para tocar no erro: achar a telha quebrada</t>
  </si>
  <si>
    <t xml:space="preserve">chuva forte pede telhado bom (avaliação nossa)</t>
  </si>
  <si>
    <t xml:space="preserve">Fossa e caixa de gordura: noções</t>
  </si>
  <si>
    <t xml:space="preserve">Montar o passo a passo: limpar a caixa de gordura</t>
  </si>
  <si>
    <t xml:space="preserve">muitas casas sem rede de esgoto (avaliação nossa)</t>
  </si>
  <si>
    <t xml:space="preserve">fábricas de confecção, calçados e alimentos (avaliação nossa)</t>
  </si>
  <si>
    <t xml:space="preserve">Inflamáveis: noções de segurança (não substitui NR-20)</t>
  </si>
  <si>
    <t xml:space="preserve">Desenho para tocar no erro: achar o risco perto do tanque</t>
  </si>
  <si>
    <t xml:space="preserve">refino e petroquímica na região (avaliação nossa)</t>
  </si>
  <si>
    <t xml:space="preserve">Corte de tecido: noções</t>
  </si>
  <si>
    <t xml:space="preserve">Desenho para tocar no erro: achar o corte errado</t>
  </si>
  <si>
    <t xml:space="preserve">polos de confecção no interior (avaliação nossa)</t>
  </si>
  <si>
    <t xml:space="preserve">Revisão e acabamento de peças de roupa</t>
  </si>
  <si>
    <t xml:space="preserve">Modelagem básica de roupas</t>
  </si>
  <si>
    <t xml:space="preserve">Montar o passo a passo: tirar medidas e riscar o molde</t>
  </si>
  <si>
    <t xml:space="preserve">confecção e moda fortes na região (avaliação nossa)</t>
  </si>
  <si>
    <t xml:space="preserve">Facção de costura: organizar a produção</t>
  </si>
  <si>
    <t xml:space="preserve">Planilha de exercício: prazo e preço por peça</t>
  </si>
  <si>
    <t xml:space="preserve">costura terceirizada é comum nos polos de confecção (avaliação nossa)</t>
  </si>
  <si>
    <t xml:space="preserve">Moda praia: produção e venda</t>
  </si>
  <si>
    <t xml:space="preserve">Estudo de caso: a coleção de verão</t>
  </si>
  <si>
    <t xml:space="preserve">o turismo de praia puxa a moda praia (avaliação nossa)</t>
  </si>
  <si>
    <t xml:space="preserve">Estamparia: noções</t>
  </si>
  <si>
    <t xml:space="preserve">Arrastar e soltar: a técnica certa para cada peça</t>
  </si>
  <si>
    <t xml:space="preserve">Calçados: noções da produção</t>
  </si>
  <si>
    <t xml:space="preserve">Montar o passo a passo: do corte ao acabamento</t>
  </si>
  <si>
    <t xml:space="preserve">fábricas de calçados em alguns estados da região (avaliação nossa)</t>
  </si>
  <si>
    <t xml:space="preserve">Cerâmica e olaria: noções</t>
  </si>
  <si>
    <t xml:space="preserve">Vídeo curto com pergunta: o que deu errado na queima?</t>
  </si>
  <si>
    <t xml:space="preserve">olarias e cerâmica artesanal no interior (avaliação nossa)</t>
  </si>
  <si>
    <t xml:space="preserve">pesca artesanal em todo o litoral (avaliação nossa)</t>
  </si>
  <si>
    <t xml:space="preserve">pescado vendido em feiras e na praia (avaliação nossa)</t>
  </si>
  <si>
    <t xml:space="preserve">defeso de peixes e mariscos no litoral (avaliação nossa)</t>
  </si>
  <si>
    <t xml:space="preserve">fruticultura forte na região (avaliação nossa)</t>
  </si>
  <si>
    <t xml:space="preserve">Cacau: manejo e fermentação (noções)</t>
  </si>
  <si>
    <t xml:space="preserve">Vídeo curto com pergunta: a amêndoa fermentou bem?</t>
  </si>
  <si>
    <t xml:space="preserve">cacau no sul da Bahia (avaliação nossa)</t>
  </si>
  <si>
    <t xml:space="preserve">Abelhas sem ferrão: criação (noções)</t>
  </si>
  <si>
    <t xml:space="preserve">Jogo de memória: a espécie e o mel</t>
  </si>
  <si>
    <t xml:space="preserve">meliponicultura comum no interior (avaliação nossa)</t>
  </si>
  <si>
    <t xml:space="preserve">casas de farinha no interior (avaliação nossa)</t>
  </si>
  <si>
    <t xml:space="preserve">Irrigação: noções de gotejamento e pivô</t>
  </si>
  <si>
    <t xml:space="preserve">Planilha de exercício: quanta água a planta precisa</t>
  </si>
  <si>
    <t xml:space="preserve">fruticultura irrigada no semiárido (avaliação nossa)</t>
  </si>
  <si>
    <t xml:space="preserve">Manga e uva no semiárido: manejo (noções)</t>
  </si>
  <si>
    <t xml:space="preserve">Estudo de caso: o pomar no tempo seco</t>
  </si>
  <si>
    <t xml:space="preserve">fruticultura irrigada no Vale do São Francisco (avaliação nossa)</t>
  </si>
  <si>
    <t xml:space="preserve">Galpão de frutas: classificar e embalar</t>
  </si>
  <si>
    <t xml:space="preserve">Arrastar e soltar: fruta para exportar ou para o mercado</t>
  </si>
  <si>
    <t xml:space="preserve">frutas embaladas para o país e para fora (avaliação nossa)</t>
  </si>
  <si>
    <t xml:space="preserve">Caprinos e ovinos: manejo básico</t>
  </si>
  <si>
    <t xml:space="preserve">Quiz com reteste: cuidados com o rebanho</t>
  </si>
  <si>
    <t xml:space="preserve">bodes e ovelhas no sertão (avaliação nossa)</t>
  </si>
  <si>
    <t xml:space="preserve">Água no semiárido: cisterna e reuso</t>
  </si>
  <si>
    <t xml:space="preserve">Planilha de exercício: a água guardada para a seca</t>
  </si>
  <si>
    <t xml:space="preserve">convivência com a seca no sertão (avaliação nossa)</t>
  </si>
  <si>
    <t xml:space="preserve">Palma forrageira para o rebanho</t>
  </si>
  <si>
    <t xml:space="preserve">Montar o passo a passo: plantar e cortar a palma</t>
  </si>
  <si>
    <t xml:space="preserve">a palma alimenta o gado na seca (avaliação nossa)</t>
  </si>
  <si>
    <t xml:space="preserve">Coco e caju: aproveitamento e venda</t>
  </si>
  <si>
    <t xml:space="preserve">Arrastar e soltar: o que fazer com cada parte</t>
  </si>
  <si>
    <t xml:space="preserve">coco e caju no litoral e no interior (avaliação nossa)</t>
  </si>
  <si>
    <t xml:space="preserve">Camarão em viveiro: noções</t>
  </si>
  <si>
    <t xml:space="preserve">Vídeo curto com pergunta: a água do viveiro está boa?</t>
  </si>
  <si>
    <t xml:space="preserve">criação de camarão no litoral (avaliação nossa)</t>
  </si>
  <si>
    <t xml:space="preserve">calor forte no litoral e no sertão (avaliação nossa)</t>
  </si>
  <si>
    <t xml:space="preserve">conserto de pequenos aparelhos é serviço comum (avaliação nossa)</t>
  </si>
  <si>
    <t xml:space="preserve">Energia eólica: como funciona um parque (noções)</t>
  </si>
  <si>
    <t xml:space="preserve">Vídeo curto com pergunta: o que faz cada parte do aerogerador?</t>
  </si>
  <si>
    <t xml:space="preserve">parques eólicos no litoral e no sertão (avaliação nossa)</t>
  </si>
  <si>
    <t xml:space="preserve">Manutenção eólica: noções (não substitui NR-10 e NR-35)</t>
  </si>
  <si>
    <t xml:space="preserve">Desenho para tocar no erro: achar o risco na torre</t>
  </si>
  <si>
    <t xml:space="preserve">operação e manutenção de parques eólicos (avaliação nossa)</t>
  </si>
  <si>
    <t xml:space="preserve">Energia solar: como funciona o sistema (noções)</t>
  </si>
  <si>
    <t xml:space="preserve">Arrastar e soltar: placa, inversor e rede</t>
  </si>
  <si>
    <t xml:space="preserve">sol forte o ano todo (avaliação nossa)</t>
  </si>
  <si>
    <t xml:space="preserve">Instalação de painel solar: noções (não substitui NR-10)</t>
  </si>
  <si>
    <t xml:space="preserve">Montar o passo a passo: da medição do telhado à ligação</t>
  </si>
  <si>
    <t xml:space="preserve">usinas e telhados solares na região (avaliação nossa)</t>
  </si>
  <si>
    <t xml:space="preserve">Limpeza de placas solares: noções (não substitui NR-35)</t>
  </si>
  <si>
    <t xml:space="preserve">Vídeo curto com pergunta: o que está sujando a placa?</t>
  </si>
  <si>
    <t xml:space="preserve">poeira e maresia sujam as placas (avaliação nossa)</t>
  </si>
  <si>
    <t xml:space="preserve">Venda de energia solar: atender e orçar</t>
  </si>
  <si>
    <t xml:space="preserve">Simulador de atendimento: explicar a conta ao cliente</t>
  </si>
  <si>
    <t xml:space="preserve">procura por energia solar na região (avaliação nossa)</t>
  </si>
  <si>
    <t xml:space="preserve">Desenvolvimento de software: primeiros passos</t>
  </si>
  <si>
    <t xml:space="preserve">Montar o passo a passo: um programa que faz contas</t>
  </si>
  <si>
    <t xml:space="preserve">polos de tecnologia em capitais da região (avaliação nossa)</t>
  </si>
  <si>
    <t xml:space="preserve">comunidades do litoral e do sertão recebem turistas (avaliação nossa)</t>
  </si>
  <si>
    <t xml:space="preserve">passeios de barco no litoral (avaliação nossa)</t>
  </si>
  <si>
    <t xml:space="preserve">festas juninas movimentam a região (avaliação nossa)</t>
  </si>
  <si>
    <t xml:space="preserve">Turismo de sol e praia: atender bem</t>
  </si>
  <si>
    <t xml:space="preserve">Simulador de atendimento: o turista na beira do mar</t>
  </si>
  <si>
    <t xml:space="preserve">turismo forte no litoral (avaliação nossa)</t>
  </si>
  <si>
    <t xml:space="preserve">Barraca de praia: atendimento e organização</t>
  </si>
  <si>
    <t xml:space="preserve">Desenho para tocar no erro: a barraca desorganizada</t>
  </si>
  <si>
    <t xml:space="preserve">barracas de praia em todo o litoral (avaliação nossa)</t>
  </si>
  <si>
    <t xml:space="preserve">Pousada familiar: abrir e organizar</t>
  </si>
  <si>
    <t xml:space="preserve">Planilha de exercício: custo e preço da diária</t>
  </si>
  <si>
    <t xml:space="preserve">pousadas pequenas no litoral (avaliação nossa)</t>
  </si>
  <si>
    <t xml:space="preserve">Cozinha nordestina: pratos típicos (noções)</t>
  </si>
  <si>
    <t xml:space="preserve">Jogo de memória: o prato e o estado</t>
  </si>
  <si>
    <t xml:space="preserve">a gastronomia regional atrai turistas (avaliação nossa)</t>
  </si>
  <si>
    <t xml:space="preserve">Tapioca e cuscuz para vender</t>
  </si>
  <si>
    <t xml:space="preserve">Planilha de exercício: custo e preço da tapioca</t>
  </si>
  <si>
    <t xml:space="preserve">comida de rua típica da região (avaliação nossa)</t>
  </si>
  <si>
    <t xml:space="preserve">Doces regionais: produzir e vender</t>
  </si>
  <si>
    <t xml:space="preserve">Montar o passo a passo: do tacho ao pote</t>
  </si>
  <si>
    <t xml:space="preserve">doces de frutas e de leite são tradição (avaliação nossa)</t>
  </si>
  <si>
    <t xml:space="preserve">Frutos do mar: preparo e conservação (noções)</t>
  </si>
  <si>
    <t xml:space="preserve">Desenho para tocar no erro: achar o erro na conservação</t>
  </si>
  <si>
    <t xml:space="preserve">frutos do mar no cardápio do litoral (avaliação nossa)</t>
  </si>
  <si>
    <t xml:space="preserve">Reservas de hospedagem: canais e confirmação</t>
  </si>
  <si>
    <t xml:space="preserve">Simulador de atendimento: confirmar a reserva do hóspede</t>
  </si>
  <si>
    <t xml:space="preserve">hotéis e pousadas lotam na alta temporada (avaliação nossa)</t>
  </si>
  <si>
    <t xml:space="preserve">Transfer e receptivo: buscar e levar o turista</t>
  </si>
  <si>
    <t xml:space="preserve">Estudo de caso: o voo atrasou</t>
  </si>
  <si>
    <t xml:space="preserve">turistas chegam pelos aeroportos das capitais (avaliação nossa)</t>
  </si>
  <si>
    <t xml:space="preserve">Turismo religioso: receber romeiros</t>
  </si>
  <si>
    <t xml:space="preserve">Reflexão escrita: como acolher quem vem de longe</t>
  </si>
  <si>
    <t xml:space="preserve">romarias no sertão (avaliação nossa)</t>
  </si>
  <si>
    <t xml:space="preserve">Café da manhã de hotel: montar e repor</t>
  </si>
  <si>
    <t xml:space="preserve">Arrastar e soltar: montar o bufê na ordem certa</t>
  </si>
  <si>
    <t xml:space="preserve">hotéis de praia (avaliação nossa)</t>
  </si>
  <si>
    <t xml:space="preserve">Recreação em hotel: noções</t>
  </si>
  <si>
    <t xml:space="preserve">Montar o passo a passo: uma atividade para crianças</t>
  </si>
  <si>
    <t xml:space="preserve">resorts e hotéis de praia (avaliação nossa)</t>
  </si>
  <si>
    <t xml:space="preserve">Turismo no sertão: cultura e paisagem</t>
  </si>
  <si>
    <t xml:space="preserve">Vídeo curto com pergunta: o que mostrar ao visitante?</t>
  </si>
  <si>
    <t xml:space="preserve">o sertão atrai turismo cultural (avaliação nossa)</t>
  </si>
  <si>
    <t xml:space="preserve">artesanato forte e muito turista (avaliação nossa)</t>
  </si>
  <si>
    <t xml:space="preserve">moto é transporte comum no interior (avaliação nossa)</t>
  </si>
  <si>
    <t xml:space="preserve">mercadinhos em todo bairro (avaliação nossa)</t>
  </si>
  <si>
    <t xml:space="preserve">venda por catálogo é renda extra comum (avaliação nossa)</t>
  </si>
  <si>
    <t xml:space="preserve">fiado é comum no comércio de bairro (avaliação nossa)</t>
  </si>
  <si>
    <t xml:space="preserve">Telemarketing: atendimento ativo e receptivo</t>
  </si>
  <si>
    <t xml:space="preserve">Simulador de atendimento: ligação de venda e de dúvida</t>
  </si>
  <si>
    <t xml:space="preserve">centrais de atendimento nas capitais (avaliação nossa)</t>
  </si>
  <si>
    <t xml:space="preserve">Central de atendimento: metas e qualidade</t>
  </si>
  <si>
    <t xml:space="preserve">Planilha de exercício: ler o painel de metas</t>
  </si>
  <si>
    <t xml:space="preserve">Cobrança por telefone com respeito</t>
  </si>
  <si>
    <t xml:space="preserve">Simulador de atendimento: negociar uma conta atrasada</t>
  </si>
  <si>
    <t xml:space="preserve">centrais de cobrança nas capitais (avaliação nossa)</t>
  </si>
  <si>
    <t xml:space="preserve">Atendimento por chat: rotina e tempo de resposta</t>
  </si>
  <si>
    <t xml:space="preserve">Simulador de atendimento: três conversas ao mesmo tempo</t>
  </si>
  <si>
    <t xml:space="preserve">Bordado e renda: técnica e venda</t>
  </si>
  <si>
    <t xml:space="preserve">Montar o passo a passo: o primeiro ponto</t>
  </si>
  <si>
    <t xml:space="preserve">renda e bordado são tradição da região (avaliação nossa)</t>
  </si>
  <si>
    <t xml:space="preserve">Moda: vender roupas na feira e na internet</t>
  </si>
  <si>
    <t xml:space="preserve">Estudo de caso: a banca que passou a vender pela internet</t>
  </si>
  <si>
    <t xml:space="preserve">feiras de confecção atraem compradores de longe (avaliação nossa)</t>
  </si>
  <si>
    <t xml:space="preserve">Artesanato em couro: noções e venda</t>
  </si>
  <si>
    <t xml:space="preserve">Montar o passo a passo: cortar e costurar uma peça</t>
  </si>
  <si>
    <t xml:space="preserve">o couro é tradição no sertão (avaliação nossa)</t>
  </si>
  <si>
    <t xml:space="preserve">associações de produtores e artesãos (avaliação nossa)</t>
  </si>
  <si>
    <t xml:space="preserve">associações buscam apoio para projetos (avaliação nossa)</t>
  </si>
  <si>
    <t xml:space="preserve">Negócio na temporada: planejar alta e baixa</t>
  </si>
  <si>
    <t xml:space="preserve">Planilha de exercício: guardar na alta para a baixa</t>
  </si>
  <si>
    <t xml:space="preserve">o turismo tem alta e baixa temporada (avaliação nossa)</t>
  </si>
  <si>
    <t xml:space="preserve">Trabalho de temporada: direitos e cuidados</t>
  </si>
  <si>
    <t xml:space="preserve">Quiz com reteste: o que vale no contrato temporário?</t>
  </si>
  <si>
    <t xml:space="preserve">contratação temporária no verão (avaliação nossa)</t>
  </si>
  <si>
    <t xml:space="preserve">Vender para órgãos públicos: noções</t>
  </si>
  <si>
    <t xml:space="preserve">Montar o passo a passo: participar de uma compra pública</t>
  </si>
  <si>
    <t xml:space="preserve">escolas compram da agricultura familiar (avaliação nossa)</t>
  </si>
  <si>
    <t xml:space="preserve">Cultura e economia criativa: viver de arte</t>
  </si>
  <si>
    <t xml:space="preserve">Reflexão falada: conte o que você cria</t>
  </si>
  <si>
    <t xml:space="preserve">música, festas e artesanato fortes na região (avaliação nossa)</t>
  </si>
  <si>
    <t xml:space="preserve">frutas e pescados viajam refrigerados (avaliação nossa)</t>
  </si>
  <si>
    <t xml:space="preserve">mototáxi é comum no interior (avaliação nossa)</t>
  </si>
  <si>
    <t xml:space="preserve">Porto e contêiner: noções de embarque</t>
  </si>
  <si>
    <t xml:space="preserve">Montar o passo a passo: do caminhão ao navio</t>
  </si>
  <si>
    <t xml:space="preserve">portos exportam frutas e outros produtos (avaliação nossa)</t>
  </si>
  <si>
    <t xml:space="preserve">Centro de distribuição: rotina de separação</t>
  </si>
  <si>
    <t xml:space="preserve">Arrastar e soltar: separar a leva de pedidos</t>
  </si>
  <si>
    <t xml:space="preserve">centros de distribuição nas capitais (avaliação nossa)</t>
  </si>
  <si>
    <t xml:space="preserve">sol forte no trabalho ao ar livre (avaliação nossa)</t>
  </si>
  <si>
    <t xml:space="preserve">chuva e calor favorecem o mosquito (avaliação nossa)</t>
  </si>
  <si>
    <t xml:space="preserve">água de cisterna no sertão (avaliação nossa)</t>
  </si>
  <si>
    <t xml:space="preserve">Saúde da voz no telemarketing</t>
  </si>
  <si>
    <t xml:space="preserve">Vídeo curto com pergunta: o que cansa a voz?</t>
  </si>
  <si>
    <t xml:space="preserve">telhados sofrem com sol e maresia (avaliação nossa)</t>
  </si>
  <si>
    <t xml:space="preserve">Cisterna: construção e cuidado (noções)</t>
  </si>
  <si>
    <t xml:space="preserve">Montar o passo a passo: limpar a cisterna</t>
  </si>
  <si>
    <t xml:space="preserve">cisternas no sertão (avaliação nossa)</t>
  </si>
  <si>
    <t xml:space="preserve">Maresia: proteger a casa e o metal (noções)</t>
  </si>
  <si>
    <t xml:space="preserve">Desenho para tocar no erro: achar a ferrugem</t>
  </si>
  <si>
    <t xml:space="preserve">casas e hotéis no litoral (avaliação nossa)</t>
  </si>
  <si>
    <t xml:space="preserve">agroindústrias contratam para a linha (avaliação nossa)</t>
  </si>
  <si>
    <t xml:space="preserve">Manutenção preventiva: rotina e checklist</t>
  </si>
  <si>
    <t xml:space="preserve">Planilha de exercício: montar o checklist da semana</t>
  </si>
  <si>
    <t xml:space="preserve">agroindústrias e frigoríficos não podem parar (avaliação nossa)</t>
  </si>
  <si>
    <t xml:space="preserve">Trabalho em frigorífico: noções (não substitui NR-36)</t>
  </si>
  <si>
    <t xml:space="preserve">Desenho para tocar no erro: achar o risco na linha</t>
  </si>
  <si>
    <t xml:space="preserve">frigoríficos de bovinos espalhados pela região (avaliação nossa)</t>
  </si>
  <si>
    <t xml:space="preserve">Cortes de carne no frigorífico: noções</t>
  </si>
  <si>
    <t xml:space="preserve">Jogo de memória: o corte e a parte do boi</t>
  </si>
  <si>
    <t xml:space="preserve">frigoríficos de bovinos na região (avaliação nossa)</t>
  </si>
  <si>
    <t xml:space="preserve">Ambiente frio: proteção e pausas (noções)</t>
  </si>
  <si>
    <t xml:space="preserve">Quiz com reteste: a roupa e a pausa certas no frio</t>
  </si>
  <si>
    <t xml:space="preserve">câmaras frias nos frigoríficos (avaliação nossa)</t>
  </si>
  <si>
    <t xml:space="preserve">Higiene na indústria de carnes: noções</t>
  </si>
  <si>
    <t xml:space="preserve">Arrastar e soltar: a ordem da higiene na entrada</t>
  </si>
  <si>
    <t xml:space="preserve">frigoríficos na região (avaliação nossa)</t>
  </si>
  <si>
    <t xml:space="preserve">Óleo e farelo de soja: noções da indústria</t>
  </si>
  <si>
    <t xml:space="preserve">Arrastar e soltar: do grão ao óleo</t>
  </si>
  <si>
    <t xml:space="preserve">esmagadoras de soja perto das lavouras (avaliação nossa)</t>
  </si>
  <si>
    <t xml:space="preserve">Usina de etanol e açúcar: noções</t>
  </si>
  <si>
    <t xml:space="preserve">Montar o passo a passo: da cana ao etanol</t>
  </si>
  <si>
    <t xml:space="preserve">usinas de cana e de milho na região (avaliação nossa)</t>
  </si>
  <si>
    <t xml:space="preserve">Fábrica de ração: noções</t>
  </si>
  <si>
    <t xml:space="preserve">Jogo de memória: o ingrediente e para que serve</t>
  </si>
  <si>
    <t xml:space="preserve">ração para gado, aves e suínos (avaliação nossa)</t>
  </si>
  <si>
    <t xml:space="preserve">criação de peixes em tanques e represas (avaliação nossa)</t>
  </si>
  <si>
    <t xml:space="preserve">pivôs de irrigação nas lavouras (avaliação nossa)</t>
  </si>
  <si>
    <t xml:space="preserve">Soja: do plantio à colheita (noções)</t>
  </si>
  <si>
    <t xml:space="preserve">Montar o passo a passo: o ciclo da soja</t>
  </si>
  <si>
    <t xml:space="preserve">soja domina as lavouras da região (avaliação nossa)</t>
  </si>
  <si>
    <t xml:space="preserve">Milho safrinha: manejo básico</t>
  </si>
  <si>
    <t xml:space="preserve">Estudo de caso: plantar depois da soja</t>
  </si>
  <si>
    <t xml:space="preserve">a segunda safra de milho é comum na região (avaliação nossa)</t>
  </si>
  <si>
    <t xml:space="preserve">Algodão: da lavoura ao fardo (noções)</t>
  </si>
  <si>
    <t xml:space="preserve">Arrastar e soltar: as etapas do algodão</t>
  </si>
  <si>
    <t xml:space="preserve">algodão forte em Mato Grosso (avaliação nossa)</t>
  </si>
  <si>
    <t xml:space="preserve">Máquinas agrícolas: noções (não substitui NR-31)</t>
  </si>
  <si>
    <t xml:space="preserve">Desenho para tocar no erro: achar o risco na máquina</t>
  </si>
  <si>
    <t xml:space="preserve">lavouras mecanizadas em toda a região (avaliação nossa)</t>
  </si>
  <si>
    <t xml:space="preserve">Trator: checagem diária antes de ligar</t>
  </si>
  <si>
    <t xml:space="preserve">Montar o passo a passo: a vistoria da manhã</t>
  </si>
  <si>
    <t xml:space="preserve">tratores em toda fazenda (avaliação nossa)</t>
  </si>
  <si>
    <t xml:space="preserve">Colheitadeira: noções de operação (não substitui NR-31)</t>
  </si>
  <si>
    <t xml:space="preserve">Vídeo curto com pergunta: o que fazer antes de descer?</t>
  </si>
  <si>
    <t xml:space="preserve">colheita mecanizada de grãos (avaliação nossa)</t>
  </si>
  <si>
    <t xml:space="preserve">Pecuária de corte: rotina na fazenda</t>
  </si>
  <si>
    <t xml:space="preserve">Estudo de caso: um dia no retiro</t>
  </si>
  <si>
    <t xml:space="preserve">gado de corte forte na região (avaliação nossa)</t>
  </si>
  <si>
    <t xml:space="preserve">Manejo calmo do gado: bem-estar e segurança</t>
  </si>
  <si>
    <t xml:space="preserve">Vídeo curto com pergunta: o que assustou o boi?</t>
  </si>
  <si>
    <t xml:space="preserve">manejo no curral é rotina na região (avaliação nossa)</t>
  </si>
  <si>
    <t xml:space="preserve">Pastagem: formação e cuidado</t>
  </si>
  <si>
    <t xml:space="preserve">Desenho para tocar no erro: achar o pasto degradado</t>
  </si>
  <si>
    <t xml:space="preserve">pastagens ocupam grande área da região (avaliação nossa)</t>
  </si>
  <si>
    <t xml:space="preserve">Confinamento de gado: rotina do trato</t>
  </si>
  <si>
    <t xml:space="preserve">Planilha de exercício: o trato do dia</t>
  </si>
  <si>
    <t xml:space="preserve">confinamentos de engorda na região (avaliação nossa)</t>
  </si>
  <si>
    <t xml:space="preserve">Silagem: produção e armazenamento</t>
  </si>
  <si>
    <t xml:space="preserve">Montar o passo a passo: do corte ao silo</t>
  </si>
  <si>
    <t xml:space="preserve">a silagem alimenta o gado na seca (avaliação nossa)</t>
  </si>
  <si>
    <t xml:space="preserve">Qualidade dos grãos: umidade e impurezas (noções)</t>
  </si>
  <si>
    <t xml:space="preserve">Quiz com reteste: o lote passa ou não?</t>
  </si>
  <si>
    <t xml:space="preserve">grãos são o centro da economia da região (avaliação nossa)</t>
  </si>
  <si>
    <t xml:space="preserve">Lavoura, pecuária e floresta juntas: noções</t>
  </si>
  <si>
    <t xml:space="preserve">Estudo de caso: a fazenda que integrou</t>
  </si>
  <si>
    <t xml:space="preserve">integração ganha espaço no cerrado (avaliação nossa)</t>
  </si>
  <si>
    <t xml:space="preserve">Cana-de-açúcar: do plantio à usina (noções)</t>
  </si>
  <si>
    <t xml:space="preserve">Arrastar e soltar: as etapas da cana</t>
  </si>
  <si>
    <t xml:space="preserve">cana em Goiás e Mato Grosso do Sul (avaliação nossa)</t>
  </si>
  <si>
    <t xml:space="preserve">Custo da lavoura por hectare</t>
  </si>
  <si>
    <t xml:space="preserve">Planilha de exercício: calcular o custo de um talhão</t>
  </si>
  <si>
    <t xml:space="preserve">lavouras grandes pedem conta bem feita (avaliação nossa)</t>
  </si>
  <si>
    <t xml:space="preserve">Hortaliças para restaurantes e mercados</t>
  </si>
  <si>
    <t xml:space="preserve">Montar o passo a passo: a semana de colheita e entrega</t>
  </si>
  <si>
    <t xml:space="preserve">cinturão verde de Brasília e Goiânia (avaliação nossa)</t>
  </si>
  <si>
    <t xml:space="preserve">Pequi e frutos do cerrado: coleta e venda</t>
  </si>
  <si>
    <t xml:space="preserve">Jogo de memória: o fruto do cerrado e seu uso</t>
  </si>
  <si>
    <t xml:space="preserve">frutos do cerrado têm procura na região (avaliação nossa)</t>
  </si>
  <si>
    <t xml:space="preserve">Leite: ordenha com higiene (noções)</t>
  </si>
  <si>
    <t xml:space="preserve">Montar o passo a passo: a ordenha limpa</t>
  </si>
  <si>
    <t xml:space="preserve">leite forte em Goiás (avaliação nossa)</t>
  </si>
  <si>
    <t xml:space="preserve">Plantio direto e cuidado com a palhada</t>
  </si>
  <si>
    <t xml:space="preserve">Desenho para tocar no erro: o solo descoberto</t>
  </si>
  <si>
    <t xml:space="preserve">plantio direto é comum nas lavouras (avaliação nossa)</t>
  </si>
  <si>
    <t xml:space="preserve">Implementos agrícolas: manutenção básica</t>
  </si>
  <si>
    <t xml:space="preserve">Planilha de exercício: o checklist da plantadeira</t>
  </si>
  <si>
    <t xml:space="preserve">plantadeiras e pulverizadores em toda fazenda (avaliação nossa)</t>
  </si>
  <si>
    <t xml:space="preserve">calor e tempo seco (avaliação nossa)</t>
  </si>
  <si>
    <t xml:space="preserve">sol forte e fazendas com placas (avaliação nossa)</t>
  </si>
  <si>
    <t xml:space="preserve">energia solar em fazendas e cidades (avaliação nossa)</t>
  </si>
  <si>
    <t xml:space="preserve">Agricultura de precisão: noções</t>
  </si>
  <si>
    <t xml:space="preserve">Estudo de caso: o mapa da lavoura</t>
  </si>
  <si>
    <t xml:space="preserve">lavouras grandes usam dados e satélite (avaliação nossa)</t>
  </si>
  <si>
    <t xml:space="preserve">Drones no campo: noções (não substitui as regras de voo)</t>
  </si>
  <si>
    <t xml:space="preserve">Quiz com reteste: pode voar aqui?</t>
  </si>
  <si>
    <t xml:space="preserve">drones nas lavouras de grãos (avaliação nossa)</t>
  </si>
  <si>
    <t xml:space="preserve">GPS e piloto automático no trator: noções</t>
  </si>
  <si>
    <t xml:space="preserve">Vídeo curto com pergunta: o trator saiu da linha, e agora?</t>
  </si>
  <si>
    <t xml:space="preserve">máquinas com piloto automático nas lavouras (avaliação nossa)</t>
  </si>
  <si>
    <t xml:space="preserve">Telemetria de máquinas: ler os dados (noções)</t>
  </si>
  <si>
    <t xml:space="preserve">Planilha de exercício: ler o relatório da máquina</t>
  </si>
  <si>
    <t xml:space="preserve">frotas grandes de máquinas agrícolas (avaliação nossa)</t>
  </si>
  <si>
    <t xml:space="preserve">Gestão da fazenda no celular: noções</t>
  </si>
  <si>
    <t xml:space="preserve">Montar o passo a passo: lançar a despesa do dia</t>
  </si>
  <si>
    <t xml:space="preserve">fazendas usam aplicativos de gestão (avaliação nossa)</t>
  </si>
  <si>
    <t xml:space="preserve">Pantanal, Bonito e chapadas atraem visitantes (avaliação nossa)</t>
  </si>
  <si>
    <t xml:space="preserve">trilhas no cerrado e nas chapadas (avaliação nossa)</t>
  </si>
  <si>
    <t xml:space="preserve">pesca esportiva no Pantanal e no Araguaia (avaliação nossa)</t>
  </si>
  <si>
    <t xml:space="preserve">o Pantanal atrai observadores (avaliação nossa)</t>
  </si>
  <si>
    <t xml:space="preserve">Turismo rural: receber na propriedade</t>
  </si>
  <si>
    <t xml:space="preserve">Simulador de atendimento: o visitante na porteira</t>
  </si>
  <si>
    <t xml:space="preserve">fazendas abertas ao visitante (avaliação nossa)</t>
  </si>
  <si>
    <t xml:space="preserve">Cozinha do cerrado e do Pantanal: noções</t>
  </si>
  <si>
    <t xml:space="preserve">Balneários e cachoeiras: atender o visitante</t>
  </si>
  <si>
    <t xml:space="preserve">Desenho para tocar no erro: achar o risco no balneário</t>
  </si>
  <si>
    <t xml:space="preserve">águas termais e cachoeiras na região (avaliação nossa)</t>
  </si>
  <si>
    <t xml:space="preserve">Loja de produtos agropecuários: atendimento</t>
  </si>
  <si>
    <t xml:space="preserve">Simulador de atendimento: o produtor que pede ajuda</t>
  </si>
  <si>
    <t xml:space="preserve">lojas agropecuárias em toda cidade (avaliação nossa)</t>
  </si>
  <si>
    <t xml:space="preserve">Venda técnica no agro: falar com o produtor</t>
  </si>
  <si>
    <t xml:space="preserve">Estudo de caso: a visita na fazenda</t>
  </si>
  <si>
    <t xml:space="preserve">venda de insumos e máquinas na região (avaliação nossa)</t>
  </si>
  <si>
    <t xml:space="preserve">Peças agrícolas: atender no balcão</t>
  </si>
  <si>
    <t xml:space="preserve">Jogo de memória: a peça e a máquina</t>
  </si>
  <si>
    <t xml:space="preserve">revendas de máquinas nas cidades do agro (avaliação nossa)</t>
  </si>
  <si>
    <t xml:space="preserve">Atacarejo: rotina de loja e caixa</t>
  </si>
  <si>
    <t xml:space="preserve">Desenho para tocar no erro: achar o erro no corredor</t>
  </si>
  <si>
    <t xml:space="preserve">lojas de atacado e varejo nas cidades (avaliação nossa)</t>
  </si>
  <si>
    <t xml:space="preserve">Posto de estrada: atender o caminhoneiro</t>
  </si>
  <si>
    <t xml:space="preserve">Simulador de atendimento: a parada no meio da viagem</t>
  </si>
  <si>
    <t xml:space="preserve">rodovias da safra cheias de caminhões (avaliação nossa)</t>
  </si>
  <si>
    <t xml:space="preserve">Portaria de condomínio: atendimento e acesso</t>
  </si>
  <si>
    <t xml:space="preserve">Simulador de atendimento: a visita sem aviso</t>
  </si>
  <si>
    <t xml:space="preserve">condomínios em Brasília e Goiânia (avaliação nossa)</t>
  </si>
  <si>
    <t xml:space="preserve">frigoríficos e agroindústrias em turnos (avaliação nossa)</t>
  </si>
  <si>
    <t xml:space="preserve">serviço público forte em Brasília (avaliação nossa)</t>
  </si>
  <si>
    <t xml:space="preserve">compras públicas em Brasília (avaliação nossa)</t>
  </si>
  <si>
    <t xml:space="preserve">Rotina administrativa de escritório</t>
  </si>
  <si>
    <t xml:space="preserve">Montar o passo a passo: organizar a caixa de entrada</t>
  </si>
  <si>
    <t xml:space="preserve">escritórios e serviços em Brasília (avaliação nossa)</t>
  </si>
  <si>
    <t xml:space="preserve">Protocolo e arquivo de documentos</t>
  </si>
  <si>
    <t xml:space="preserve">Arrastar e soltar: cada papel na pasta certa</t>
  </si>
  <si>
    <t xml:space="preserve">órgãos públicos em Brasília (avaliação nossa)</t>
  </si>
  <si>
    <t xml:space="preserve">Documentos oficiais: escrever simples e claro</t>
  </si>
  <si>
    <t xml:space="preserve">Reflexão escrita: reescrever um ofício difícil</t>
  </si>
  <si>
    <t xml:space="preserve">Estudar para concurso: organizar a rotina</t>
  </si>
  <si>
    <t xml:space="preserve">Planilha de exercício: o plano de estudo da semana</t>
  </si>
  <si>
    <t xml:space="preserve">muitos concursos em Brasília (avaliação nossa)</t>
  </si>
  <si>
    <t xml:space="preserve">Trabalho no campo: direitos e deveres básicos</t>
  </si>
  <si>
    <t xml:space="preserve">Quiz com reteste: verdadeiro ou falso (advogado revisa)</t>
  </si>
  <si>
    <t xml:space="preserve">muita gente trabalha em fazendas (avaliação nossa)</t>
  </si>
  <si>
    <t xml:space="preserve">a carne sai refrigerada dos frigoríficos (avaliação nossa)</t>
  </si>
  <si>
    <t xml:space="preserve">armazéns e centros de distribuição (avaliação nossa)</t>
  </si>
  <si>
    <t xml:space="preserve">Silos e armazéns: noções (não substitui NR-33 e NR-35)</t>
  </si>
  <si>
    <t xml:space="preserve">Desenho para tocar no erro: achar o risco no silo</t>
  </si>
  <si>
    <t xml:space="preserve">armazéns de grãos em toda a região (avaliação nossa)</t>
  </si>
  <si>
    <t xml:space="preserve">Recebimento de grãos no armazém</t>
  </si>
  <si>
    <t xml:space="preserve">Simulador de atendimento: o caminhão chegou na balança</t>
  </si>
  <si>
    <t xml:space="preserve">a safra chega em fila aos armazéns (avaliação nossa)</t>
  </si>
  <si>
    <t xml:space="preserve">Transporte de grãos: carga, lona e balança</t>
  </si>
  <si>
    <t xml:space="preserve">Montar o passo a passo: preparar a carreta</t>
  </si>
  <si>
    <t xml:space="preserve">safra escoada por caminhão (avaliação nossa)</t>
  </si>
  <si>
    <t xml:space="preserve">Caminhoneiro: descanso e saúde na estrada</t>
  </si>
  <si>
    <t xml:space="preserve">Reflexão falada: como você descansa na viagem?</t>
  </si>
  <si>
    <t xml:space="preserve">estradas longas da safra (avaliação nossa)</t>
  </si>
  <si>
    <t xml:space="preserve">Pátio de caminhões: organização e filas</t>
  </si>
  <si>
    <t xml:space="preserve">Desenho para tocar no erro: o pátio travado</t>
  </si>
  <si>
    <t xml:space="preserve">filas na época da safra (avaliação nossa)</t>
  </si>
  <si>
    <t xml:space="preserve">Logística do agro: da fazenda ao porto</t>
  </si>
  <si>
    <t xml:space="preserve">Arrastar e soltar: o caminho do grão</t>
  </si>
  <si>
    <t xml:space="preserve">os grãos viajam longe até os portos (avaliação nossa)</t>
  </si>
  <si>
    <t xml:space="preserve">Ferrovia e hidrovia no agro: noções</t>
  </si>
  <si>
    <t xml:space="preserve">Jogo de memória: o transporte e a vantagem</t>
  </si>
  <si>
    <t xml:space="preserve">trens e barcaças levam grãos (avaliação nossa)</t>
  </si>
  <si>
    <t xml:space="preserve">Expedição de carne: câmara fria e carga</t>
  </si>
  <si>
    <t xml:space="preserve">Montar o passo a passo: carregar sem quebrar o frio</t>
  </si>
  <si>
    <t xml:space="preserve">frigoríficos despacham carne todo dia (avaliação nossa)</t>
  </si>
  <si>
    <t xml:space="preserve">Rastreamento de cargas: noções</t>
  </si>
  <si>
    <t xml:space="preserve">Simulador de atendimento: o cliente quer saber da carga</t>
  </si>
  <si>
    <t xml:space="preserve">cargas viajam longe (avaliação nossa)</t>
  </si>
  <si>
    <t xml:space="preserve">Frota agrícola: controle de abastecimento</t>
  </si>
  <si>
    <t xml:space="preserve">Planilha de exercício: litros por máquina</t>
  </si>
  <si>
    <t xml:space="preserve">fazendas com muitas máquinas (avaliação nossa)</t>
  </si>
  <si>
    <t xml:space="preserve">calor e tempo seco no campo (avaliação nossa)</t>
  </si>
  <si>
    <t xml:space="preserve">trabalho no campo e no cerrado (avaliação nossa)</t>
  </si>
  <si>
    <t xml:space="preserve">Saúde do trabalhador rural: postura e esforço</t>
  </si>
  <si>
    <t xml:space="preserve">Desenho para tocar no erro: achar a postura errada na lida</t>
  </si>
  <si>
    <t xml:space="preserve">trabalho pesado nas fazendas (avaliação nossa)</t>
  </si>
  <si>
    <t xml:space="preserve">Ruído e poeira no campo e no armazém: noções</t>
  </si>
  <si>
    <t xml:space="preserve">Jogo de memória: o risco e a proteção</t>
  </si>
  <si>
    <t xml:space="preserve">máquinas e silos fazem barulho e poeira (avaliação nossa)</t>
  </si>
  <si>
    <t xml:space="preserve">Cerca e curral: construção e conserto (noções)</t>
  </si>
  <si>
    <t xml:space="preserve">Planilha de exercício: material para cem metros de cerca</t>
  </si>
  <si>
    <t xml:space="preserve">fazendas de gado em toda a região (avaliação nossa)</t>
  </si>
  <si>
    <t xml:space="preserve">Galpões rurais: noções de construção</t>
  </si>
  <si>
    <t xml:space="preserve">Estudo de caso: o galpão de máquinas</t>
  </si>
  <si>
    <t xml:space="preserve">fazendas guardam máquinas e grãos (avaliação nossa)</t>
  </si>
  <si>
    <t xml:space="preserve">Concreto e fundação: noções</t>
  </si>
  <si>
    <t xml:space="preserve">Vídeo curto com pergunta: o traço está certo?</t>
  </si>
  <si>
    <t xml:space="preserve">obras nas cidades do agro (avaliação nossa)</t>
  </si>
  <si>
    <t xml:space="preserve">Poço e caixa d'água na fazenda: noções</t>
  </si>
  <si>
    <t xml:space="preserve">Montar o passo a passo: limpar a caixa d'água</t>
  </si>
  <si>
    <t xml:space="preserve">fazendas dependem de poço (avaliação nossa)</t>
  </si>
  <si>
    <t xml:space="preserve">Embalagem e expedição na fábrica</t>
  </si>
  <si>
    <t xml:space="preserve">Arrastar e soltar: montar a caixa e a etiqueta</t>
  </si>
  <si>
    <t xml:space="preserve">muitas fábricas com expedição diária (avaliação nossa)</t>
  </si>
  <si>
    <t xml:space="preserve">rotina na indústria de alimentos, remédios e peças (avaliação nossa)</t>
  </si>
  <si>
    <t xml:space="preserve">indústria química grande na região (avaliação nossa)</t>
  </si>
  <si>
    <t xml:space="preserve">indústria diversificada na região (avaliação nossa)</t>
  </si>
  <si>
    <t xml:space="preserve">parque industrial diversificado (avaliação nossa)</t>
  </si>
  <si>
    <t xml:space="preserve">Usinagem: noções de torno e fresa</t>
  </si>
  <si>
    <t xml:space="preserve">Vídeo curto com pergunta: qual ferramenta fez este corte?</t>
  </si>
  <si>
    <t xml:space="preserve">metalurgia e autopeças na região (avaliação nossa)</t>
  </si>
  <si>
    <t xml:space="preserve">Pneumática e hidráulica: noções</t>
  </si>
  <si>
    <t xml:space="preserve">Arrastar e soltar: montar um circuito simples</t>
  </si>
  <si>
    <t xml:space="preserve">máquinas industriais em toda a região (avaliação nossa)</t>
  </si>
  <si>
    <t xml:space="preserve">Linha de montagem de veículos: noções</t>
  </si>
  <si>
    <t xml:space="preserve">Montar o passo a passo: a carroceria na linha</t>
  </si>
  <si>
    <t xml:space="preserve">indústria automotiva e de autopeças (avaliação nossa)</t>
  </si>
  <si>
    <t xml:space="preserve">petróleo e gás no litoral (avaliação nossa)</t>
  </si>
  <si>
    <t xml:space="preserve">Petróleo e gás: como funciona a cadeia (noções)</t>
  </si>
  <si>
    <t xml:space="preserve">Arrastar e soltar: do poço ao posto</t>
  </si>
  <si>
    <t xml:space="preserve">petróleo e gás pesam no Rio de Janeiro e no Espírito Santo (avaliação nossa)</t>
  </si>
  <si>
    <t xml:space="preserve">Trabalho embarcado: noções (não substitui curso obrigatório)</t>
  </si>
  <si>
    <t xml:space="preserve">Reflexão escrita: como é ficar dias no mar?</t>
  </si>
  <si>
    <t xml:space="preserve">plataformas de petróleo na costa da região (avaliação nossa)</t>
  </si>
  <si>
    <t xml:space="preserve">usinas de cana no interior paulista e mineiro (avaliação nossa)</t>
  </si>
  <si>
    <t xml:space="preserve">cana forte no interior paulista (avaliação nossa)</t>
  </si>
  <si>
    <t xml:space="preserve">cinturão verde das grandes cidades (avaliação nossa)</t>
  </si>
  <si>
    <t xml:space="preserve">bacia leiteira em Minas Gerais (avaliação nossa)</t>
  </si>
  <si>
    <t xml:space="preserve">Café: colheita e pós-colheita (noções)</t>
  </si>
  <si>
    <t xml:space="preserve">Montar o passo a passo: do pé ao terreiro</t>
  </si>
  <si>
    <t xml:space="preserve">café forte em Minas Gerais, São Paulo e Espírito Santo (avaliação nossa)</t>
  </si>
  <si>
    <t xml:space="preserve">Café de qualidade: o que faz a diferença</t>
  </si>
  <si>
    <t xml:space="preserve">Estudo de caso: o lote que melhorou</t>
  </si>
  <si>
    <t xml:space="preserve">cafés especiais nas montanhas da região (avaliação nossa)</t>
  </si>
  <si>
    <t xml:space="preserve">Torra de café: noções</t>
  </si>
  <si>
    <t xml:space="preserve">Vídeo curto com pergunta: a torra está no ponto?</t>
  </si>
  <si>
    <t xml:space="preserve">torrefações pequenas na região do café (avaliação nossa)</t>
  </si>
  <si>
    <t xml:space="preserve">Flores e plantas ornamentais: cultivo e venda</t>
  </si>
  <si>
    <t xml:space="preserve">Montar o passo a passo: da muda ao vaso</t>
  </si>
  <si>
    <t xml:space="preserve">produção de flores no interior paulista (avaliação nossa)</t>
  </si>
  <si>
    <t xml:space="preserve">indústria moderna na região (avaliação nossa)</t>
  </si>
  <si>
    <t xml:space="preserve">polos de tecnologia nas capitais (avaliação nossa)</t>
  </si>
  <si>
    <t xml:space="preserve">empresas de tecnologia nas capitais (avaliação nossa)</t>
  </si>
  <si>
    <t xml:space="preserve">Banco de dados: primeiros passos</t>
  </si>
  <si>
    <t xml:space="preserve">Planilha de exercício: organizar uma tabela de clientes</t>
  </si>
  <si>
    <t xml:space="preserve">empresas de tecnologia e serviços (avaliação nossa)</t>
  </si>
  <si>
    <t xml:space="preserve">Computação em nuvem: noções</t>
  </si>
  <si>
    <t xml:space="preserve">Jogo de memória: o serviço e para que serve</t>
  </si>
  <si>
    <t xml:space="preserve">Segurança da informação na empresa</t>
  </si>
  <si>
    <t xml:space="preserve">Desenho para tocar no erro: achar a falha no escritório</t>
  </si>
  <si>
    <t xml:space="preserve">bancos e serviços digitais na região (avaliação nossa)</t>
  </si>
  <si>
    <t xml:space="preserve">Telas fáceis de usar: noções de design</t>
  </si>
  <si>
    <t xml:space="preserve">Desenho para tocar no erro: achar o botão confuso</t>
  </si>
  <si>
    <t xml:space="preserve">empresas de aplicativos nas capitais (avaliação nossa)</t>
  </si>
  <si>
    <t xml:space="preserve">Aplicativos de celular: primeiros passos</t>
  </si>
  <si>
    <t xml:space="preserve">Montar o passo a passo: uma tela com um botão</t>
  </si>
  <si>
    <t xml:space="preserve">Central de chamados em TI: prioridades e prazos</t>
  </si>
  <si>
    <t xml:space="preserve">Arrastar e soltar: ordenar os chamados por urgência</t>
  </si>
  <si>
    <t xml:space="preserve">suporte de TI para muitas empresas (avaliação nossa)</t>
  </si>
  <si>
    <t xml:space="preserve">Robôs industriais: noções</t>
  </si>
  <si>
    <t xml:space="preserve">Vídeo curto com pergunta: onde o operador pode ficar?</t>
  </si>
  <si>
    <t xml:space="preserve">a indústria automotiva usa robôs (avaliação nossa)</t>
  </si>
  <si>
    <t xml:space="preserve">hotéis de negócios nas capitais (avaliação nossa)</t>
  </si>
  <si>
    <t xml:space="preserve">turismo rural no interior (avaliação nossa)</t>
  </si>
  <si>
    <t xml:space="preserve">Turismo de negócios: eventos e feiras</t>
  </si>
  <si>
    <t xml:space="preserve">Montar o passo a passo: credenciar o público do evento</t>
  </si>
  <si>
    <t xml:space="preserve">feiras e congressos nas capitais (avaliação nossa)</t>
  </si>
  <si>
    <t xml:space="preserve">Bar e restaurante movimentado: atendimento rápido</t>
  </si>
  <si>
    <t xml:space="preserve">Simulador de atendimento: a mesa com pressa</t>
  </si>
  <si>
    <t xml:space="preserve">bares e restaurantes cheios nas capitais (avaliação nossa)</t>
  </si>
  <si>
    <t xml:space="preserve">Cafeteria: atendimento e cardápio</t>
  </si>
  <si>
    <t xml:space="preserve">Jogo de memória: a bebida e o preparo</t>
  </si>
  <si>
    <t xml:space="preserve">cultura do café na região (avaliação nossa)</t>
  </si>
  <si>
    <t xml:space="preserve">Turismo histórico: cidades antigas e museus</t>
  </si>
  <si>
    <t xml:space="preserve">Vídeo curto com pergunta: o que contar ao visitante?</t>
  </si>
  <si>
    <t xml:space="preserve">cidades históricas em Minas Gerais (avaliação nossa)</t>
  </si>
  <si>
    <t xml:space="preserve">centrais de atendimento nas grandes cidades (avaliação nossa)</t>
  </si>
  <si>
    <t xml:space="preserve">centrais de cobrança nas grandes cidades (avaliação nossa)</t>
  </si>
  <si>
    <t xml:space="preserve">atendimento digital de muitas empresas (avaliação nossa)</t>
  </si>
  <si>
    <t xml:space="preserve">condomínios nas grandes cidades (avaliação nossa)</t>
  </si>
  <si>
    <t xml:space="preserve">Promotor de vendas: rotina no ponto de venda</t>
  </si>
  <si>
    <t xml:space="preserve">Desenho para tocar no erro: a prateleira fora do padrão</t>
  </si>
  <si>
    <t xml:space="preserve">supermercados e redes grandes (avaliação nossa)</t>
  </si>
  <si>
    <t xml:space="preserve">Vitrine que vende: montar e trocar</t>
  </si>
  <si>
    <t xml:space="preserve">Arrastar e soltar: montar a vitrine da semana</t>
  </si>
  <si>
    <t xml:space="preserve">comércio de rua e de shopping (avaliação nossa)</t>
  </si>
  <si>
    <t xml:space="preserve">Prevenção de perdas no varejo</t>
  </si>
  <si>
    <t xml:space="preserve">Estudo de caso: o estoque que não fecha</t>
  </si>
  <si>
    <t xml:space="preserve">varejo grande na região (avaliação nossa)</t>
  </si>
  <si>
    <t xml:space="preserve">Loja virtual: rotina de pedidos e trocas</t>
  </si>
  <si>
    <t xml:space="preserve">Simulador de atendimento: o cliente que quer trocar</t>
  </si>
  <si>
    <t xml:space="preserve">comércio eletrônico concentrado na região (avaliação nossa)</t>
  </si>
  <si>
    <t xml:space="preserve">Loja de shopping: metas e atendimento</t>
  </si>
  <si>
    <t xml:space="preserve">Planilha de exercício: acompanhar a meta do dia</t>
  </si>
  <si>
    <t xml:space="preserve">shoppings em todas as capitais (avaliação nossa)</t>
  </si>
  <si>
    <t xml:space="preserve">Pet shop: atendimento e cuidados básicos</t>
  </si>
  <si>
    <t xml:space="preserve">Simulador de atendimento: o tutor com pressa</t>
  </si>
  <si>
    <t xml:space="preserve">pet shops em todo bairro (avaliação nossa)</t>
  </si>
  <si>
    <t xml:space="preserve">Abertura e fechamento de loja</t>
  </si>
  <si>
    <t xml:space="preserve">Montar o passo a passo: fechar o caixa do dia</t>
  </si>
  <si>
    <t xml:space="preserve">lojas com turnos longos (avaliação nossa)</t>
  </si>
  <si>
    <t xml:space="preserve">indústria e serviços 24 horas (avaliação nossa)</t>
  </si>
  <si>
    <t xml:space="preserve">escritórios nas capitais (avaliação nossa)</t>
  </si>
  <si>
    <t xml:space="preserve">escritórios e empresas de serviço (avaliação nossa)</t>
  </si>
  <si>
    <t xml:space="preserve">Departamento pessoal: rotina básica</t>
  </si>
  <si>
    <t xml:space="preserve">Planilha de exercício: conferir a folha de ponto</t>
  </si>
  <si>
    <t xml:space="preserve">empresas de serviço e indústria (avaliação nossa)</t>
  </si>
  <si>
    <t xml:space="preserve">Recrutamento e seleção: noções</t>
  </si>
  <si>
    <t xml:space="preserve">Estudo de caso: escolher entre dois candidatos</t>
  </si>
  <si>
    <t xml:space="preserve">empresas de todos os tamanhos contratam na região (avaliação nossa)</t>
  </si>
  <si>
    <t xml:space="preserve">Trabalho remoto e híbrido: rotina e ferramentas</t>
  </si>
  <si>
    <t xml:space="preserve">Reflexão escrita: como organizar o trabalho em casa</t>
  </si>
  <si>
    <t xml:space="preserve">empresas de serviço com trabalho remoto (avaliação nossa)</t>
  </si>
  <si>
    <t xml:space="preserve">Indicadores no trabalho: ler e acompanhar</t>
  </si>
  <si>
    <t xml:space="preserve">Planilha de exercício: o gráfico da semana</t>
  </si>
  <si>
    <t xml:space="preserve">empresas cobram metas por indicador (avaliação nossa)</t>
  </si>
  <si>
    <t xml:space="preserve">muitos centros de distribuição (avaliação nossa)</t>
  </si>
  <si>
    <t xml:space="preserve">indústria diversificada (avaliação nossa)</t>
  </si>
  <si>
    <t xml:space="preserve">Comércio exterior: documentos básicos (noções)</t>
  </si>
  <si>
    <t xml:space="preserve">portos e aeroportos da região (avaliação nossa)</t>
  </si>
  <si>
    <t xml:space="preserve">portos grandes na região (avaliação nossa)</t>
  </si>
  <si>
    <t xml:space="preserve">rodovias com muito caminhão (avaliação nossa)</t>
  </si>
  <si>
    <t xml:space="preserve">Entregas na cidade: rotas e horários</t>
  </si>
  <si>
    <t xml:space="preserve">Arrastar e soltar: encaixar as entregas nos horários</t>
  </si>
  <si>
    <t xml:space="preserve">trânsito pesado nas capitais (avaliação nossa)</t>
  </si>
  <si>
    <t xml:space="preserve">Logística reversa: devoluções e trocas</t>
  </si>
  <si>
    <t xml:space="preserve">Estudo de caso: o produto que voltou</t>
  </si>
  <si>
    <t xml:space="preserve">o comércio eletrônico gera muita devolução (avaliação nossa)</t>
  </si>
  <si>
    <t xml:space="preserve">Motofrete: noções (não substitui curso exigido por lei)</t>
  </si>
  <si>
    <t xml:space="preserve">Vídeo curto com pergunta: o que está errado na moto?</t>
  </si>
  <si>
    <t xml:space="preserve">entregas de moto nas capitais (avaliação nossa)</t>
  </si>
  <si>
    <t xml:space="preserve">Frota pequena: manutenção e custos</t>
  </si>
  <si>
    <t xml:space="preserve">Planilha de exercício: o custo por quilômetro</t>
  </si>
  <si>
    <t xml:space="preserve">muitas transportadoras pequenas (avaliação nossa)</t>
  </si>
  <si>
    <t xml:space="preserve">Faturamento de consultas e exames: noções</t>
  </si>
  <si>
    <t xml:space="preserve">Planilha de exercício: conferir a guia antes de enviar</t>
  </si>
  <si>
    <t xml:space="preserve">muitas clínicas e hospitais (avaliação nossa)</t>
  </si>
  <si>
    <t xml:space="preserve">Autorização de exames: rotina do administrativo</t>
  </si>
  <si>
    <t xml:space="preserve">Simulador de atendimento: o paciente esperando a liberação</t>
  </si>
  <si>
    <t xml:space="preserve">rede de saúde grande nas capitais (avaliação nossa)</t>
  </si>
  <si>
    <t xml:space="preserve">Recepção hospitalar: acolhimento e fila</t>
  </si>
  <si>
    <t xml:space="preserve">Simulador de atendimento: a fila cheia no pronto atendimento</t>
  </si>
  <si>
    <t xml:space="preserve">hospitais grandes nas capitais (avaliação nossa)</t>
  </si>
  <si>
    <t xml:space="preserve">Agenda médica cheia: encaixes e faltas</t>
  </si>
  <si>
    <t xml:space="preserve">Arrastar e soltar: encaixar os pacientes na agenda</t>
  </si>
  <si>
    <t xml:space="preserve">muitas clínicas nas cidades (avaliação nossa)</t>
  </si>
  <si>
    <t xml:space="preserve">Almoxarifado de clínica e hospital: noções</t>
  </si>
  <si>
    <t xml:space="preserve">Arrastar e soltar: guardar cada material no lugar</t>
  </si>
  <si>
    <t xml:space="preserve">Rouparia e hotelaria hospitalar: noções</t>
  </si>
  <si>
    <t xml:space="preserve">Montar o passo a passo: a troca do enxoval</t>
  </si>
  <si>
    <t xml:space="preserve">construção civil forte nas cidades (avaliação nossa)</t>
  </si>
  <si>
    <t xml:space="preserve">Paredes de gesso acartonado: noções</t>
  </si>
  <si>
    <t xml:space="preserve">Montar o passo a passo: montar a estrutura</t>
  </si>
  <si>
    <t xml:space="preserve">obras rápidas em prédios e lojas (avaliação nossa)</t>
  </si>
  <si>
    <t xml:space="preserve">Manutenção predial: rotina e checklist</t>
  </si>
  <si>
    <t xml:space="preserve">Planilha de exercício: o checklist do prédio</t>
  </si>
  <si>
    <t xml:space="preserve">muitos prédios nas cidades (avaliação nossa)</t>
  </si>
  <si>
    <t xml:space="preserve">Zeladoria de condomínio</t>
  </si>
  <si>
    <t xml:space="preserve">Estudo de caso: o vazamento na garagem</t>
  </si>
  <si>
    <t xml:space="preserve">Pintura com textura: noções</t>
  </si>
  <si>
    <t xml:space="preserve">Vídeo curto com pergunta: qual rolo usar?</t>
  </si>
  <si>
    <t xml:space="preserve">reformas nas cidades (avaliação nossa)</t>
  </si>
  <si>
    <t xml:space="preserve">Andaime: noções (não substitui NR-18 e NR-35)</t>
  </si>
  <si>
    <t xml:space="preserve">Desenho para tocar no erro: achar o andaime errado</t>
  </si>
  <si>
    <t xml:space="preserve">prédios em obra nas capitais (avaliação nossa)</t>
  </si>
  <si>
    <t xml:space="preserve">Impermeabilização de laje: noções</t>
  </si>
  <si>
    <t xml:space="preserve">Montar o passo a passo: da limpeza à manta</t>
  </si>
  <si>
    <t xml:space="preserve">infiltração é problema comum nas cidades (avaliação nossa)</t>
  </si>
  <si>
    <t xml:space="preserve">indústria forte nos três estados (avaliação nossa)</t>
  </si>
  <si>
    <t xml:space="preserve">metalmecânica e móveis usam muita máquina (avaliação nossa)</t>
  </si>
  <si>
    <t xml:space="preserve">metalmecânica forte na região (avaliação nossa)</t>
  </si>
  <si>
    <t xml:space="preserve">metalmecânica forte na Serra Gaúcha e em Santa Catarina (avaliação nossa)</t>
  </si>
  <si>
    <t xml:space="preserve">fábricas de veículos, ônibus e implementos (avaliação nossa)</t>
  </si>
  <si>
    <t xml:space="preserve">Caldeiraria: noções</t>
  </si>
  <si>
    <t xml:space="preserve">Vídeo curto com pergunta: qual etapa vem agora?</t>
  </si>
  <si>
    <t xml:space="preserve">metalmecânica e implementos agrícolas (avaliação nossa)</t>
  </si>
  <si>
    <t xml:space="preserve">Pintura industrial: noções</t>
  </si>
  <si>
    <t xml:space="preserve">Desenho para tocar no erro: achar a falha na pintura</t>
  </si>
  <si>
    <t xml:space="preserve">metalmecânica e móveis precisam de acabamento (avaliação nossa)</t>
  </si>
  <si>
    <t xml:space="preserve">Montagem mecânica: noções</t>
  </si>
  <si>
    <t xml:space="preserve">Montar o passo a passo: montar um conjunto simples</t>
  </si>
  <si>
    <t xml:space="preserve">fábricas de máquinas e implementos (avaliação nossa)</t>
  </si>
  <si>
    <t xml:space="preserve">Marcenaria: noções de corte e montagem</t>
  </si>
  <si>
    <t xml:space="preserve">Montar o passo a passo: do corte à montagem do móvel</t>
  </si>
  <si>
    <t xml:space="preserve">polo moveleiro na região (avaliação nossa)</t>
  </si>
  <si>
    <t xml:space="preserve">Móveis sob medida: medir e montar</t>
  </si>
  <si>
    <t xml:space="preserve">Planilha de exercício: medir o ambiente e listar as peças</t>
  </si>
  <si>
    <t xml:space="preserve">polo moveleiro e lojas de móveis planejados (avaliação nossa)</t>
  </si>
  <si>
    <t xml:space="preserve">Acabamento em madeira: lixa, verniz e pintura</t>
  </si>
  <si>
    <t xml:space="preserve">Desenho para tocar no erro: achar a falha no acabamento</t>
  </si>
  <si>
    <t xml:space="preserve">Malharia: noções da produção</t>
  </si>
  <si>
    <t xml:space="preserve">Vídeo curto com pergunta: qual etapa da malha é esta?</t>
  </si>
  <si>
    <t xml:space="preserve">indústria têxtil em Santa Catarina (avaliação nossa)</t>
  </si>
  <si>
    <t xml:space="preserve">indústria têxtil e de confecção (avaliação nossa)</t>
  </si>
  <si>
    <t xml:space="preserve">indústria de confecção (avaliação nossa)</t>
  </si>
  <si>
    <t xml:space="preserve">frigoríficos de aves e suínos (avaliação nossa)</t>
  </si>
  <si>
    <t xml:space="preserve">maçã e uva passam por galpões de embalagem (avaliação nossa)</t>
  </si>
  <si>
    <t xml:space="preserve">soja forte no Paraná e no Rio Grande do Sul (avaliação nossa)</t>
  </si>
  <si>
    <t xml:space="preserve">agricultura mecanizada nos três estados (avaliação nossa)</t>
  </si>
  <si>
    <t xml:space="preserve">cooperativas recebem muito grão (avaliação nossa)</t>
  </si>
  <si>
    <t xml:space="preserve">leite forte nos três estados (avaliação nossa)</t>
  </si>
  <si>
    <t xml:space="preserve">Aviário de frangos: rotina e bem-estar</t>
  </si>
  <si>
    <t xml:space="preserve">Desenho para tocar no erro: achar o problema no aviário</t>
  </si>
  <si>
    <t xml:space="preserve">aves fortes no Paraná e em Santa Catarina (avaliação nossa)</t>
  </si>
  <si>
    <t xml:space="preserve">Granja de suínos: rotina e bem-estar</t>
  </si>
  <si>
    <t xml:space="preserve">Quiz com reteste: cuidados na maternidade</t>
  </si>
  <si>
    <t xml:space="preserve">suínos fortes em Santa Catarina (avaliação nossa)</t>
  </si>
  <si>
    <t xml:space="preserve">Biosseguridade na granja: noções</t>
  </si>
  <si>
    <t xml:space="preserve">Arrastar e soltar: a ordem da entrada na granja</t>
  </si>
  <si>
    <t xml:space="preserve">aves e suínos exigem controle sanitário (avaliação nossa)</t>
  </si>
  <si>
    <t xml:space="preserve">Poda da videira: noções</t>
  </si>
  <si>
    <t xml:space="preserve">Desenho para tocar no erro: achar a poda errada</t>
  </si>
  <si>
    <t xml:space="preserve">uva e vinho na Serra Gaúcha (avaliação nossa)</t>
  </si>
  <si>
    <t xml:space="preserve">Colheita da uva: cuidados</t>
  </si>
  <si>
    <t xml:space="preserve">Arrastar e soltar: o cacho bom e o cacho com defeito</t>
  </si>
  <si>
    <t xml:space="preserve">a safra da uva movimenta a serra (avaliação nossa)</t>
  </si>
  <si>
    <t xml:space="preserve">Suco de uva e vinho: etapas da produção (noções)</t>
  </si>
  <si>
    <t xml:space="preserve">Montar o passo a passo: da uva à garrafa</t>
  </si>
  <si>
    <t xml:space="preserve">cantinas e vinícolas familiares (avaliação nossa)</t>
  </si>
  <si>
    <t xml:space="preserve">Cooperativa: como participar e votar</t>
  </si>
  <si>
    <t xml:space="preserve">Estudo de caso: a assembleia que decidiu</t>
  </si>
  <si>
    <t xml:space="preserve">cooperativas agroindustriais fortes na região (avaliação nossa)</t>
  </si>
  <si>
    <t xml:space="preserve">Agroindústria familiar: rótulo e venda (noções)</t>
  </si>
  <si>
    <t xml:space="preserve">Desenho para tocar no erro: o rótulo sem informação</t>
  </si>
  <si>
    <t xml:space="preserve">agroindústrias familiares no interior (avaliação nossa)</t>
  </si>
  <si>
    <t xml:space="preserve">Erva-mate: colheita e beneficiamento (noções)</t>
  </si>
  <si>
    <t xml:space="preserve">Montar o passo a passo: do pé ao pacote</t>
  </si>
  <si>
    <t xml:space="preserve">erva-mate tradicional no Paraná e no Rio Grande do Sul (avaliação nossa)</t>
  </si>
  <si>
    <t xml:space="preserve">Maçã e frutas de clima frio: colheita</t>
  </si>
  <si>
    <t xml:space="preserve">Arrastar e soltar: a fruta no ponto ou verde</t>
  </si>
  <si>
    <t xml:space="preserve">maçã e pêssego na serra (avaliação nossa)</t>
  </si>
  <si>
    <t xml:space="preserve">Arroz irrigado: noções</t>
  </si>
  <si>
    <t xml:space="preserve">Vídeo curto com pergunta: a lâmina de água está certa?</t>
  </si>
  <si>
    <t xml:space="preserve">arroz irrigado forte no Rio Grande do Sul (avaliação nossa)</t>
  </si>
  <si>
    <t xml:space="preserve">Madeira de reflorestamento: do plantio ao corte</t>
  </si>
  <si>
    <t xml:space="preserve">Montar o passo a passo: o ciclo da floresta plantada</t>
  </si>
  <si>
    <t xml:space="preserve">reflorestamento abastece móveis e papel (avaliação nossa)</t>
  </si>
  <si>
    <t xml:space="preserve">metalmecânica e alimentos automatizados (avaliação nossa)</t>
  </si>
  <si>
    <t xml:space="preserve">polos de tecnologia em Florianópolis e outras cidades (avaliação nossa)</t>
  </si>
  <si>
    <t xml:space="preserve">cooperativas levam tecnologia ao campo (avaliação nossa)</t>
  </si>
  <si>
    <t xml:space="preserve">drones na agricultura da região (avaliação nossa)</t>
  </si>
  <si>
    <t xml:space="preserve">polos de tecnologia na região (avaliação nossa)</t>
  </si>
  <si>
    <t xml:space="preserve">empresas de tecnologia e indústria (avaliação nossa)</t>
  </si>
  <si>
    <t xml:space="preserve">Atendimento ao turista em espanhol</t>
  </si>
  <si>
    <t xml:space="preserve">Simulador de atendimento: o turista que pede informação</t>
  </si>
  <si>
    <t xml:space="preserve">turistas de países vizinhos no verão e no inverno (avaliação nossa)</t>
  </si>
  <si>
    <t xml:space="preserve">pousadas na serra e no litoral (avaliação nossa)</t>
  </si>
  <si>
    <t xml:space="preserve">turismo rural forte na serra (avaliação nossa)</t>
  </si>
  <si>
    <t xml:space="preserve">Enoturismo: atender na vinícola</t>
  </si>
  <si>
    <t xml:space="preserve">Simulador de atendimento: receber o grupo na cantina</t>
  </si>
  <si>
    <t xml:space="preserve">vinícolas abertas ao turista na serra (avaliação nossa)</t>
  </si>
  <si>
    <t xml:space="preserve">Serviço de vinho à mesa</t>
  </si>
  <si>
    <t xml:space="preserve">Montar o passo a passo: abrir e servir a garrafa</t>
  </si>
  <si>
    <t xml:space="preserve">restaurantes da serra servem vinho local (avaliação nossa)</t>
  </si>
  <si>
    <t xml:space="preserve">Café colonial: montar e servir</t>
  </si>
  <si>
    <t xml:space="preserve">Arrastar e soltar: montar a mesa do café</t>
  </si>
  <si>
    <t xml:space="preserve">o café colonial é tradição na serra (avaliação nossa)</t>
  </si>
  <si>
    <t xml:space="preserve">Turismo de inverno na serra: atender o visitante</t>
  </si>
  <si>
    <t xml:space="preserve">Estudo de caso: o hóspede que reclamou do frio</t>
  </si>
  <si>
    <t xml:space="preserve">o frio da serra atrai turistas (avaliação nossa)</t>
  </si>
  <si>
    <t xml:space="preserve">Churrascaria: atendimento no salão</t>
  </si>
  <si>
    <t xml:space="preserve">Simulador de atendimento: o espeto e a mesa</t>
  </si>
  <si>
    <t xml:space="preserve">churrasco é tradição na região (avaliação nossa)</t>
  </si>
  <si>
    <t xml:space="preserve">lojas de cooperativas no interior (avaliação nossa)</t>
  </si>
  <si>
    <t xml:space="preserve">venda de insumos e máquinas no interior (avaliação nossa)</t>
  </si>
  <si>
    <t xml:space="preserve">redes de supermercados na região (avaliação nossa)</t>
  </si>
  <si>
    <t xml:space="preserve">comércio forte nas cidades médias (avaliação nossa)</t>
  </si>
  <si>
    <t xml:space="preserve">varejo e supermercados na região (avaliação nossa)</t>
  </si>
  <si>
    <t xml:space="preserve">lojas virtuais em todo o Sul (avaliação nossa)</t>
  </si>
  <si>
    <t xml:space="preserve">pet shops nas cidades (avaliação nossa)</t>
  </si>
  <si>
    <t xml:space="preserve">indústria e frigoríficos em turnos (avaliação nossa)</t>
  </si>
  <si>
    <t xml:space="preserve">temporada de verão no litoral e de inverno na serra (avaliação nossa)</t>
  </si>
  <si>
    <t xml:space="preserve">a agricultura familiar vende para escolas (avaliação nossa)</t>
  </si>
  <si>
    <t xml:space="preserve">indústrias e cooperativas (avaliação nossa)</t>
  </si>
  <si>
    <t xml:space="preserve">indústria e cooperativas usam indicadores (avaliação nossa)</t>
  </si>
  <si>
    <t xml:space="preserve">Empresa familiar: organização e sucessão</t>
  </si>
  <si>
    <t xml:space="preserve">Estudo de caso: o filho que assumiu a loja</t>
  </si>
  <si>
    <t xml:space="preserve">muitas empresas familiares na região (avaliação nossa)</t>
  </si>
  <si>
    <t xml:space="preserve">carnes de aves e suínos viajam refrigeradas (avaliação nossa)</t>
  </si>
  <si>
    <t xml:space="preserve">comércio com os países do Mercosul (avaliação nossa)</t>
  </si>
  <si>
    <t xml:space="preserve">portos exportam grãos e carnes (avaliação nossa)</t>
  </si>
  <si>
    <t xml:space="preserve">cooperativas com muitos silos (avaliação nossa)</t>
  </si>
  <si>
    <t xml:space="preserve">cooperativas recebem a safra (avaliação nossa)</t>
  </si>
  <si>
    <t xml:space="preserve">safra escoada por caminhão até os portos (avaliação nossa)</t>
  </si>
  <si>
    <t xml:space="preserve">transporte de cargas forte (avaliação nossa)</t>
  </si>
  <si>
    <t xml:space="preserve">entregas nas cidades médias e capitais (avaliação nossa)</t>
  </si>
  <si>
    <t xml:space="preserve">lojas virtuais e indústria na região (avaliação nossa)</t>
  </si>
  <si>
    <t xml:space="preserve">entregas de moto nas cidades (avaliação nossa)</t>
  </si>
  <si>
    <t xml:space="preserve">agricultura familiar com trabalho braçal (avaliação nossa)</t>
  </si>
  <si>
    <t xml:space="preserve">clínicas e hospitais nas cidades (avaliação nossa)</t>
  </si>
  <si>
    <t xml:space="preserve">hospitais nas cidades (avaliação nossa)</t>
  </si>
  <si>
    <t xml:space="preserve">clínicas nas cidades médias (avaliação nossa)</t>
  </si>
  <si>
    <t xml:space="preserve">casas de madeira são tradição (avaliação nossa)</t>
  </si>
  <si>
    <t xml:space="preserve">reformas em casas e lojas (avaliação nossa)</t>
  </si>
  <si>
    <t xml:space="preserve">prédios e condomínios nas cidades (avaliação nossa)</t>
  </si>
  <si>
    <t xml:space="preserve">obras de prédios nas cidades (avaliação nossa)</t>
  </si>
  <si>
    <t xml:space="preserve">Isolamento térmico em casa: noções</t>
  </si>
  <si>
    <t xml:space="preserve">Estudo de caso: a casa fria no inverno</t>
  </si>
  <si>
    <t xml:space="preserve">inverno frio na região (avaliação nossa)</t>
  </si>
  <si>
    <t xml:space="preserve">Banco de pessoas vivo: 14 formas de entrar e de manter contato todo dia</t>
  </si>
  <si>
    <t xml:space="preserve">Regra de ouro: o banco só cresce com consentimento. Nada de lista comprada, nada de raspar Instagram. Custos a verificar antes de decidir.</t>
  </si>
  <si>
    <t xml:space="preserve">Canal</t>
  </si>
  <si>
    <t xml:space="preserve">Como a pessoa entra no banco</t>
  </si>
  <si>
    <t xml:space="preserve">O que ela recebe ou faz todo dia</t>
  </si>
  <si>
    <t xml:space="preserve">Consentimento</t>
  </si>
  <si>
    <t xml:space="preserve">Custo (a verificar)</t>
  </si>
  <si>
    <t xml:space="preserve">Precisa de código?</t>
  </si>
  <si>
    <t xml:space="preserve">Pronto para 13/10?</t>
  </si>
  <si>
    <t xml:space="preserve">Cuidado</t>
  </si>
  <si>
    <t xml:space="preserve">QR e link nos restaurantes do Vem Comer</t>
  </si>
  <si>
    <t xml:space="preserve">Cartaz na mesa e no balcão: 'Procura emprego? Toque aqui'.</t>
  </si>
  <si>
    <t xml:space="preserve">Vaga perto de onde a pessoa está.</t>
  </si>
  <si>
    <t xml:space="preserve">No cadastro, com caixa desmarcada.</t>
  </si>
  <si>
    <t xml:space="preserve">Impressão do cartaz</t>
  </si>
  <si>
    <t xml:space="preserve">Pouco</t>
  </si>
  <si>
    <t xml:space="preserve">Só pôr o cartaz onde o dono do restaurante aceitar.</t>
  </si>
  <si>
    <t xml:space="preserve">Link na bio e posts das páginas de vagas do Instagram</t>
  </si>
  <si>
    <t xml:space="preserve">Páginas parceiras (as mais de mil que o GD conhece) divulgam o link: 'Candidate-se com 1 toque'.</t>
  </si>
  <si>
    <t xml:space="preserve">Stories, posts e vagas novas.</t>
  </si>
  <si>
    <t xml:space="preserve">No cadastro.</t>
  </si>
  <si>
    <t xml:space="preserve">Acordo com cada página (permuta ou pagamento)</t>
  </si>
  <si>
    <t xml:space="preserve">Não raspar dados do Instagram nem usar robô: a regra da rede proíbe. Só link.</t>
  </si>
  <si>
    <t xml:space="preserve">WhatsApp: link de entrada e lista com aceite</t>
  </si>
  <si>
    <t xml:space="preserve">Toque em 'falar no WhatsApp' abre a conversa; a pessoa diz 'quero receber vagas'.</t>
  </si>
  <si>
    <t xml:space="preserve">Vagas novas, lição do dia, aviso de entrevista.</t>
  </si>
  <si>
    <t xml:space="preserve">Aceite escrito na conversa (opt-in).</t>
  </si>
  <si>
    <t xml:space="preserve">Verificar: a conta oficial cobra por mensagem enviada</t>
  </si>
  <si>
    <t xml:space="preserve">Pouco (entrada); muito (envio em massa)</t>
  </si>
  <si>
    <t xml:space="preserve">Parcial</t>
  </si>
  <si>
    <t xml:space="preserve">Usar só a conta oficial do WhatsApp; mensagem fora do aceite é bloqueio.</t>
  </si>
  <si>
    <t xml:space="preserve">Notificação do app (PWA)</t>
  </si>
  <si>
    <t xml:space="preserve">A pessoa abre o app no celular e aceita receber avisos.</t>
  </si>
  <si>
    <t xml:space="preserve">Vaga com nota alta, lição do dia, prazo de curso.</t>
  </si>
  <si>
    <t xml:space="preserve">Permissão do próprio celular.</t>
  </si>
  <si>
    <t xml:space="preserve">Perto de zero</t>
  </si>
  <si>
    <t xml:space="preserve">Médio</t>
  </si>
  <si>
    <t xml:space="preserve">Não</t>
  </si>
  <si>
    <t xml:space="preserve">No iPhone o aviso só funciona com o app instalado na tela inicial (verificar a versão).</t>
  </si>
  <si>
    <t xml:space="preserve">E-mail</t>
  </si>
  <si>
    <t xml:space="preserve">A pessoa informa o e-mail no cadastro.</t>
  </si>
  <si>
    <t xml:space="preserve">Resumo semanal de vagas e cursos.</t>
  </si>
  <si>
    <t xml:space="preserve">Caixa de aceite separada, com cancelamento em um toque.</t>
  </si>
  <si>
    <t xml:space="preserve">Baixo (verificar)</t>
  </si>
  <si>
    <t xml:space="preserve">Todo e-mail precisa de link para sair da lista.</t>
  </si>
  <si>
    <t xml:space="preserve">SMS</t>
  </si>
  <si>
    <t xml:space="preserve">Código de entrada no cadastro.</t>
  </si>
  <si>
    <t xml:space="preserve">Código e aviso urgente (entrevista marcada).</t>
  </si>
  <si>
    <t xml:space="preserve">Aceite no cadastro.</t>
  </si>
  <si>
    <t xml:space="preserve">Por mensagem (verificar)</t>
  </si>
  <si>
    <t xml:space="preserve">Só para o que é urgente; custa por mensagem.</t>
  </si>
  <si>
    <t xml:space="preserve">Currículo em PDF com link e QR</t>
  </si>
  <si>
    <t xml:space="preserve">Cada currículo compartilhado leva 'Feito no Vem Trabalhar'.</t>
  </si>
  <si>
    <t xml:space="preserve">Quem recebe o currículo conhece o app.</t>
  </si>
  <si>
    <t xml:space="preserve">Quem abre o link se cadastra por conta própria.</t>
  </si>
  <si>
    <t xml:space="preserve">Muito</t>
  </si>
  <si>
    <t xml:space="preserve">A marca fica discreta e pode ser desligada num plano pago.</t>
  </si>
  <si>
    <t xml:space="preserve">Indique um amigo</t>
  </si>
  <si>
    <t xml:space="preserve">Link de convite com código.</t>
  </si>
  <si>
    <t xml:space="preserve">Avisos de quando o amigo entra.</t>
  </si>
  <si>
    <t xml:space="preserve">O amigo aceita ao se cadastrar.</t>
  </si>
  <si>
    <t xml:space="preserve">Prêmio a definir</t>
  </si>
  <si>
    <t xml:space="preserve">Prêmio em curso ou recurso do app, não em dinheiro, até o advogado ver.</t>
  </si>
  <si>
    <t xml:space="preserve">Páginas públicas de vagas e cursos (Google)</t>
  </si>
  <si>
    <t xml:space="preserve">Busca no Google leva à vaga ou ao curso.</t>
  </si>
  <si>
    <t xml:space="preserve">Perto de zero depois de pronto</t>
  </si>
  <si>
    <t xml:space="preserve">Verificar se o Google exibe vagas no Brasil com esse tipo de marcação.</t>
  </si>
  <si>
    <t xml:space="preserve">Lição do dia e sequência de dias</t>
  </si>
  <si>
    <t xml:space="preserve">Quem faz um curso livre ganha uma lição curta por dia.</t>
  </si>
  <si>
    <t xml:space="preserve">Uma lição de 5 a 8 minutos, com sequência de dias seguidos.</t>
  </si>
  <si>
    <t xml:space="preserve">Aceite de avisos.</t>
  </si>
  <si>
    <t xml:space="preserve">A sequência incentiva o hábito, mas não pune a pessoa que falha.</t>
  </si>
  <si>
    <t xml:space="preserve">Parceiros convidam alunos e ex-alunos</t>
  </si>
  <si>
    <t xml:space="preserve">Escola envia o link pelo portal do parceiro.</t>
  </si>
  <si>
    <t xml:space="preserve">Cursos e vagas ligadas ao curso dela.</t>
  </si>
  <si>
    <t xml:space="preserve">O aluno aceita ao se cadastrar.</t>
  </si>
  <si>
    <t xml:space="preserve">Zero (a escola faz)</t>
  </si>
  <si>
    <t xml:space="preserve">Escola não envia lista de contatos para nós: o aluno entra pelo link.</t>
  </si>
  <si>
    <t xml:space="preserve">Empresas convidam funcionários e candidatos</t>
  </si>
  <si>
    <t xml:space="preserve">Empresa envia o link para a equipe e para quem recebeu a vaga.</t>
  </si>
  <si>
    <t xml:space="preserve">Avaliação, cursos e vagas internas.</t>
  </si>
  <si>
    <t xml:space="preserve">O funcionário aceita e sabe que será avaliado.</t>
  </si>
  <si>
    <t xml:space="preserve">Zero (a empresa faz)</t>
  </si>
  <si>
    <t xml:space="preserve">Funcionário vê o resultado dele; empresa não recebe o teste de perfil sem a autorização dele.</t>
  </si>
  <si>
    <t xml:space="preserve">Vídeos curtos (Reels, TikTok, Shorts)</t>
  </si>
  <si>
    <t xml:space="preserve">Dicas de currículo, entrevista e curso, com link na descrição.</t>
  </si>
  <si>
    <t xml:space="preserve">Vídeo novo por dia ou por semana.</t>
  </si>
  <si>
    <t xml:space="preserve">Quem entra pelo link se cadastra.</t>
  </si>
  <si>
    <t xml:space="preserve">Tempo; produção com IA e revisão humana</t>
  </si>
  <si>
    <t xml:space="preserve">Nenhum</t>
  </si>
  <si>
    <t xml:space="preserve">Revisão humana antes de postar; nada que prometa emprego.</t>
  </si>
  <si>
    <t xml:space="preserve">Áudio no WhatsApp para fazer o currículo falando</t>
  </si>
  <si>
    <t xml:space="preserve">A pessoa manda áudios e recebe o currículo pronto.</t>
  </si>
  <si>
    <t xml:space="preserve">O currículo e as vagas que combinam.</t>
  </si>
  <si>
    <t xml:space="preserve">Aceite no começo da conversa.</t>
  </si>
  <si>
    <t xml:space="preserve">Verificar (transcrição e mensagens)</t>
  </si>
  <si>
    <t xml:space="preserve">O áudio é dado pessoal: apagar depois de transcrever.</t>
  </si>
  <si>
    <t xml:space="preserve">Canais prontos para 13/10</t>
  </si>
  <si>
    <t xml:space="preserve">Parcialmente prontos</t>
  </si>
  <si>
    <t xml:space="preserve">Total de canais</t>
  </si>
  <si>
    <t xml:space="preserve">O que o painel do dono mostra todo dia</t>
  </si>
  <si>
    <t xml:space="preserve">Para quê</t>
  </si>
  <si>
    <t xml:space="preserve">Pessoas que entraram hoje, por canal</t>
  </si>
  <si>
    <t xml:space="preserve">Saber qual canal funciona e onde parar de gastar.</t>
  </si>
  <si>
    <t xml:space="preserve">Quantas aceitaram receber avisos</t>
  </si>
  <si>
    <t xml:space="preserve">O banco útil é o que tem aceite.</t>
  </si>
  <si>
    <t xml:space="preserve">Quantas já têm currículo e quantas fizeram teste</t>
  </si>
  <si>
    <t xml:space="preserve">Medir se o cadastro vira perfil completo.</t>
  </si>
  <si>
    <t xml:space="preserve">Quantas fizeram a lição do dia e quantas voltaram</t>
  </si>
  <si>
    <t xml:space="preserve">Medir o hábito, que mantém o banco vivo.</t>
  </si>
  <si>
    <t xml:space="preserve">Vagas novas e candidatos por vaga</t>
  </si>
  <si>
    <t xml:space="preserve">Equilibrar os dois lados.</t>
  </si>
  <si>
    <t xml:space="preserve">Tempo até a primeira resposta de uma empresa</t>
  </si>
  <si>
    <t xml:space="preserve">Candidato sem resposta some do app.</t>
  </si>
  <si>
    <t xml:space="preserve">Matrículas e comissões do mês</t>
  </si>
  <si>
    <t xml:space="preserve">Acompanhar a receita das parcerias.</t>
  </si>
  <si>
    <t xml:space="preserve">Sistema vivo: agentes que propõem melhoria todo dia, e pessoas que decidem</t>
  </si>
  <si>
    <t xml:space="preserve">Agente propõe, gente decide. Nada vai ao ar sem os testes passarem e sem o GD aprovar a mudança.</t>
  </si>
  <si>
    <t xml:space="preserve">Agente</t>
  </si>
  <si>
    <t xml:space="preserve">O que faz</t>
  </si>
  <si>
    <t xml:space="preserve">Quando roda</t>
  </si>
  <si>
    <t xml:space="preserve">O que entrega</t>
  </si>
  <si>
    <t xml:space="preserve">Quem aprova</t>
  </si>
  <si>
    <t xml:space="preserve">Olha o que os concorrentes e o mercado de RH e de educação lançaram de novo e compara com o que temos.</t>
  </si>
  <si>
    <t xml:space="preserve">Toda semana</t>
  </si>
  <si>
    <t xml:space="preserve">Relatório curto com 3 ideias e o que custa fazer cada uma.</t>
  </si>
  <si>
    <t xml:space="preserve">GD</t>
  </si>
  <si>
    <t xml:space="preserve">Só informação pública; sem entrar em conta de ninguém.</t>
  </si>
  <si>
    <t xml:space="preserve">Vê onde os alunos erram e onde abandonam e propõe versão melhor do curso.</t>
  </si>
  <si>
    <t xml:space="preserve">Lição reescrita e perguntas novas.</t>
  </si>
  <si>
    <t xml:space="preserve">Revisor humano</t>
  </si>
  <si>
    <t xml:space="preserve">A IA pode errar conteúdo: revisão antes de publicar.</t>
  </si>
  <si>
    <t xml:space="preserve">Vídeos</t>
  </si>
  <si>
    <t xml:space="preserve">Faz roteiro de vídeo curto a partir de cada curso e dica de carreira.</t>
  </si>
  <si>
    <t xml:space="preserve">Roteiro e legenda prontos.</t>
  </si>
  <si>
    <t xml:space="preserve">Nada que prometa emprego nem fale de pessoa real.</t>
  </si>
  <si>
    <t xml:space="preserve">Qualidade do match</t>
  </si>
  <si>
    <t xml:space="preserve">Compara a nota prevista com quem foi contratado de verdade.</t>
  </si>
  <si>
    <t xml:space="preserve">Todo mês</t>
  </si>
  <si>
    <t xml:space="preserve">Proposta de novos pesos, com o antes e o depois.</t>
  </si>
  <si>
    <t xml:space="preserve">GD e advogado</t>
  </si>
  <si>
    <t xml:space="preserve">Nunca muda o peso sozinho; sem usar dado sensível.</t>
  </si>
  <si>
    <t xml:space="preserve">Comunicação</t>
  </si>
  <si>
    <t xml:space="preserve">Testa horários e textos de mensagem para quem aceitou receber.</t>
  </si>
  <si>
    <t xml:space="preserve">Contínuo</t>
  </si>
  <si>
    <t xml:space="preserve">Qual texto trouxe mais gente de volta.</t>
  </si>
  <si>
    <t xml:space="preserve">Só para quem deu aceite; respeitar o pedido de sair.</t>
  </si>
  <si>
    <t xml:space="preserve">Lembra as escolas de atualizar cursos e vagas e confere a conta de comissão do mês.</t>
  </si>
  <si>
    <t xml:space="preserve">Extrato por escola e pendências.</t>
  </si>
  <si>
    <t xml:space="preserve">Divergência vai para análise, não vira cobrança automática.</t>
  </si>
  <si>
    <t xml:space="preserve">Privacidade</t>
  </si>
  <si>
    <t xml:space="preserve">Atende pedido de apagar ou corrigir dados e confere se o aceite está em dia.</t>
  </si>
  <si>
    <t xml:space="preserve">Todo dia</t>
  </si>
  <si>
    <t xml:space="preserve">Lista do que foi atendido.</t>
  </si>
  <si>
    <t xml:space="preserve">Automático, com revisão do advogado</t>
  </si>
  <si>
    <t xml:space="preserve">Prazos da lei (a confirmar).</t>
  </si>
  <si>
    <t xml:space="preserve">Saúde do sistema</t>
  </si>
  <si>
    <t xml:space="preserve">Confere cópia de segurança, atualização e velocidade.</t>
  </si>
  <si>
    <t xml:space="preserve">Aviso só se algo estiver errado.</t>
  </si>
  <si>
    <t xml:space="preserve">Automático</t>
  </si>
  <si>
    <t xml:space="preserve">Atualização automática com volta atrás é decisão pendente do GD.</t>
  </si>
  <si>
    <t xml:space="preserve">Vê se os modelos continuam sendo lidos pelos programas das empresas e propõe novos.</t>
  </si>
  <si>
    <t xml:space="preserve">Modelos ajustados e testes.</t>
  </si>
  <si>
    <t xml:space="preserve">A nota de leitura automática hoje é nossa avaliação.</t>
  </si>
  <si>
    <t xml:space="preserve">Limites: cada agente tem teto de custo por mês (a definir) e só mexe no que está descrito. Mudança de código passa por pull request, testes e o seu aceite.</t>
  </si>
  <si>
    <t xml:space="preserve">IA para cada dono que comprar o software: 3 pilares, por voz ou foto</t>
  </si>
  <si>
    <t xml:space="preserve">Benchmark do texto da V4 (colado pelo GD): conteúdo em escala, análise de dados e imagens profissionais. Aqui, como isso vira função em cada produto.</t>
  </si>
  <si>
    <t xml:space="preserve">Pilar</t>
  </si>
  <si>
    <t xml:space="preserve">O que o dono pede</t>
  </si>
  <si>
    <t xml:space="preserve">No Vem Comer</t>
  </si>
  <si>
    <t xml:space="preserve">No Vem Trabalhar</t>
  </si>
  <si>
    <t xml:space="preserve">Em cursos e currículo</t>
  </si>
  <si>
    <t xml:space="preserve">Regra de segurança</t>
  </si>
  <si>
    <t xml:space="preserve">Situação hoje</t>
  </si>
  <si>
    <t xml:space="preserve">1. Conteúdo em escala: uma ideia vira 10 formatos</t>
  </si>
  <si>
    <t xml:space="preserve">'Faz um post desse prato.' 'Divulga essa vaga.'</t>
  </si>
  <si>
    <t xml:space="preserve">Do prato saem: post, carrossel, story, texto de WhatsApp, cartaz com QR, roteiro de vídeo curto, e-mail, promoção, legenda e mensagem de aniversário.</t>
  </si>
  <si>
    <t xml:space="preserve">Da vaga saem: post, story, texto de WhatsApp, cartaz com QR, e-mail e vídeo curto, prontos para as páginas de vagas do Instagram.</t>
  </si>
  <si>
    <t xml:space="preserve">De uma lição saem vídeo curto, post e quiz. Do currículo sai a mensagem de apresentação para o WhatsApp.</t>
  </si>
  <si>
    <t xml:space="preserve">O dono aprova antes de publicar. Nada que prometa o que o negócio não entrega. Vaga nunca promete salário que não está cadastrado.</t>
  </si>
  <si>
    <t xml:space="preserve">A fazer</t>
  </si>
  <si>
    <t xml:space="preserve">2. Analisar dados e decidir mais rápido</t>
  </si>
  <si>
    <t xml:space="preserve">'Como foi a semana?' 'Onde estou perdendo dinheiro?'</t>
  </si>
  <si>
    <t xml:space="preserve">Prato com margem baixa (custo e CMV), desperdício, horário vazio, prato que não vende, preço fora do padrão.</t>
  </si>
  <si>
    <t xml:space="preserve">Vaga parada, candidatos por vaga, onde a nota perde pontos, tempo até a primeira resposta, saída de funcionários.</t>
  </si>
  <si>
    <t xml:space="preserve">Onde o aluno erra e onde desiste do curso.</t>
  </si>
  <si>
    <t xml:space="preserve">Todo número mostra de onde vem. A sugestão é sugestão: o dono decide. Resposta curta, em linguagem simples.</t>
  </si>
  <si>
    <t xml:space="preserve">A fazer (CMV é o item 6 e alertas o item 10 da ordem de trabalho)</t>
  </si>
  <si>
    <t xml:space="preserve">3. Imagens profissionais</t>
  </si>
  <si>
    <t xml:space="preserve">'Melhora essa foto.' 'Faz a logomarca.' 'Faz o cartaz da vaga.'</t>
  </si>
  <si>
    <t xml:space="preserve">Foto do prato melhorada a partir da foto real, com fundo limpo; logomarca; banner do cardápio.</t>
  </si>
  <si>
    <t xml:space="preserve">Imagem da vaga e cartaz com QR; capa de curso.</t>
  </si>
  <si>
    <t xml:space="preserve">Currículo sem foto de pessoa criada por IA.</t>
  </si>
  <si>
    <t xml:space="preserve">Foto de prato só melhora a real. Imagem criada do zero leva o aviso 'imagem ilustrativa' (o cliente não pode ser enganado sobre o que recebe; advogado confere o Código de Defesa do Consumidor). Nunca criar pessoa que não existe em currículo ou depoimento.</t>
  </si>
  <si>
    <t xml:space="preserve">Parcial: foto do cardápio pronta (falta a chave de IA e teste com cardápios reais); logomarca pronta (aguarda o seu merge)</t>
  </si>
  <si>
    <t xml:space="preserve">4. Gestão por voz e por foto</t>
  </si>
  <si>
    <t xml:space="preserve">Falar ou mandar foto, em vez de digitar</t>
  </si>
  <si>
    <t xml:space="preserve">Ver a aba Comandos de voz.</t>
  </si>
  <si>
    <t xml:space="preserve">Ver a aba Entrevista do currículo.</t>
  </si>
  <si>
    <t xml:space="preserve">Ação que mexe com dinheiro, preço ou apaga algo sempre pede confirmação lida em voz alta, e pode ser desfeita.</t>
  </si>
  <si>
    <t xml:space="preserve">5. Muitas empresas na mesma plataforma</t>
  </si>
  <si>
    <t xml:space="preserve">'Cada cliente meu com a sua marca.'</t>
  </si>
  <si>
    <t xml:space="preserve">Cada restaurante isolado, com logomarca, cores e cardápio próprios.</t>
  </si>
  <si>
    <t xml:space="preserve">Cada empresa isolada, com vagas e candidatos próprios.</t>
  </si>
  <si>
    <t xml:space="preserve">Cada empresa vê só os seus funcionários e resultados.</t>
  </si>
  <si>
    <t xml:space="preserve">Uma empresa nunca enxerga dado de outra. O dono da plataforma enxerga números gerais, não o conteúdo de cada uma.</t>
  </si>
  <si>
    <t xml:space="preserve">Isolamento por empresa já existe. Logomarca pronta. Faltam domínio próprio e teste de Pix de R$ 1.</t>
  </si>
  <si>
    <t xml:space="preserve">Comandos de voz e de foto: o dono fala, o sistema faz</t>
  </si>
  <si>
    <t xml:space="preserve">Frases de exemplo. O sistema entende o jeito de falar de cada pessoa; estas servem para desenhar e testar.</t>
  </si>
  <si>
    <t xml:space="preserve">Produto</t>
  </si>
  <si>
    <t xml:space="preserve">Quem fala</t>
  </si>
  <si>
    <t xml:space="preserve">O que diz</t>
  </si>
  <si>
    <t xml:space="preserve">O que o sistema faz</t>
  </si>
  <si>
    <t xml:space="preserve">Pede confirmação?</t>
  </si>
  <si>
    <t xml:space="preserve">Vem Comer</t>
  </si>
  <si>
    <t xml:space="preserve">Dono ou gerente</t>
  </si>
  <si>
    <t xml:space="preserve">Quanto eu vendi hoje?</t>
  </si>
  <si>
    <t xml:space="preserve">Lê as vendas, os pedidos e o ticket médio do dia.</t>
  </si>
  <si>
    <t xml:space="preserve">Número vem do sistema, com a hora da última atualização.</t>
  </si>
  <si>
    <t xml:space="preserve">Qual prato vende mais esta semana?</t>
  </si>
  <si>
    <t xml:space="preserve">Lista os 5 mais vendidos e os 5 que menos saem.</t>
  </si>
  <si>
    <t xml:space="preserve">Coloca o prato frango com batata por R$ 25.</t>
  </si>
  <si>
    <t xml:space="preserve">Cria ou muda o produto e mostra o preço escrito.</t>
  </si>
  <si>
    <t xml:space="preserve">Lê o preço em voz alta antes de salvar.</t>
  </si>
  <si>
    <t xml:space="preserve">Tira o prato X do cardápio por hoje.</t>
  </si>
  <si>
    <t xml:space="preserve">Pausa o prato até a meia-noite.</t>
  </si>
  <si>
    <t xml:space="preserve">Volta sozinho no dia seguinte.</t>
  </si>
  <si>
    <t xml:space="preserve">Aumenta as bebidas em 10 por cento.</t>
  </si>
  <si>
    <t xml:space="preserve">Mostra a lista com o preço novo de cada bebida.</t>
  </si>
  <si>
    <t xml:space="preserve">Aplica só depois do toque em 'confirmar'; tem 'desfazer'.</t>
  </si>
  <si>
    <t xml:space="preserve">(manda uma foto de um prato) Esse é o prato do dia.</t>
  </si>
  <si>
    <t xml:space="preserve">Melhora a foto, cria o prato e pede o preço e a descrição.</t>
  </si>
  <si>
    <t xml:space="preserve">Só melhora a foto real.</t>
  </si>
  <si>
    <t xml:space="preserve">Faz um post desse prato.</t>
  </si>
  <si>
    <t xml:space="preserve">Gera post, story e texto de WhatsApp para aprovar.</t>
  </si>
  <si>
    <t xml:space="preserve">Nada é publicado sem o dono aprovar.</t>
  </si>
  <si>
    <t xml:space="preserve">Onde eu estou perdendo dinheiro?</t>
  </si>
  <si>
    <t xml:space="preserve">Mostra os 3 maiores vazamentos com o valor de cada um.</t>
  </si>
  <si>
    <t xml:space="preserve">Diz de onde vem cada número.</t>
  </si>
  <si>
    <t xml:space="preserve">Garçom</t>
  </si>
  <si>
    <t xml:space="preserve">Mesa 5 quer mais uma água e um suco de laranja.</t>
  </si>
  <si>
    <t xml:space="preserve">Lança os itens na mesa 5.</t>
  </si>
  <si>
    <t xml:space="preserve">Garçom não muda preço.</t>
  </si>
  <si>
    <t xml:space="preserve">Caixa</t>
  </si>
  <si>
    <t xml:space="preserve">Fecha a mesa 3 no Pix.</t>
  </si>
  <si>
    <t xml:space="preserve">Fecha a conta e mostra o QR.</t>
  </si>
  <si>
    <t xml:space="preserve">Só o caixa fecha.</t>
  </si>
  <si>
    <t xml:space="preserve">Cozinha</t>
  </si>
  <si>
    <t xml:space="preserve">Pedido 12 está pronto.</t>
  </si>
  <si>
    <t xml:space="preserve">Marca como pronto e avisa o garçom.</t>
  </si>
  <si>
    <t xml:space="preserve">Cria uma promoção de almoço de segunda a sexta.</t>
  </si>
  <si>
    <t xml:space="preserve">Monta a promoção e o cartaz para aprovar.</t>
  </si>
  <si>
    <t xml:space="preserve">Mostra o preço final antes de ligar.</t>
  </si>
  <si>
    <t xml:space="preserve">Vem Trabalhar</t>
  </si>
  <si>
    <t xml:space="preserve">Empresa</t>
  </si>
  <si>
    <t xml:space="preserve">Cria uma vaga de garçom para a noite.</t>
  </si>
  <si>
    <t xml:space="preserve">Abre a vaga e pergunta as 20 respostas por toque ou voz.</t>
  </si>
  <si>
    <t xml:space="preserve">Mostra a vaga inteira antes de publicar.</t>
  </si>
  <si>
    <t xml:space="preserve">Quantos candidatos tem para o caixa?</t>
  </si>
  <si>
    <t xml:space="preserve">Diz o número e quantos combinam acima de 60%.</t>
  </si>
  <si>
    <t xml:space="preserve">Mostra os 5 melhores para a vaga de caixa.</t>
  </si>
  <si>
    <t xml:space="preserve">Lista os 5, com o motivo de cada nota.</t>
  </si>
  <si>
    <t xml:space="preserve">A decisão é da empresa; ninguém é descartado sozinho.</t>
  </si>
  <si>
    <t xml:space="preserve">Chama o João para uma entrevista amanhã às 10.</t>
  </si>
  <si>
    <t xml:space="preserve">Envia o convite pelo canal que o João autorizou.</t>
  </si>
  <si>
    <t xml:space="preserve">Só para quem aceitou receber contato.</t>
  </si>
  <si>
    <t xml:space="preserve">Como está o desempenho do setor de vendas?</t>
  </si>
  <si>
    <t xml:space="preserve">Mostra a média das competências do setor.</t>
  </si>
  <si>
    <t xml:space="preserve">Só para quem sabe que é avaliado.</t>
  </si>
  <si>
    <t xml:space="preserve">Qual vaga está parada há mais tempo?</t>
  </si>
  <si>
    <t xml:space="preserve">Lista as vagas sem candidato bom e sugere ajuste.</t>
  </si>
  <si>
    <t xml:space="preserve">Candidato</t>
  </si>
  <si>
    <t xml:space="preserve">Quero fazer meu currículo.</t>
  </si>
  <si>
    <t xml:space="preserve">Começa a entrevista do currículo.</t>
  </si>
  <si>
    <t xml:space="preserve">Aba Entrevista do currículo.</t>
  </si>
  <si>
    <t xml:space="preserve">(manda foto do currículo velho)</t>
  </si>
  <si>
    <t xml:space="preserve">Lê, monta o rascunho e pergunta o que faltou.</t>
  </si>
  <si>
    <t xml:space="preserve">Confere cada trecho com a pessoa.</t>
  </si>
  <si>
    <t xml:space="preserve">Troca o modelo para o azul.</t>
  </si>
  <si>
    <t xml:space="preserve">Muda a cor e mostra na tela.</t>
  </si>
  <si>
    <t xml:space="preserve">Quais vagas têm perto de mim?</t>
  </si>
  <si>
    <t xml:space="preserve">Lista as vagas com tempo de deslocamento e nota.</t>
  </si>
  <si>
    <t xml:space="preserve">Usa a localização arredondada.</t>
  </si>
  <si>
    <t xml:space="preserve">Me candidata nessa vaga.</t>
  </si>
  <si>
    <t xml:space="preserve">Envia o currículo e as respostas à vaga.</t>
  </si>
  <si>
    <t xml:space="preserve">Mostra o que será enviado.</t>
  </si>
  <si>
    <t xml:space="preserve">Quero um curso de atendimento.</t>
  </si>
  <si>
    <t xml:space="preserve">Mostra o curso livre nosso e, depois, os de parceiros com a etiqueta.</t>
  </si>
  <si>
    <t xml:space="preserve">Funcionário</t>
  </si>
  <si>
    <t xml:space="preserve">Quero fazer minha avaliação.</t>
  </si>
  <si>
    <t xml:space="preserve">Abre as 16 frases por toque ou voz.</t>
  </si>
  <si>
    <t xml:space="preserve">O resultado é dele.</t>
  </si>
  <si>
    <t xml:space="preserve">Geral</t>
  </si>
  <si>
    <t xml:space="preserve">Qualquer pessoa</t>
  </si>
  <si>
    <t xml:space="preserve">Apaga os meus dados.</t>
  </si>
  <si>
    <t xml:space="preserve">Inicia o pedido de apagamento.</t>
  </si>
  <si>
    <t xml:space="preserve">Sim, duas vezes</t>
  </si>
  <si>
    <t xml:space="preserve">Fluxo da lei de proteção de dados; advogado confere os prazos.</t>
  </si>
  <si>
    <t xml:space="preserve">Fala mais devagar. Aumenta a letra.</t>
  </si>
  <si>
    <t xml:space="preserve">Muda a velocidade da voz e o tamanho da letra.</t>
  </si>
  <si>
    <t xml:space="preserve">Acessibilidade.</t>
  </si>
  <si>
    <t xml:space="preserve">Desfaz.</t>
  </si>
  <si>
    <t xml:space="preserve">Desfaz a última mudança.</t>
  </si>
  <si>
    <t xml:space="preserve">Guarda o histórico.</t>
  </si>
  <si>
    <t xml:space="preserve">Dono da plataforma</t>
  </si>
  <si>
    <t xml:space="preserve">Quantas empresas entraram hoje?</t>
  </si>
  <si>
    <t xml:space="preserve">Mostra o número por produto e por canal.</t>
  </si>
  <si>
    <t xml:space="preserve">Não mostra o conteúdo das empresas.</t>
  </si>
  <si>
    <t xml:space="preserve">Quais planos estão pagos e quais atrasaram?</t>
  </si>
  <si>
    <t xml:space="preserve">Lista por plano e por situação.</t>
  </si>
  <si>
    <t xml:space="preserve">Depende da cobrança por Pix.</t>
  </si>
  <si>
    <t xml:space="preserve">Como está o banco de pessoas?</t>
  </si>
  <si>
    <t xml:space="preserve">Mostra o painel diário da aba Canais.</t>
  </si>
  <si>
    <t xml:space="preserve">Só contagens, sem dados pessoais.</t>
  </si>
  <si>
    <t xml:space="preserve">Quanto as escolas devem de comissão?</t>
  </si>
  <si>
    <t xml:space="preserve">Mostra o extrato por escola.</t>
  </si>
  <si>
    <t xml:space="preserve">Aba Portal do parceiro.</t>
  </si>
  <si>
    <t xml:space="preserve">Comandos</t>
  </si>
  <si>
    <t xml:space="preserve">Pedem confirmação</t>
  </si>
  <si>
    <t xml:space="preserve">O reconhecimento de voz do celular pode precisar de internet; a verificar como fica em 2G. Se não houver rede, o sistema oferece os botões de toque.</t>
  </si>
  <si>
    <t xml:space="preserve">Benchmark: o que vimos de novo e onde entra</t>
  </si>
  <si>
    <t xml:space="preserve">O agente de benchmark da aba Sistema vivo acrescenta linhas aqui. A coluna amarela é a sua decisão.</t>
  </si>
  <si>
    <t xml:space="preserve">Data</t>
  </si>
  <si>
    <t xml:space="preserve">Onde vimos</t>
  </si>
  <si>
    <t xml:space="preserve">O que vimos</t>
  </si>
  <si>
    <t xml:space="preserve">O que serve para nós</t>
  </si>
  <si>
    <t xml:space="preserve">Onde entra</t>
  </si>
  <si>
    <t xml:space="preserve">Decisão do GD</t>
  </si>
  <si>
    <t xml:space="preserve">06/10/2026</t>
  </si>
  <si>
    <t xml:space="preserve">Texto de uma empresa chamada V4 (colado pelo GD)</t>
  </si>
  <si>
    <t xml:space="preserve">Quem não usa IA em 3 coisas fica para trás: 1) conteúdo em escala, uma ideia vira 10 formatos; 2) análise de dados e decisão mais rápida; 3) imagens profissionais sem sessão de fotos.</t>
  </si>
  <si>
    <t xml:space="preserve">Os três pilares viram o que cada dono recebe, por voz ou foto (aba IA para o dono).</t>
  </si>
  <si>
    <t xml:space="preserve">Vem Comer, Vem Trabalhar, cursos, currículo</t>
  </si>
  <si>
    <t xml:space="preserve">Alta</t>
  </si>
  <si>
    <t xml:space="preserve">Anúncio no Instagram (print do GD): gentia.tech, '50 vagas rodando para 1 recrutador'</t>
  </si>
  <si>
    <t xml:space="preserve">Promessa de um recrutador dar conta de 50 vagas com IA.</t>
  </si>
  <si>
    <t xml:space="preserve">A lista ordenada com o motivo da nota e o match de 20 perguntas atacam a mesma dor.</t>
  </si>
  <si>
    <t xml:space="preserve">Sites de RH que o GD já viu (um anotado como 'Holdings Group'; o nome pode ser erro de transcrição)</t>
  </si>
  <si>
    <t xml:space="preserve">Segundo o GD, nenhum atende do autônomo até a empresa de mil funcionários com uma ideia só. É afirmação do GD; eu não verifiquei esses sites.</t>
  </si>
  <si>
    <t xml:space="preserve">O nosso diferencial: o mesmo método, as mesmas telas, qualquer tamanho de empresa.</t>
  </si>
  <si>
    <t xml:space="preserve">Prioridade de cursos por região e setor</t>
  </si>
  <si>
    <t xml:space="preserve">Alta, Média ou Baixa. É avaliação nossa, sem dados; toque na célula para mudar. A aba Ideias de cursos lê esta tabela.</t>
  </si>
  <si>
    <t xml:space="preserve">Média</t>
  </si>
  <si>
    <t xml:space="preserve">De onde vem a avaliação</t>
  </si>
  <si>
    <t xml:space="preserve">Avaliação nossa: polo de Manaus no Norte, indústria forte no Sudeste e no Sul.</t>
  </si>
  <si>
    <t xml:space="preserve">Avaliação nossa: soja no Centro-Oeste, agropecuária no Sul, cana e pecuária no Nordeste.</t>
  </si>
  <si>
    <t xml:space="preserve">Avaliação nossa: eletroeletrônica no Norte, energia eólica no Nordeste, serviços no Sudeste.</t>
  </si>
  <si>
    <t xml:space="preserve">Avaliação nossa: o Nordeste é o destino mais procurado nas viagens de verão.</t>
  </si>
  <si>
    <t xml:space="preserve">Avaliação nossa: serviços pesam em todas as regiões.</t>
  </si>
  <si>
    <t xml:space="preserve">Transversal: vale para todas as regiões.</t>
  </si>
  <si>
    <t xml:space="preserve">Avaliação nossa, ligada ao escoamento da safra e da indústria.</t>
  </si>
  <si>
    <t xml:space="preserve">Avaliação nossa, sem dado ainda: todas Média.</t>
  </si>
  <si>
    <t xml:space="preserve">Matching: 20 perguntas ao candidato e 20 correspondentes na vaga</t>
  </si>
  <si>
    <t xml:space="preserve">Cada pergunta do candidato tem a sua gêmea na vaga. A regra diz como comparar (nota de 0 a 1) e o peso diz quanto vale. Pesos são ponto de partida: letra azul, pode mudar.</t>
  </si>
  <si>
    <t xml:space="preserve">Tema</t>
  </si>
  <si>
    <t xml:space="preserve">Pergunta ao candidato (toque ou voz)</t>
  </si>
  <si>
    <t xml:space="preserve">Respostas do candidato</t>
  </si>
  <si>
    <t xml:space="preserve">Pergunta na vaga (empresa)</t>
  </si>
  <si>
    <t xml:space="preserve">Respostas da empresa</t>
  </si>
  <si>
    <t xml:space="preserve">Como compara (nota de 0 a 1)</t>
  </si>
  <si>
    <t xml:space="preserve">Se não combinar</t>
  </si>
  <si>
    <t xml:space="preserve">Peso (1 a 5)</t>
  </si>
  <si>
    <t xml:space="preserve">A. Logística</t>
  </si>
  <si>
    <t xml:space="preserve">Local e deslocamento</t>
  </si>
  <si>
    <t xml:space="preserve">Onde você mora? E quanto tempo aceita gastar para chegar ao trabalho? Como você vai?</t>
  </si>
  <si>
    <t xml:space="preserve">Localização (CEP ou 'usar onde estou'); tempo: 15 / 30 / 45 / 60 / 90 min ou mais; meio: a pé, bicicleta, moto, ônibus, carro.</t>
  </si>
  <si>
    <t xml:space="preserve">Onde fica o posto de trabalho? A empresa dá transporte ou vale-transporte?</t>
  </si>
  <si>
    <t xml:space="preserve">CEP do local; transporte da empresa: sim / não; vale-transporte: sim / não.</t>
  </si>
  <si>
    <t xml:space="preserve">Tempo estimado de casa ao trabalho no meio escolhido (aba Geografia). Dentro do limite = 1; até 20% acima = 0,5; acima = 0.</t>
  </si>
  <si>
    <t xml:space="preserve">Filtro do candidato</t>
  </si>
  <si>
    <t xml:space="preserve">Onde prefere trabalhar? (pode marcar mais de uma)</t>
  </si>
  <si>
    <t xml:space="preserve">Presencial; híbrido; de casa.</t>
  </si>
  <si>
    <t xml:space="preserve">A vaga é presencial, híbrida ou remota?</t>
  </si>
  <si>
    <t xml:space="preserve">Presencial; híbrida; remota.</t>
  </si>
  <si>
    <t xml:space="preserve">Vaga dentro do que a pessoa aceita = 1; híbrido contra presencial ou remoto = 0,5; fora = 0.</t>
  </si>
  <si>
    <t xml:space="preserve">Turno e escala</t>
  </si>
  <si>
    <t xml:space="preserve">Em quais turnos você pode trabalhar?</t>
  </si>
  <si>
    <t xml:space="preserve">Manhã; tarde; noite; madrugada; fins de semana; feriados; escala 12x36.</t>
  </si>
  <si>
    <t xml:space="preserve">Qual o turno e a escala da vaga?</t>
  </si>
  <si>
    <t xml:space="preserve">Os mesmos turnos, mais escala 12x36 e carga semanal.</t>
  </si>
  <si>
    <t xml:space="preserve">Todos os turnos da vaga cobertos = 1; parte coberta = 0,5; nenhum = 0.</t>
  </si>
  <si>
    <t xml:space="preserve">Tipo de contrato</t>
  </si>
  <si>
    <t xml:space="preserve">Que tipo de contrato você aceita?</t>
  </si>
  <si>
    <t xml:space="preserve">CLT; estágio; jovem aprendiz; temporário; diária ou freelancer; MEI ou PJ.</t>
  </si>
  <si>
    <t xml:space="preserve">Qual o tipo de contrato?</t>
  </si>
  <si>
    <t xml:space="preserve">Contrato aceito pela pessoa = 1; senão 0.</t>
  </si>
  <si>
    <t xml:space="preserve">Salário e benefícios</t>
  </si>
  <si>
    <t xml:space="preserve">Quanto você precisa ganhar por mês?</t>
  </si>
  <si>
    <t xml:space="preserve">Faixas de toque (a combinar, ou escolher a faixa); benefícios que importam: vale-transporte, refeição, plano de saúde.</t>
  </si>
  <si>
    <t xml:space="preserve">Qual a faixa de salário e os benefícios?</t>
  </si>
  <si>
    <t xml:space="preserve">Faixa de salário; benefícios: vale-transporte, refeição, plano, comissão.</t>
  </si>
  <si>
    <t xml:space="preserve">Faixas se encontram = 1; vaga até 10% abaixo do que a pessoa precisa = 0,5; mais que isso = 0.</t>
  </si>
  <si>
    <t xml:space="preserve">Quando começar</t>
  </si>
  <si>
    <t xml:space="preserve">Quando você pode começar?</t>
  </si>
  <si>
    <t xml:space="preserve">Já; em 15 dias; em 30 dias; depois.</t>
  </si>
  <si>
    <t xml:space="preserve">Para quando a vaga precisa de alguém?</t>
  </si>
  <si>
    <t xml:space="preserve">Urgente; em 15 dias; em 30 dias; sem pressa.</t>
  </si>
  <si>
    <t xml:space="preserve">Pessoa começa até a data pedida = 1; atraso de até 15 dias = 0,5; mais = 0.</t>
  </si>
  <si>
    <t xml:space="preserve">Só pontua</t>
  </si>
  <si>
    <t xml:space="preserve">Estudo junto com o trabalho</t>
  </si>
  <si>
    <t xml:space="preserve">Quer estudar junto com o trabalho? Como?</t>
  </si>
  <si>
    <t xml:space="preserve">Não; a distância (EAD); presencial; os dois. Horários livres para estudar.</t>
  </si>
  <si>
    <t xml:space="preserve">A empresa apoia o estudo?</t>
  </si>
  <si>
    <t xml:space="preserve">Não; horário flexível; paga curso ou bolsa; tem curso interno.</t>
  </si>
  <si>
    <t xml:space="preserve">Quer estudar e a empresa apoia = 1; tanto faz = 0,5; querem coisas opostas = 0. Se o curso é presencial, entra a distância casa, estudo e trabalho (aba Geografia).</t>
  </si>
  <si>
    <t xml:space="preserve">B. Função e preparo</t>
  </si>
  <si>
    <t xml:space="preserve">Função desejada</t>
  </si>
  <si>
    <t xml:space="preserve">Que tipo de trabalho você procura? (fale ou escolha até 3)</t>
  </si>
  <si>
    <t xml:space="preserve">Busca por voz ou lista de ocupações, agrupada por área.</t>
  </si>
  <si>
    <t xml:space="preserve">Qual a função da vaga?</t>
  </si>
  <si>
    <t xml:space="preserve">A mesma lista de ocupações.</t>
  </si>
  <si>
    <t xml:space="preserve">Mesma função = 1; função da mesma família = 0,6; mesma área = 0,3; outra = 0.</t>
  </si>
  <si>
    <t xml:space="preserve">Experiência</t>
  </si>
  <si>
    <t xml:space="preserve">Quanto tempo de experiência você tem nessa função?</t>
  </si>
  <si>
    <t xml:space="preserve">Nenhuma; até 1 ano; 1 a 3 anos; 3 a 5 anos; mais de 5 anos.</t>
  </si>
  <si>
    <t xml:space="preserve">Qual experiência a vaga exige? A empresa treina quem não tem?</t>
  </si>
  <si>
    <t xml:space="preserve">Nenhuma; até 1 ano; 1 a 3; 3 a 5; mais de 5. Marcar 'treinamos'.</t>
  </si>
  <si>
    <t xml:space="preserve">Experiência igual ou maior = 1; um nível abaixo = 0,5; mais abaixo = 0. Se a empresa marcou 'treinamos', quem não tem experiência pontua 0,8. Primeiro emprego nunca é penalizado em vaga que aceita sem experiência.</t>
  </si>
  <si>
    <t xml:space="preserve">Obrigatória só se a empresa marcar</t>
  </si>
  <si>
    <t xml:space="preserve">Escolaridade</t>
  </si>
  <si>
    <t xml:space="preserve">Até onde você estudou?</t>
  </si>
  <si>
    <t xml:space="preserve">Fundamental incompleto ou completo; médio incompleto ou completo; técnico; superior cursando ou completo; pós.</t>
  </si>
  <si>
    <t xml:space="preserve">Qual a escolaridade mínima?</t>
  </si>
  <si>
    <t xml:space="preserve">A mesma escala, mais 'aceita quem está cursando'.</t>
  </si>
  <si>
    <t xml:space="preserve">Nível igual ou maior = 1; cursando e a vaga aceita = 0,7; um nível abaixo = 0,4; mais abaixo = 0.</t>
  </si>
  <si>
    <t xml:space="preserve">Habilidades</t>
  </si>
  <si>
    <t xml:space="preserve">Marque até 5 coisas que você faz bem.</t>
  </si>
  <si>
    <t xml:space="preserve">Lista por área (atender, vender, cozinhar, operar caixa, organizar estoque, dirigir, consertar, desenhar, ensinar...).</t>
  </si>
  <si>
    <t xml:space="preserve">Marque até 5 habilidades essenciais para a vaga.</t>
  </si>
  <si>
    <t xml:space="preserve">A mesma lista.</t>
  </si>
  <si>
    <t xml:space="preserve">Quantas das habilidades da vaga a pessoa tem, dividido pelo total da vaga.</t>
  </si>
  <si>
    <t xml:space="preserve">Ferramentas e equipamentos</t>
  </si>
  <si>
    <t xml:space="preserve">Quais máquinas, programas ou equipamentos você sabe usar?</t>
  </si>
  <si>
    <t xml:space="preserve">Lista por área (caixa e maquininha, Excel, empilhadeira, forno, furadeira, WhatsApp comercial...).</t>
  </si>
  <si>
    <t xml:space="preserve">O que a pessoa vai usar no dia a dia?</t>
  </si>
  <si>
    <t xml:space="preserve">Quantas das ferramentas da vaga a pessoa conhece, dividido pelo total.</t>
  </si>
  <si>
    <t xml:space="preserve">Habilitações e certificados</t>
  </si>
  <si>
    <t xml:space="preserve">Você tem CNH, NR, registro profissional ou algum certificado? (inclui os cursos do Vem Trabalhar)</t>
  </si>
  <si>
    <t xml:space="preserve">CNH e categoria; NRs; registro de conselho; certificados do app (com código de conferência).</t>
  </si>
  <si>
    <t xml:space="preserve">A vaga exige alguma habilitação por lei ou por segurança?</t>
  </si>
  <si>
    <t xml:space="preserve">Só o que for exigido por lei ou segurança.</t>
  </si>
  <si>
    <t xml:space="preserve">Tem tudo que é exigido = 1; falta algo = 0 e aparece o curso que resolve.</t>
  </si>
  <si>
    <t xml:space="preserve">Obrigatória (só exigência legal)</t>
  </si>
  <si>
    <t xml:space="preserve">Idiomas</t>
  </si>
  <si>
    <t xml:space="preserve">Você fala outro idioma? Qual o nível?</t>
  </si>
  <si>
    <t xml:space="preserve">Nenhum; básico; médio; fluente (inglês, espanhol, Libras, outro).</t>
  </si>
  <si>
    <t xml:space="preserve">A vaga precisa de algum idioma?</t>
  </si>
  <si>
    <t xml:space="preserve">Idioma e nível.</t>
  </si>
  <si>
    <t xml:space="preserve">Nível igual ou maior = 1; um abaixo = 0,5; mais abaixo = 0.</t>
  </si>
  <si>
    <t xml:space="preserve">C. Jeito de trabalhar</t>
  </si>
  <si>
    <t xml:space="preserve">Ambiente</t>
  </si>
  <si>
    <t xml:space="preserve">Onde você gosta de trabalhar?</t>
  </si>
  <si>
    <t xml:space="preserve">Ao ar livre; balcão ou loja; cozinha; escritório; fábrica; estrada; obra.</t>
  </si>
  <si>
    <t xml:space="preserve">Onde a pessoa vai trabalhar?</t>
  </si>
  <si>
    <t xml:space="preserve">Os mesmos ambientes.</t>
  </si>
  <si>
    <t xml:space="preserve">Mesmo ambiente = 1; ambiente parecido = 0,5; outro = 0.</t>
  </si>
  <si>
    <t xml:space="preserve">Ritmo</t>
  </si>
  <si>
    <t xml:space="preserve">Que ritmo de trabalho você prefere?</t>
  </si>
  <si>
    <t xml:space="preserve">Tranquilo; moderado; acelerado (muito movimento, meta).</t>
  </si>
  <si>
    <t xml:space="preserve">Qual o ritmo da vaga?</t>
  </si>
  <si>
    <t xml:space="preserve">Tranquilo; moderado; acelerado.</t>
  </si>
  <si>
    <t xml:space="preserve">Igual = 1; um nível de diferença = 0,5; dois níveis = 0.</t>
  </si>
  <si>
    <t xml:space="preserve">Equipe</t>
  </si>
  <si>
    <t xml:space="preserve">Como você prefere trabalhar?</t>
  </si>
  <si>
    <t xml:space="preserve">Sozinho; em dupla; em equipe.</t>
  </si>
  <si>
    <t xml:space="preserve">Como é o trabalho na vaga? Com quem a pessoa trabalha?</t>
  </si>
  <si>
    <t xml:space="preserve">Individual; em dupla; em equipe. Tamanho da equipe e quem é o gestor.</t>
  </si>
  <si>
    <t xml:space="preserve">Igual = 1; vizinho = 0,5; oposto = 0.</t>
  </si>
  <si>
    <t xml:space="preserve">Contato com o público</t>
  </si>
  <si>
    <t xml:space="preserve">Você gosta de falar com clientes?</t>
  </si>
  <si>
    <t xml:space="preserve">Gosto muito; tanto faz; prefiro não.</t>
  </si>
  <si>
    <t xml:space="preserve">Quanto contato com cliente a vaga tem?</t>
  </si>
  <si>
    <t xml:space="preserve">Muito; pouco; nenhum.</t>
  </si>
  <si>
    <t xml:space="preserve">Proximidade entre as duas respostas (igual = 1; um nível = 0,5; oposto = 0).</t>
  </si>
  <si>
    <t xml:space="preserve">Esforço físico</t>
  </si>
  <si>
    <t xml:space="preserve">Que tipo de esforço você prefere no dia a dia?</t>
  </si>
  <si>
    <t xml:space="preserve">Mais leve; médio; pesado. É preferência, não pergunta de saúde.</t>
  </si>
  <si>
    <t xml:space="preserve">Qual o esforço físico da vaga? (ficar em pé, carregar peso)</t>
  </si>
  <si>
    <t xml:space="preserve">Leve; médio; pesado.</t>
  </si>
  <si>
    <t xml:space="preserve">Preferência da pessoa igual ou maior que o esforço da vaga = 1; um nível abaixo = 0,5; mais = 0. Pessoa com deficiência é tratada à parte, com consentimento.</t>
  </si>
  <si>
    <t xml:space="preserve">Crescimento</t>
  </si>
  <si>
    <t xml:space="preserve">O que você busca agora?</t>
  </si>
  <si>
    <t xml:space="preserve">Aprender uma profissão; crescer na empresa; estabilidade; renda extra.</t>
  </si>
  <si>
    <t xml:space="preserve">O que a empresa oferece?</t>
  </si>
  <si>
    <t xml:space="preserve">Treinamento; plano de carreira; efetivação; renda extra.</t>
  </si>
  <si>
    <t xml:space="preserve">Igual = 1; parcial = 0,5; sem relação = 0.</t>
  </si>
  <si>
    <t xml:space="preserve">Perguntas</t>
  </si>
  <si>
    <t xml:space="preserve">Soma dos pesos</t>
  </si>
  <si>
    <t xml:space="preserve">Filtro do candidato: a vaga some da lista dele quando contraria um 'não' que ele mesmo marcou. Quem decide é ele, não o sistema.</t>
  </si>
  <si>
    <t xml:space="preserve">Obrigatória só se a empresa marcar: a empresa pode marcar até 3 perguntas como obrigatórias. Quem não atende aparece com o aviso 'não atende' e a empresa decide se abre ou não. Nada é escondido da empresa nem descartado sozinho.</t>
  </si>
  <si>
    <t xml:space="preserve">Dado que a empresa deixa em branco não entra na conta (o peso daquele par sai do total).</t>
  </si>
  <si>
    <t xml:space="preserve">Sinal 21, opcional: o teste de jeito de ser (aba Perfil) só entra se a pessoa autorizar e a empresa pedir. Nunca elimina.</t>
  </si>
  <si>
    <t xml:space="preserve">A pessoa vê a nota, os 3 pares que mais tiraram pontos e o curso que melhoraria cada um.</t>
  </si>
  <si>
    <t xml:space="preserve">Raça, religião, estado civil, filhos, idade, foto e saúde não fazem parte de nenhum par.</t>
  </si>
  <si>
    <t xml:space="preserve">Exemplo de nota do matching (candidato e vaga inventados)</t>
  </si>
  <si>
    <t xml:space="preserve">Candidata de exemplo: procura balcão ou caixa, tem 1 ano de experiência, aceita CLT, pode à tarde e à noite. Vaga: atendente de padaria. Troque os números amarelos para ver a nota mudar.</t>
  </si>
  <si>
    <t xml:space="preserve">Obrigatória não atende abaixo de</t>
  </si>
  <si>
    <t xml:space="preserve">Faixa 'Muito boa' a partir de</t>
  </si>
  <si>
    <t xml:space="preserve">Faixa 'Boa' a partir de</t>
  </si>
  <si>
    <t xml:space="preserve">Faixa 'Possível' a partir de</t>
  </si>
  <si>
    <t xml:space="preserve">Peso</t>
  </si>
  <si>
    <t xml:space="preserve">Aplica?</t>
  </si>
  <si>
    <t xml:space="preserve">Nota (0 a 1)</t>
  </si>
  <si>
    <t xml:space="preserve">Obrigatória?</t>
  </si>
  <si>
    <t xml:space="preserve">Pontos</t>
  </si>
  <si>
    <t xml:space="preserve">Peso usado</t>
  </si>
  <si>
    <t xml:space="preserve">Perda (aux.)</t>
  </si>
  <si>
    <t xml:space="preserve">Alerta</t>
  </si>
  <si>
    <t xml:space="preserve">Nota do match</t>
  </si>
  <si>
    <t xml:space="preserve">Faixa</t>
  </si>
  <si>
    <t xml:space="preserve">Atende todas as obrigatórias?</t>
  </si>
  <si>
    <t xml:space="preserve">Onde mais perdeu pontos (mostrar à pessoa)</t>
  </si>
  <si>
    <t xml:space="preserve">A coluna 'Perda (aux.)' soma uma fração minúscula da linha só para desempatar.</t>
  </si>
  <si>
    <t xml:space="preserve">Geografia: casa, trabalho e local de estudo</t>
  </si>
  <si>
    <t xml:space="preserve">Distância em linha reta, corrigida por um fator de rua, mais a espera do meio de transporte. É estimativa; depois trocamos por rota de verdade.</t>
  </si>
  <si>
    <t xml:space="preserve">Meio de deslocamento</t>
  </si>
  <si>
    <t xml:space="preserve">Velocidade média (km/h)</t>
  </si>
  <si>
    <t xml:space="preserve">Espera e preparo (min)</t>
  </si>
  <si>
    <t xml:space="preserve">A pé</t>
  </si>
  <si>
    <t xml:space="preserve">Bicicleta</t>
  </si>
  <si>
    <t xml:space="preserve">Moto</t>
  </si>
  <si>
    <t xml:space="preserve">Ônibus</t>
  </si>
  <si>
    <t xml:space="preserve">Carro</t>
  </si>
  <si>
    <t xml:space="preserve">Fator de rota (a rua não é linha reta)</t>
  </si>
  <si>
    <t xml:space="preserve">Tempo máximo que a pessoa aceita (min)</t>
  </si>
  <si>
    <t xml:space="preserve">Meio escolhido</t>
  </si>
  <si>
    <t xml:space="preserve">O curso é</t>
  </si>
  <si>
    <t xml:space="preserve">Tempo máximo até o local de estudo (min)</t>
  </si>
  <si>
    <t xml:space="preserve">Ponto (coordenadas de exemplo)</t>
  </si>
  <si>
    <t xml:space="preserve">Latitude</t>
  </si>
  <si>
    <t xml:space="preserve">Longitude</t>
  </si>
  <si>
    <t xml:space="preserve">Casa (bairro, arredondado)</t>
  </si>
  <si>
    <t xml:space="preserve">Trabalho</t>
  </si>
  <si>
    <t xml:space="preserve">Local de estudo</t>
  </si>
  <si>
    <t xml:space="preserve">Trecho</t>
  </si>
  <si>
    <t xml:space="preserve">Distância em linha reta (km)</t>
  </si>
  <si>
    <t xml:space="preserve">Tempo no meio escolhido (min)</t>
  </si>
  <si>
    <t xml:space="preserve">Casa → Trabalho</t>
  </si>
  <si>
    <t xml:space="preserve">Casa → Local de estudo</t>
  </si>
  <si>
    <t xml:space="preserve">Local de estudo → Trabalho</t>
  </si>
  <si>
    <t xml:space="preserve">Nota do estudo (curso perto de casa ou do trabalho)</t>
  </si>
  <si>
    <t xml:space="preserve">Casa → Trabalho em cada meio</t>
  </si>
  <si>
    <t xml:space="preserve">Tempo (min)</t>
  </si>
  <si>
    <t xml:space="preserve">A nota casa → trabalho alimenta o par 1 do Matching; a nota do estudo alimenta o par 7. Se o curso é EAD, a nota do estudo é 1: não importa onde a pessoa mora.</t>
  </si>
  <si>
    <t xml:space="preserve">Privacidade: guardamos a coordenada arredondada (cerca de 500 m), nunca o endereço exato, até a pessoa aceitar mostrar à empresa.</t>
  </si>
  <si>
    <t xml:space="preserve">As coordenadas acima são só um exemplo (Fortaleza, aproximadas). Velocidades e esperas são premissas nossas, a calibrar com dados reais.</t>
  </si>
  <si>
    <t xml:space="preserve">Para virar o CEP em coordenada o app precisa de um serviço de endereços; é a mesma peça que a entrega por CEP do Vem Comer vai usar.</t>
  </si>
  <si>
    <t xml:space="preserve">Telas de entrada: tudo de tocar</t>
  </si>
  <si>
    <t xml:space="preserve">Candidato, funcionário e empresa entram pelo mesmo caminho. A coluna 'Base legal' diz por que cada dado é pedido.</t>
  </si>
  <si>
    <t xml:space="preserve">Ordem</t>
  </si>
  <si>
    <t xml:space="preserve">Tela</t>
  </si>
  <si>
    <t xml:space="preserve">O que a pessoa vê</t>
  </si>
  <si>
    <t xml:space="preserve">Como responde</t>
  </si>
  <si>
    <t xml:space="preserve">Opções</t>
  </si>
  <si>
    <t xml:space="preserve">Obrigatório?</t>
  </si>
  <si>
    <t xml:space="preserve">Base legal (confirmar com advogado)</t>
  </si>
  <si>
    <t xml:space="preserve">Vai para a empresa?</t>
  </si>
  <si>
    <t xml:space="preserve">Entrar</t>
  </si>
  <si>
    <t xml:space="preserve">Qual o seu celular?</t>
  </si>
  <si>
    <t xml:space="preserve">Digitar o número (ou falar). Código por mensagem.</t>
  </si>
  <si>
    <t xml:space="preserve">Criar a conta e avisar de vaga.</t>
  </si>
  <si>
    <t xml:space="preserve">Execução do serviço</t>
  </si>
  <si>
    <t xml:space="preserve">Quem é você</t>
  </si>
  <si>
    <t xml:space="preserve">O que você quer agora?</t>
  </si>
  <si>
    <t xml:space="preserve">Um toque</t>
  </si>
  <si>
    <t xml:space="preserve">Procuro emprego; Quero estágio ou jovem aprendiz; Já trabalho e quero crescer; Sou autônomo ou MEI; Sou empresa</t>
  </si>
  <si>
    <t xml:space="preserve">Abrir o caminho certo (candidato, funcionário ou empresa).</t>
  </si>
  <si>
    <t xml:space="preserve">Onde você está</t>
  </si>
  <si>
    <t xml:space="preserve">Onde você mora?</t>
  </si>
  <si>
    <t xml:space="preserve">Um toque em 'usar onde estou' ou digitar o CEP</t>
  </si>
  <si>
    <t xml:space="preserve">Guardamos só a região do bairro (arredondada)</t>
  </si>
  <si>
    <t xml:space="preserve">Calcular tempo de deslocamento até vagas e cursos.</t>
  </si>
  <si>
    <t xml:space="preserve">Execução do serviço; compartilha só com consentimento</t>
  </si>
  <si>
    <t xml:space="preserve">Só a região, se a pessoa aceitar</t>
  </si>
  <si>
    <t xml:space="preserve">Seu trabalho</t>
  </si>
  <si>
    <t xml:space="preserve">Que trabalho você procura?</t>
  </si>
  <si>
    <t xml:space="preserve">Voz ou lista (até 3 ocupações)</t>
  </si>
  <si>
    <t xml:space="preserve">Lista de ocupações por área</t>
  </si>
  <si>
    <t xml:space="preserve">Match por função.</t>
  </si>
  <si>
    <t xml:space="preserve">Quanto tempo de experiência você tem?</t>
  </si>
  <si>
    <t xml:space="preserve">Nenhuma; até 1 ano; 1 a 3; 3 a 5; mais de 5</t>
  </si>
  <si>
    <t xml:space="preserve">Match por experiência.</t>
  </si>
  <si>
    <t xml:space="preserve">Estudo</t>
  </si>
  <si>
    <t xml:space="preserve">Fundamental; médio; técnico; superior; pós (completo ou cursando)</t>
  </si>
  <si>
    <t xml:space="preserve">Match por escolaridade e sugestão de curso.</t>
  </si>
  <si>
    <t xml:space="preserve">Horário</t>
  </si>
  <si>
    <t xml:space="preserve">Quando você pode trabalhar?</t>
  </si>
  <si>
    <t xml:space="preserve">Toques (pode marcar vários)</t>
  </si>
  <si>
    <t xml:space="preserve">Manhã; tarde; noite; madrugada; fins de semana; escala 12x36</t>
  </si>
  <si>
    <t xml:space="preserve">Match por turno.</t>
  </si>
  <si>
    <t xml:space="preserve">Contrato</t>
  </si>
  <si>
    <t xml:space="preserve">Que tipo de vaga você aceita?</t>
  </si>
  <si>
    <t xml:space="preserve">CLT; estágio; jovem aprendiz; temporário; diária; MEI ou PJ</t>
  </si>
  <si>
    <t xml:space="preserve">Match por contrato.</t>
  </si>
  <si>
    <t xml:space="preserve">Currículo</t>
  </si>
  <si>
    <t xml:space="preserve">Quer montar seu currículo falando?</t>
  </si>
  <si>
    <t xml:space="preserve">Voz, foto de um currículo antigo ou preencher por toque</t>
  </si>
  <si>
    <t xml:space="preserve">Gerar currículo básico</t>
  </si>
  <si>
    <t xml:space="preserve">Criar o currículo sem digitar. O básico fica gratuito? (decisão pendente do GD).</t>
  </si>
  <si>
    <t xml:space="preserve">Só se a pessoa publicar</t>
  </si>
  <si>
    <t xml:space="preserve">Quer ver cursos para melhorar sua nota nas vagas?</t>
  </si>
  <si>
    <t xml:space="preserve">Sim; depois</t>
  </si>
  <si>
    <t xml:space="preserve">Recomendar cursos (nossos ou de parceiros).</t>
  </si>
  <si>
    <t xml:space="preserve">Avisos</t>
  </si>
  <si>
    <t xml:space="preserve">Posso avisar você de vagas e cursos por mensagem?</t>
  </si>
  <si>
    <t xml:space="preserve">Caixa desmarcada: a pessoa precisa tocar</t>
  </si>
  <si>
    <t xml:space="preserve">Sim; não</t>
  </si>
  <si>
    <t xml:space="preserve">Mensagens de marketing do próprio serviço.</t>
  </si>
  <si>
    <t xml:space="preserve">Consentimento (separado, pode ser revogado a qualquer hora)</t>
  </si>
  <si>
    <t xml:space="preserve">Pesquisa</t>
  </si>
  <si>
    <t xml:space="preserve">Posso usar suas respostas, sem mostrar seu nome, em estudos do mercado de trabalho?</t>
  </si>
  <si>
    <t xml:space="preserve">Caixa desmarcada</t>
  </si>
  <si>
    <t xml:space="preserve">Base de dados e marketing durante a semana de teste.</t>
  </si>
  <si>
    <t xml:space="preserve">Não (dados anônimos)</t>
  </si>
  <si>
    <t xml:space="preserve">Quantos funcionários a empresa tem?</t>
  </si>
  <si>
    <t xml:space="preserve">1 a 10; 11 a 50; 51 a 100; 101 a 500; mais de 500</t>
  </si>
  <si>
    <t xml:space="preserve">Dimensionar o plano.</t>
  </si>
  <si>
    <t xml:space="preserve">Execução do contrato</t>
  </si>
  <si>
    <t xml:space="preserve">De que setor é a empresa?</t>
  </si>
  <si>
    <t xml:space="preserve">Indústria; agro; comércio; turismo e gastronomia; saúde; construção; transporte; tecnologia; outro</t>
  </si>
  <si>
    <t xml:space="preserve">Sugerir modelos de vaga e cursos.</t>
  </si>
  <si>
    <t xml:space="preserve">Quantas vagas pretende anunciar por mês?</t>
  </si>
  <si>
    <t xml:space="preserve">0 a 10; 11 a 500; 501 a 1.000; mais de 1.000</t>
  </si>
  <si>
    <t xml:space="preserve">Mostrar o plano certo antes de cobrar.</t>
  </si>
  <si>
    <t xml:space="preserve">Não pedimos: raça ou cor, religião, estado civil, filhos, gravidez, idade como filtro, foto obrigatória, orientação sexual, opinião política, saúde. Esses dados não entram no matching. (Lei 9.029/1995 e LGPD; conferir com advogado.)</t>
  </si>
  <si>
    <t xml:space="preserve">Entrevista do currículo: a pessoa tira uma foto ou fala, e o sistema pergunta o que falta</t>
  </si>
  <si>
    <t xml:space="preserve">Tudo de toque ou voz. O sistema só escreve o que a pessoa disse, e ela confirma cada trecho. Na semana de teste o currículo aparece na tela, sem baixar.</t>
  </si>
  <si>
    <t xml:space="preserve">Opções de toque</t>
  </si>
  <si>
    <t xml:space="preserve">Se não souber ou não tiver</t>
  </si>
  <si>
    <t xml:space="preserve">O que entra no currículo</t>
  </si>
  <si>
    <t xml:space="preserve">Liga com</t>
  </si>
  <si>
    <t xml:space="preserve">Começar</t>
  </si>
  <si>
    <t xml:space="preserve">Como você quer fazer seu currículo?</t>
  </si>
  <si>
    <t xml:space="preserve">Tirar foto de um currículo que eu já tenho; Falar; Preencher tocando</t>
  </si>
  <si>
    <t xml:space="preserve">Qualquer caminho serve; dá para mudar depois.</t>
  </si>
  <si>
    <t xml:space="preserve">Foto</t>
  </si>
  <si>
    <t xml:space="preserve">Tire uma foto do seu currículo, ou de um papel com seus dados.</t>
  </si>
  <si>
    <t xml:space="preserve">Câmera ou galeria, várias páginas</t>
  </si>
  <si>
    <t xml:space="preserve">Câmera; Galeria</t>
  </si>
  <si>
    <t xml:space="preserve">Foto ruim: o sistema pede 'mais luz, de novo'.</t>
  </si>
  <si>
    <t xml:space="preserve">O sistema lê e monta um rascunho. Marca com '?' o que não entendeu.</t>
  </si>
  <si>
    <t xml:space="preserve">Conferir</t>
  </si>
  <si>
    <t xml:space="preserve">Está certo? Toque no que precisa mudar.</t>
  </si>
  <si>
    <t xml:space="preserve">Toque ou voz ('troque a empresa para Padaria Sol')</t>
  </si>
  <si>
    <t xml:space="preserve">Está certo; Mudar</t>
  </si>
  <si>
    <t xml:space="preserve">Pode corrigir por voz quantas vezes quiser.</t>
  </si>
  <si>
    <t xml:space="preserve">O rascunho corrigido.</t>
  </si>
  <si>
    <t xml:space="preserve">Nome</t>
  </si>
  <si>
    <t xml:space="preserve">Como você quer aparecer no currículo?</t>
  </si>
  <si>
    <t xml:space="preserve">Confirma o nome do cadastro</t>
  </si>
  <si>
    <t xml:space="preserve">Esse nome; Outro nome</t>
  </si>
  <si>
    <t xml:space="preserve">Cabeçalho com nome e contato.</t>
  </si>
  <si>
    <t xml:space="preserve">Objetivo</t>
  </si>
  <si>
    <t xml:space="preserve">Voz ou lista de ocupações</t>
  </si>
  <si>
    <t xml:space="preserve">'Ainda não sei': mostra o teste de interesses.</t>
  </si>
  <si>
    <t xml:space="preserve">Uma linha de objetivo.</t>
  </si>
  <si>
    <t xml:space="preserve">Teste de interesses; match: função</t>
  </si>
  <si>
    <t xml:space="preserve">Experiências</t>
  </si>
  <si>
    <t xml:space="preserve">Você já trabalhou? Vale bico, trabalho informal, ajudar a família, estágio e voluntário.</t>
  </si>
  <si>
    <t xml:space="preserve">Já trabalhei; Só bicos e ajuda em casa; Nunca trabalhei</t>
  </si>
  <si>
    <t xml:space="preserve">'Nunca trabalhei': vai para 'Buscar na vida' (etapas 19 a 30).</t>
  </si>
  <si>
    <t xml:space="preserve">Experiência: lugar</t>
  </si>
  <si>
    <t xml:space="preserve">Onde você trabalhou?</t>
  </si>
  <si>
    <t xml:space="preserve">Voz ou toque</t>
  </si>
  <si>
    <t xml:space="preserve">Nome do lugar; Por conta própria; Ajudei a família; Voluntário; Estágio</t>
  </si>
  <si>
    <t xml:space="preserve">Não lembra o nome: 'um lugar de [área]'.</t>
  </si>
  <si>
    <t xml:space="preserve">Nome do lugar e tipo de vínculo.</t>
  </si>
  <si>
    <t xml:space="preserve">Experiência: função</t>
  </si>
  <si>
    <t xml:space="preserve">Como chamavam o seu serviço?</t>
  </si>
  <si>
    <t xml:space="preserve">Voz ou lista por área</t>
  </si>
  <si>
    <t xml:space="preserve">Cargos comuns da área (aba Tarefas por área)</t>
  </si>
  <si>
    <t xml:space="preserve">'Não tinha nome': pergunta o que fazia.</t>
  </si>
  <si>
    <t xml:space="preserve">Cargo. Cargo de profissão regulada só entra com o registro.</t>
  </si>
  <si>
    <t xml:space="preserve">Match: função</t>
  </si>
  <si>
    <t xml:space="preserve">Experiência: início</t>
  </si>
  <si>
    <t xml:space="preserve">Quando você começou?</t>
  </si>
  <si>
    <t xml:space="preserve">Toque em mês e ano</t>
  </si>
  <si>
    <t xml:space="preserve">Seletor de mês e ano</t>
  </si>
  <si>
    <t xml:space="preserve">'Não lembro': 'foi há quantos anos?'</t>
  </si>
  <si>
    <t xml:space="preserve">Data aproximada.</t>
  </si>
  <si>
    <t xml:space="preserve">Match: experiência</t>
  </si>
  <si>
    <t xml:space="preserve">Experiência: fim</t>
  </si>
  <si>
    <t xml:space="preserve">Quando você saiu?</t>
  </si>
  <si>
    <t xml:space="preserve">Seletor; Ainda trabalho aqui</t>
  </si>
  <si>
    <t xml:space="preserve">Mesmo caminho do início.</t>
  </si>
  <si>
    <t xml:space="preserve">Período e tempo total.</t>
  </si>
  <si>
    <t xml:space="preserve">Experiência: dia a dia</t>
  </si>
  <si>
    <t xml:space="preserve">O que você fazia no dia a dia?</t>
  </si>
  <si>
    <t xml:space="preserve">Marcar tarefas e falar livre</t>
  </si>
  <si>
    <t xml:space="preserve">Tarefas da área (aba Tarefas por área)</t>
  </si>
  <si>
    <t xml:space="preserve">'Não sei dizer': o sistema mostra exemplos para tocar.</t>
  </si>
  <si>
    <t xml:space="preserve">De 3 a 5 frases curtas, com o verbo no passado.</t>
  </si>
  <si>
    <t xml:space="preserve">Match: habilidades</t>
  </si>
  <si>
    <t xml:space="preserve">Experiência: ferramentas</t>
  </si>
  <si>
    <t xml:space="preserve">Que máquinas, programas ou ferramentas você usava?</t>
  </si>
  <si>
    <t xml:space="preserve">Marcar</t>
  </si>
  <si>
    <t xml:space="preserve">Ferramentas da área</t>
  </si>
  <si>
    <t xml:space="preserve">'Nenhuma'.</t>
  </si>
  <si>
    <t xml:space="preserve">Uma linha de ferramentas.</t>
  </si>
  <si>
    <t xml:space="preserve">Match: ferramentas</t>
  </si>
  <si>
    <t xml:space="preserve">Experiência: público</t>
  </si>
  <si>
    <t xml:space="preserve">Você atendia clientes? Mais ou menos quantos por dia?</t>
  </si>
  <si>
    <t xml:space="preserve">Toque em faixa</t>
  </si>
  <si>
    <t xml:space="preserve">Não atendia; até 10; de 10 a 50; mais de 50</t>
  </si>
  <si>
    <t xml:space="preserve">Uma frase de volume de atendimento.</t>
  </si>
  <si>
    <t xml:space="preserve">Match: contato com o público</t>
  </si>
  <si>
    <t xml:space="preserve">Experiência: resultado</t>
  </si>
  <si>
    <t xml:space="preserve">Teve algum resultado que te orgulha?</t>
  </si>
  <si>
    <t xml:space="preserve">Marcar ou falar</t>
  </si>
  <si>
    <t xml:space="preserve">Vendi mais; Nunca faltei; Reduzi perda; Entreguei no prazo; Fui elogiado; Treinei colega; Outro (falar)</t>
  </si>
  <si>
    <t xml:space="preserve">'Não': pula.</t>
  </si>
  <si>
    <t xml:space="preserve">Um resultado em uma frase, sem número inventado.</t>
  </si>
  <si>
    <t xml:space="preserve">Destaque do currículo</t>
  </si>
  <si>
    <t xml:space="preserve">Experiência: aprendi</t>
  </si>
  <si>
    <t xml:space="preserve">O que você aprendeu lá?</t>
  </si>
  <si>
    <t xml:space="preserve">Voz</t>
  </si>
  <si>
    <t xml:space="preserve">Texto livre por voz</t>
  </si>
  <si>
    <t xml:space="preserve">Se travar, mostra exemplos para tocar.</t>
  </si>
  <si>
    <t xml:space="preserve">Uma frase de aprendizado.</t>
  </si>
  <si>
    <t xml:space="preserve">Sugere curso do tema</t>
  </si>
  <si>
    <t xml:space="preserve">Experiência: desenvolvi</t>
  </si>
  <si>
    <t xml:space="preserve">O que você desenvolveu ou melhorou?</t>
  </si>
  <si>
    <t xml:space="preserve">Uma frase.</t>
  </si>
  <si>
    <t xml:space="preserve">Experiência: saída</t>
  </si>
  <si>
    <t xml:space="preserve">Por que você saiu? (só para nós)</t>
  </si>
  <si>
    <t xml:space="preserve">Toque, opcional</t>
  </si>
  <si>
    <t xml:space="preserve">Prefiro não dizer; Acabou o contrato; Mudei de cidade; Quis crescer; Outro</t>
  </si>
  <si>
    <t xml:space="preserve">Nunca aparece no currículo nem vai para a empresa.</t>
  </si>
  <si>
    <t xml:space="preserve">Nada.</t>
  </si>
  <si>
    <t xml:space="preserve">Ajuda a recomendar vaga</t>
  </si>
  <si>
    <t xml:space="preserve">Mais uma</t>
  </si>
  <si>
    <t xml:space="preserve">Tem mais uma experiência?</t>
  </si>
  <si>
    <t xml:space="preserve">Toque</t>
  </si>
  <si>
    <t xml:space="preserve">Sim; Não</t>
  </si>
  <si>
    <t xml:space="preserve">'Sim' volta à etapa 7.</t>
  </si>
  <si>
    <t xml:space="preserve">Buscar na vida</t>
  </si>
  <si>
    <t xml:space="preserve">Vamos procurar na sua vida. Toque nas coisas que você já fez.</t>
  </si>
  <si>
    <t xml:space="preserve">Marcar várias</t>
  </si>
  <si>
    <t xml:space="preserve">Administrativo; Mecânica; Logística; Vendas; Atendimento; Cozinha; Cuidados; Reparos e obra; Campo; Tecnologia; Liderar grupo</t>
  </si>
  <si>
    <t xml:space="preserve">Se não marcar nada: mostra 'curso para começar'.</t>
  </si>
  <si>
    <t xml:space="preserve">Buscar: administrativo</t>
  </si>
  <si>
    <t xml:space="preserve">Já organizou documentos, agenda, caixa ou lista de pessoas para alguém?</t>
  </si>
  <si>
    <t xml:space="preserve">Sim ou não</t>
  </si>
  <si>
    <t xml:space="preserve">'Sim': pergunta o que fazia, por quanto tempo e o que aprendeu.</t>
  </si>
  <si>
    <t xml:space="preserve">Experiência informal em organização e atendimento administrativo.</t>
  </si>
  <si>
    <t xml:space="preserve">Curso: Excel do zero</t>
  </si>
  <si>
    <t xml:space="preserve">Buscar: mecânica</t>
  </si>
  <si>
    <t xml:space="preserve">Já consertou moto, bicicleta, carro, celular ou aparelho?</t>
  </si>
  <si>
    <t xml:space="preserve">Mesmas três perguntas.</t>
  </si>
  <si>
    <t xml:space="preserve">Experiência informal em manutenção.</t>
  </si>
  <si>
    <t xml:space="preserve">Curso: Mecânica de motos ou Mecânica automotiva básica (parceiro)</t>
  </si>
  <si>
    <t xml:space="preserve">Buscar: logística</t>
  </si>
  <si>
    <t xml:space="preserve">Já entregou, separou ou carregou mercadoria?</t>
  </si>
  <si>
    <t xml:space="preserve">Experiência informal em logística.</t>
  </si>
  <si>
    <t xml:space="preserve">Curso: Logística e estoque</t>
  </si>
  <si>
    <t xml:space="preserve">Buscar: vendas</t>
  </si>
  <si>
    <t xml:space="preserve">Já vendeu alguma coisa: roupa, doce, produto pela internet, na feira?</t>
  </si>
  <si>
    <t xml:space="preserve">Experiência informal em vendas.</t>
  </si>
  <si>
    <t xml:space="preserve">Curso: Vendas para quem está começando</t>
  </si>
  <si>
    <t xml:space="preserve">Buscar: atendimento</t>
  </si>
  <si>
    <t xml:space="preserve">Já atendeu público em balcão, lanchonete, igreja, escola ou evento?</t>
  </si>
  <si>
    <t xml:space="preserve">Experiência informal em atendimento.</t>
  </si>
  <si>
    <t xml:space="preserve">Curso: Atendimento de balcão</t>
  </si>
  <si>
    <t xml:space="preserve">Buscar: cozinha</t>
  </si>
  <si>
    <t xml:space="preserve">Já cozinhou para outras pessoas, no negócio da família ou em evento?</t>
  </si>
  <si>
    <t xml:space="preserve">Experiência informal em cozinha.</t>
  </si>
  <si>
    <t xml:space="preserve">Curso: Boas práticas de manipulação de alimentos</t>
  </si>
  <si>
    <t xml:space="preserve">Buscar: cuidados</t>
  </si>
  <si>
    <t xml:space="preserve">Já cuidou de criança, idoso ou pessoa doente?</t>
  </si>
  <si>
    <t xml:space="preserve">Experiência informal em cuidados.</t>
  </si>
  <si>
    <t xml:space="preserve">Curso: Cuidador de idosos (parceiro)</t>
  </si>
  <si>
    <t xml:space="preserve">Buscar: reparos e obra</t>
  </si>
  <si>
    <t xml:space="preserve">Já ajudou em obra, pintura, elétrica ou hidráulica?</t>
  </si>
  <si>
    <t xml:space="preserve">Experiência informal em reparos.</t>
  </si>
  <si>
    <t xml:space="preserve">Curso: Segurança em obra: noções (não substitui NR)</t>
  </si>
  <si>
    <t xml:space="preserve">Buscar: campo</t>
  </si>
  <si>
    <t xml:space="preserve">Já trabalhou com plantação, horta ou criação de animais?</t>
  </si>
  <si>
    <t xml:space="preserve">Experiência informal no campo.</t>
  </si>
  <si>
    <t xml:space="preserve">Curso: Boas práticas no campo</t>
  </si>
  <si>
    <t xml:space="preserve">Buscar: tecnologia</t>
  </si>
  <si>
    <t xml:space="preserve">Já usou computador, planilha, redes sociais ou Canva para algum trabalho?</t>
  </si>
  <si>
    <t xml:space="preserve">Experiência informal digital.</t>
  </si>
  <si>
    <t xml:space="preserve">Curso: Informática básica no celular e no computador</t>
  </si>
  <si>
    <t xml:space="preserve">Buscar: liderança</t>
  </si>
  <si>
    <t xml:space="preserve">Já liderou um grupo: time, escola, igreja, evento?</t>
  </si>
  <si>
    <t xml:space="preserve">Experiência informal de liderança.</t>
  </si>
  <si>
    <t xml:space="preserve">Curso: Liderança para quem vai ser chefe pela primeira vez</t>
  </si>
  <si>
    <t xml:space="preserve">Formação</t>
  </si>
  <si>
    <t xml:space="preserve">Até onde você estudou? Já fez algum curso?</t>
  </si>
  <si>
    <t xml:space="preserve">Escolaridade; cursos feitos; certificados do Vem Trabalhar entram sozinhos</t>
  </si>
  <si>
    <t xml:space="preserve">Formação e cursos.</t>
  </si>
  <si>
    <t xml:space="preserve">Match: escolaridade</t>
  </si>
  <si>
    <t xml:space="preserve">Marque até 8 coisas que você faz bem.</t>
  </si>
  <si>
    <t xml:space="preserve">Sugestões tiradas do que a pessoa já disse</t>
  </si>
  <si>
    <t xml:space="preserve">Lista de habilidades.</t>
  </si>
  <si>
    <t xml:space="preserve">Você fala outro idioma?</t>
  </si>
  <si>
    <t xml:space="preserve">Nenhum; básico; médio; fluente</t>
  </si>
  <si>
    <t xml:space="preserve">Idiomas e nível.</t>
  </si>
  <si>
    <t xml:space="preserve">Match: idiomas</t>
  </si>
  <si>
    <t xml:space="preserve">Apresentação</t>
  </si>
  <si>
    <t xml:space="preserve">Escolha como quer se apresentar.</t>
  </si>
  <si>
    <t xml:space="preserve">Toque em uma de 3 versões</t>
  </si>
  <si>
    <t xml:space="preserve">Simples; Firme; Caloroso</t>
  </si>
  <si>
    <t xml:space="preserve">A pessoa pode pedir por voz outra versão.</t>
  </si>
  <si>
    <t xml:space="preserve">Resumo de 2 a 3 linhas.</t>
  </si>
  <si>
    <t xml:space="preserve">Modelo e cor</t>
  </si>
  <si>
    <t xml:space="preserve">Escolha o modelo e a cor do seu currículo.</t>
  </si>
  <si>
    <t xml:space="preserve">26 modelos; 9 cores (aba Currículos)</t>
  </si>
  <si>
    <t xml:space="preserve">O sistema sugere o modelo da área.</t>
  </si>
  <si>
    <t xml:space="preserve">Layout.</t>
  </si>
  <si>
    <t xml:space="preserve">Aba Currículos</t>
  </si>
  <si>
    <t xml:space="preserve">Ouvir</t>
  </si>
  <si>
    <t xml:space="preserve">Quer ouvir seu currículo antes de salvar?</t>
  </si>
  <si>
    <t xml:space="preserve">Ouvir; Salvar</t>
  </si>
  <si>
    <t xml:space="preserve">Acessibilidade</t>
  </si>
  <si>
    <t xml:space="preserve">Salvar e mostrar</t>
  </si>
  <si>
    <t xml:space="preserve">Seu currículo está pronto.</t>
  </si>
  <si>
    <t xml:space="preserve">Ver na tela; Baixar PDF; Compartilhar link</t>
  </si>
  <si>
    <t xml:space="preserve">Na semana de teste: só ver na tela. Baixar libera com o pagamento.</t>
  </si>
  <si>
    <t xml:space="preserve">PDF com link e QR.</t>
  </si>
  <si>
    <t xml:space="preserve">Preço e plano (aba Leia primeiro)</t>
  </si>
  <si>
    <t xml:space="preserve">Próximo passo</t>
  </si>
  <si>
    <t xml:space="preserve">Para ter mais chances, faça este curso (depois de tudo pronto, no máximo 3 sugestões, com o motivo).</t>
  </si>
  <si>
    <t xml:space="preserve">Fazer agora; Ver depois</t>
  </si>
  <si>
    <t xml:space="preserve">Curso livre nosso vem primeiro; curso de parceiro leva a etiqueta.</t>
  </si>
  <si>
    <t xml:space="preserve">Aba Ideias de cursos e Parcerias</t>
  </si>
  <si>
    <t xml:space="preserve">Regras da entrevista</t>
  </si>
  <si>
    <t xml:space="preserve">O sistema só escreve o que a pessoa disse. Datas, empresas e números nunca são inventados ou 'melhorados'.</t>
  </si>
  <si>
    <t xml:space="preserve">Tudo que a pessoa falar aparece escrito para ela confirmar antes de entrar no currículo. O áudio é apagado depois de virar texto.</t>
  </si>
  <si>
    <t xml:space="preserve">Não pergunta idade, estado civil, filhos, foto, saúde, religião nem cor. Foto da pessoa só se ela quiser, e nunca criada por IA.</t>
  </si>
  <si>
    <t xml:space="preserve">Tempo parado entre empregos não é cobrado nem destacado. O motivo da saída fica só com a pessoa.</t>
  </si>
  <si>
    <t xml:space="preserve">Trabalho informal, bico, ajuda em negócio da família e voluntariado valem como experiência.</t>
  </si>
  <si>
    <t xml:space="preserve">Cargo de profissão regulada (por exemplo, enfermagem) só aparece se a pessoa tiver o registro. O sistema avisa em vez de escrever.</t>
  </si>
  <si>
    <t xml:space="preserve">A pessoa pode parar e voltar: o que respondeu fica salvo.</t>
  </si>
  <si>
    <t xml:space="preserve">O curso oferecido no fim vem do que a pessoa disse. Primeiro o curso livre nosso; o de parceiro leva a etiqueta 'Parceiro'.</t>
  </si>
  <si>
    <t xml:space="preserve">Tarefas, ferramentas e habilidades por área (as bolinhas de tocar)</t>
  </si>
  <si>
    <t xml:space="preserve">A pessoa toca no que fazia, em vez de digitar. O sistema usa as mesmas listas no currículo e no match.</t>
  </si>
  <si>
    <t xml:space="preserve">Área</t>
  </si>
  <si>
    <t xml:space="preserve">Cargos comuns</t>
  </si>
  <si>
    <t xml:space="preserve">Tarefas do dia a dia</t>
  </si>
  <si>
    <t xml:space="preserve">Ferramentas</t>
  </si>
  <si>
    <t xml:space="preserve">Cursos que combinam</t>
  </si>
  <si>
    <t xml:space="preserve">Administrativa</t>
  </si>
  <si>
    <t xml:space="preserve">Auxiliar administrativo; Recepcionista; Assistente financeiro; Secretário ou secretária; Auxiliar de escritório</t>
  </si>
  <si>
    <t xml:space="preserve">Atender telefone e e-mail; Organizar documentos e arquivos; Lançar notas e contas; Controlar agenda; Preparar planilhas e relatórios; Receber visitas; Fazer pedidos de material; Conferir pagamentos</t>
  </si>
  <si>
    <t xml:space="preserve">Excel; Word; WhatsApp comercial; Sistema de gestão; E-mail</t>
  </si>
  <si>
    <t xml:space="preserve">Organização; Atenção a detalhes; Escrita; Responsabilidade</t>
  </si>
  <si>
    <t xml:space="preserve">Excel do zero; Informática básica no celular e no computador; Comunicação e escrita profissional; Recepcionista</t>
  </si>
  <si>
    <t xml:space="preserve">Mecânica de carro e moto</t>
  </si>
  <si>
    <t xml:space="preserve">Ajudante de mecânico; Mecânico; Auxiliar de oficina; Borracheiro; Eletricista automotivo</t>
  </si>
  <si>
    <t xml:space="preserve">Trocar óleo e filtros; Fazer revisão; Trocar pastilhas e freios; Diagnosticar barulho ou falha; Atender o cliente e explicar o serviço; Fazer orçamento; Limpar e organizar a oficina; Usar scanner</t>
  </si>
  <si>
    <t xml:space="preserve">Chaves e ferramentas manuais; Elevador; Scanner; Multímetro</t>
  </si>
  <si>
    <t xml:space="preserve">Diagnóstico; Cuidado com segurança; Atendimento; Organização</t>
  </si>
  <si>
    <t xml:space="preserve">Mecânica de motos (escola parceira); Mecânica automotiva básica (parceiro); Atendimento de balcão</t>
  </si>
  <si>
    <t xml:space="preserve">Auxiliar de estoque; Conferente; Separador de pedidos; Estoquista; Auxiliar de expedição</t>
  </si>
  <si>
    <t xml:space="preserve">Receber e conferir mercadoria; Separar pedidos; Organizar o estoque; Fazer inventário; Carregar e descarregar; Emitir etiquetas; Controlar entrada e saída</t>
  </si>
  <si>
    <t xml:space="preserve">Coletor de dados; Paleteira; Empilhadeira (com habilitação); Sistema de estoque; Planilha</t>
  </si>
  <si>
    <t xml:space="preserve">Atenção; Organização; Pontualidade; Resistência</t>
  </si>
  <si>
    <t xml:space="preserve">Logística e estoque; Conferência e separação de pedidos; Almoxarifado; Operador de empilhadeira (parceiro)</t>
  </si>
  <si>
    <t xml:space="preserve">Vendas e comércio</t>
  </si>
  <si>
    <t xml:space="preserve">Vendedor; Balconista; Promotor de vendas; Repositor; Vendedor externo</t>
  </si>
  <si>
    <t xml:space="preserve">Atender e oferecer produtos; Montar vitrine e repor mercadoria; Fazer orçamento; Fechar venda; Fazer pós-venda pelo WhatsApp; Bater meta; Procurar novos clientes; Responder redes sociais</t>
  </si>
  <si>
    <t xml:space="preserve">Maquininha; Sistema de vendas; WhatsApp comercial; Instagram; Canva</t>
  </si>
  <si>
    <t xml:space="preserve">Comunicação; Persuasão; Paciência; Organização</t>
  </si>
  <si>
    <t xml:space="preserve">Vendas para quem está começando; Vender pelas redes sociais; Atendimento ao cliente por WhatsApp</t>
  </si>
  <si>
    <t xml:space="preserve">Atendimento e caixa</t>
  </si>
  <si>
    <t xml:space="preserve">Atendente; Operador de caixa; Recepcionista; Atendente de telemarketing; Frentista</t>
  </si>
  <si>
    <t xml:space="preserve">Receber e atender o cliente; Operar o caixa e dar troco; Resolver reclamação; Atender telefone; Fechar o caixa; Cadastrar clientes; Orientar sobre produtos; Atender pelo WhatsApp</t>
  </si>
  <si>
    <t xml:space="preserve">Sistema de caixa; Maquininha; Telefone; WhatsApp</t>
  </si>
  <si>
    <t xml:space="preserve">Educação; Calma; Matemática básica; Agilidade</t>
  </si>
  <si>
    <t xml:space="preserve">Atendimento de balcão; Operador de caixa; Como lidar com cliente difícil</t>
  </si>
  <si>
    <t xml:space="preserve">Cozinha e salão</t>
  </si>
  <si>
    <t xml:space="preserve">Auxiliar de cozinha; Cozinheiro; Garçom; Copeiro; Pizzaiolo; Barista; Atendente de lanchonete; Padeiro</t>
  </si>
  <si>
    <t xml:space="preserve">Preparar ingredientes; Cozinhar pratos; Montar pratos e marmitas; Servir mesas; Anotar pedidos; Limpar e higienizar; Receber e guardar mercadoria; Atender delivery</t>
  </si>
  <si>
    <t xml:space="preserve">Fogão e forno; Chapa; Comanda e sistema; Maquininha</t>
  </si>
  <si>
    <t xml:space="preserve">Higiene; Rapidez; Trabalho em equipe; Organização</t>
  </si>
  <si>
    <t xml:space="preserve">Garçom e atendimento no salão; Boas práticas de manipulação de alimentos; Auxiliar de cozinha (parceiro); Montagem e entrega de marmita e delivery</t>
  </si>
  <si>
    <t xml:space="preserve">Construção e reparos</t>
  </si>
  <si>
    <t xml:space="preserve">Ajudante de pedreiro; Pedreiro; Pintor; Eletricista; Encanador; Servente</t>
  </si>
  <si>
    <t xml:space="preserve">Preparar massa e material; Assentar tijolo e piso; Pintar paredes; Fazer instalações elétricas; Fazer instalações hidráulicas; Medir e fazer orçamento; Limpar a obra; Seguir regras de segurança</t>
  </si>
  <si>
    <t xml:space="preserve">Colher e nível; Furadeira; Multímetro; Trena; Equipamento de proteção</t>
  </si>
  <si>
    <t xml:space="preserve">Força; Atenção; Segurança; Medidas</t>
  </si>
  <si>
    <t xml:space="preserve">Segurança em obra: noções (não substitui NR); Orçamento de pequenas obras; Pintura de parede; Instalação hidráulica básica; Eletricista predial (parceiro)</t>
  </si>
  <si>
    <t xml:space="preserve">Campo e agro</t>
  </si>
  <si>
    <t xml:space="preserve">Trabalhador rural; Tratorista; Ordenhador; Auxiliar de granja; Caseiro</t>
  </si>
  <si>
    <t xml:space="preserve">Plantar e colher; Cuidar de animais; Ordenhar; Operar trator; Irrigar; Aplicar insumos com segurança; Vender a produção; Cuidar de cerca e instalações</t>
  </si>
  <si>
    <t xml:space="preserve">Trator; Ferramentas agrícolas; Irrigação; Celular para vendas</t>
  </si>
  <si>
    <t xml:space="preserve">Resistência; Observação; Responsabilidade</t>
  </si>
  <si>
    <t xml:space="preserve">Boas práticas no campo; Gestão da propriedade rural; Vendas diretas do produtor (feira e WhatsApp); Operador de máquinas agrícolas (parceiro)</t>
  </si>
  <si>
    <t xml:space="preserve">Cuidados e saúde</t>
  </si>
  <si>
    <t xml:space="preserve">Cuidador; Recepcionista de clínica; Babá; Auxiliar de saúde (profissão regulada: só com registro)</t>
  </si>
  <si>
    <t xml:space="preserve">Acompanhar a rotina; Dar medicamento conforme a receita; Ajudar na higiene e no conforto; Atender e agendar pacientes; Organizar fichas; Preparar o ambiente; Aplicar primeiros socorros; Conversar com a família</t>
  </si>
  <si>
    <t xml:space="preserve">Termômetro; Aparelho de pressão; Sistema de agenda</t>
  </si>
  <si>
    <t xml:space="preserve">Paciência; Empatia; Atenção</t>
  </si>
  <si>
    <t xml:space="preserve">Cuidador de idosos (parceiro); Primeiros socorros no trabalho; Recepção em clínicas; Técnico de enfermagem (escola parceira)</t>
  </si>
  <si>
    <t xml:space="preserve">Beleza e estética</t>
  </si>
  <si>
    <t xml:space="preserve">Cabeleireiro; Manicure; Barbeiro; Recepcionista de salão; Maquiador</t>
  </si>
  <si>
    <t xml:space="preserve">Cortar cabelo; Fazer unhas; Atender e agendar clientes; Higienizar ferramentas; Vender produtos; Divulgar no Instagram; Controlar o caixa; Montar combos de serviço</t>
  </si>
  <si>
    <t xml:space="preserve">Tesoura e máquina; Secador; Agenda; Instagram</t>
  </si>
  <si>
    <t xml:space="preserve">Cuidado; Criatividade; Atendimento</t>
  </si>
  <si>
    <t xml:space="preserve">Atendimento em salão de beleza; Instagram para negócios; Preço de venda e lucro</t>
  </si>
  <si>
    <t xml:space="preserve">Tecnologia e escritório digital</t>
  </si>
  <si>
    <t xml:space="preserve">Suporte técnico; Assistente de TI; Designer júnior; Social media; Editor de vídeo</t>
  </si>
  <si>
    <t xml:space="preserve">Instalar e configurar computadores; Atender chamados; Criar artes no Canva; Postar e responder redes; Editar vídeos; Montar planilhas; Cuidar de segurança e senhas; Montar sites simples</t>
  </si>
  <si>
    <t xml:space="preserve">Windows; Canva; Excel; Editor de vídeo no celular; WhatsApp Business</t>
  </si>
  <si>
    <t xml:space="preserve">Lógica; Curiosidade; Comunicação</t>
  </si>
  <si>
    <t xml:space="preserve">Suporte técnico em informática; Canva para quem nunca usou; Edição de vídeo no celular; Criação de site simples; Lógica de programação para iniciantes</t>
  </si>
  <si>
    <t xml:space="preserve">Serviços gerais e limpeza</t>
  </si>
  <si>
    <t xml:space="preserve">Diarista; Auxiliar de limpeza; Zelador; Porteiro; Jardineiro; Ajudante geral</t>
  </si>
  <si>
    <t xml:space="preserve">Limpar e organizar ambientes; Lavar e passar roupa; Cuidar do jardim; Controlar a entrada de pessoas; Fazer pequenos reparos; Receber encomendas; Comprar material de limpeza; Cuidar do patrimônio</t>
  </si>
  <si>
    <t xml:space="preserve">Produtos de limpeza; Máquinas de limpeza; Ferramentas manuais</t>
  </si>
  <si>
    <t xml:space="preserve">Confiança; Disciplina; Pontualidade</t>
  </si>
  <si>
    <t xml:space="preserve">Segurança no trabalho: noções (não substitui NR); Organização do tempo; Primeiro emprego: rotina, direitos e deveres</t>
  </si>
  <si>
    <t xml:space="preserve">Motorista e entregas</t>
  </si>
  <si>
    <t xml:space="preserve">Motorista; Entregador de moto; Motorista de aplicativo; Motoboy</t>
  </si>
  <si>
    <t xml:space="preserve">Entregar pedidos no prazo; Planejar rotas; Conferir a carga; Atender o cliente na entrega; Cuidar do veículo; Cumprir as regras de trânsito; Registrar entregas; Receber pagamento na entrega</t>
  </si>
  <si>
    <t xml:space="preserve">Moto; Carro; Aplicativo de rota; Maquininha</t>
  </si>
  <si>
    <t xml:space="preserve">Direção segura; Pontualidade; Atendimento</t>
  </si>
  <si>
    <t xml:space="preserve">Entregador de moto e bicicleta: rotina e segurança; Direção defensiva (não substitui curso exigido por lei); Motorista de aplicativo: atendimento e segurança</t>
  </si>
  <si>
    <t xml:space="preserve">Os nomes dos cursos são os da aba Ideias de cursos e Cursos com parceiros. Cargo de profissão regulada só entra no currículo com o registro.</t>
  </si>
  <si>
    <t xml:space="preserve">Modelos de currículo e cores</t>
  </si>
  <si>
    <t xml:space="preserve">26 modelos x 9 paletas. Letra: as do app (Bricolage Grotesque para títulos, Instrument Sans para texto). Leitura automática (ATS) é avaliação nossa.</t>
  </si>
  <si>
    <t xml:space="preserve">Modelos</t>
  </si>
  <si>
    <t xml:space="preserve">Cores</t>
  </si>
  <si>
    <t xml:space="preserve">Combinações</t>
  </si>
  <si>
    <t xml:space="preserve">Modelo</t>
  </si>
  <si>
    <t xml:space="preserve">Estilo</t>
  </si>
  <si>
    <t xml:space="preserve">Colunas</t>
  </si>
  <si>
    <t xml:space="preserve">Páginas</t>
  </si>
  <si>
    <t xml:space="preserve">Para quem</t>
  </si>
  <si>
    <t xml:space="preserve">Destaque</t>
  </si>
  <si>
    <t xml:space="preserve">Leitura automática (ATS)</t>
  </si>
  <si>
    <t xml:space="preserve">Letra</t>
  </si>
  <si>
    <t xml:space="preserve">Claro</t>
  </si>
  <si>
    <t xml:space="preserve">Minimalista, nome centralizado</t>
  </si>
  <si>
    <t xml:space="preserve">Sem foto</t>
  </si>
  <si>
    <t xml:space="preserve">Equilíbrio entre experiência e formação</t>
  </si>
  <si>
    <t xml:space="preserve">Bricolage Grotesque + Instrument Sans</t>
  </si>
  <si>
    <t xml:space="preserve">Direto</t>
  </si>
  <si>
    <t xml:space="preserve">Nome à esquerda com linha de cor</t>
  </si>
  <si>
    <t xml:space="preserve">Experiência primeiro</t>
  </si>
  <si>
    <t xml:space="preserve">Faixa lateral</t>
  </si>
  <si>
    <t xml:space="preserve">Coluna lateral com contatos e habilidades</t>
  </si>
  <si>
    <t xml:space="preserve">Foto opcional</t>
  </si>
  <si>
    <t xml:space="preserve">Atendimento, vendas, administrativo</t>
  </si>
  <si>
    <t xml:space="preserve">Habilidades à vista</t>
  </si>
  <si>
    <t xml:space="preserve">Linha do tempo</t>
  </si>
  <si>
    <t xml:space="preserve">Linha vertical com as experiências</t>
  </si>
  <si>
    <t xml:space="preserve">Quem tem várias experiências</t>
  </si>
  <si>
    <t xml:space="preserve">Trajetória</t>
  </si>
  <si>
    <t xml:space="preserve">Primeiro emprego</t>
  </si>
  <si>
    <t xml:space="preserve">Objetivo, cursos e habilidades no topo</t>
  </si>
  <si>
    <t xml:space="preserve">Quem nunca trabalhou com carteira</t>
  </si>
  <si>
    <t xml:space="preserve">Cursos, projetos, trabalho voluntário e informal</t>
  </si>
  <si>
    <t xml:space="preserve">Operacional</t>
  </si>
  <si>
    <t xml:space="preserve">Disponibilidade e certificados em destaque</t>
  </si>
  <si>
    <t xml:space="preserve">Fábrica, armazém, obra, produção</t>
  </si>
  <si>
    <t xml:space="preserve">NR, CNH, cursos práticos</t>
  </si>
  <si>
    <t xml:space="preserve">Técnico</t>
  </si>
  <si>
    <t xml:space="preserve">Ferramentas e certificações em quadro</t>
  </si>
  <si>
    <t xml:space="preserve">Eletricista, mecânico, técnico</t>
  </si>
  <si>
    <t xml:space="preserve">Equipamentos e certificações</t>
  </si>
  <si>
    <t xml:space="preserve">Atendimento e vendas</t>
  </si>
  <si>
    <t xml:space="preserve">Resultados e idiomas em destaque</t>
  </si>
  <si>
    <t xml:space="preserve">Balcão, caixa, vendas</t>
  </si>
  <si>
    <t xml:space="preserve">Metas batidas, idiomas</t>
  </si>
  <si>
    <t xml:space="preserve">Saúde</t>
  </si>
  <si>
    <t xml:space="preserve">Registro profissional e plantões</t>
  </si>
  <si>
    <t xml:space="preserve">Enfermagem, farmácia, clínicas</t>
  </si>
  <si>
    <t xml:space="preserve">Registro no conselho, especialidades</t>
  </si>
  <si>
    <t xml:space="preserve">Praças, turnos e boas práticas</t>
  </si>
  <si>
    <t xml:space="preserve">Gastronomia e hotelaria</t>
  </si>
  <si>
    <t xml:space="preserve">Praças, manipulação de alimentos</t>
  </si>
  <si>
    <t xml:space="preserve">Máquinas, cultivos e cursos</t>
  </si>
  <si>
    <t xml:space="preserve">Agro e pecuária</t>
  </si>
  <si>
    <t xml:space="preserve">Máquinas, cadeias, cursos</t>
  </si>
  <si>
    <t xml:space="preserve">Motorista e entregador</t>
  </si>
  <si>
    <t xml:space="preserve">CNH, veículos e rotas</t>
  </si>
  <si>
    <t xml:space="preserve">Motoristas, entregadores</t>
  </si>
  <si>
    <t xml:space="preserve">Categoria da CNH, tipos de veículo</t>
  </si>
  <si>
    <t xml:space="preserve">Administrativo</t>
  </si>
  <si>
    <t xml:space="preserve">Sistemas e rotinas</t>
  </si>
  <si>
    <t xml:space="preserve">Escritório, finanças</t>
  </si>
  <si>
    <t xml:space="preserve">Excel, sistemas, rotinas</t>
  </si>
  <si>
    <t xml:space="preserve">Executivo</t>
  </si>
  <si>
    <t xml:space="preserve">Resumo executivo e resultados</t>
  </si>
  <si>
    <t xml:space="preserve">Gerência e direção</t>
  </si>
  <si>
    <t xml:space="preserve">Resultados e liderança</t>
  </si>
  <si>
    <t xml:space="preserve">Criativo</t>
  </si>
  <si>
    <t xml:space="preserve">Mais cor e portfólio</t>
  </si>
  <si>
    <t xml:space="preserve">Design, marketing, moda</t>
  </si>
  <si>
    <t xml:space="preserve">Link do portfólio</t>
  </si>
  <si>
    <t xml:space="preserve">Baixa</t>
  </si>
  <si>
    <t xml:space="preserve">Compacto</t>
  </si>
  <si>
    <t xml:space="preserve">Tudo em uma página, bem enxuto</t>
  </si>
  <si>
    <t xml:space="preserve">Quem quer só o essencial</t>
  </si>
  <si>
    <t xml:space="preserve">Resumo curto</t>
  </si>
  <si>
    <t xml:space="preserve">Foto redonda</t>
  </si>
  <si>
    <t xml:space="preserve">Foto em círculo no topo</t>
  </si>
  <si>
    <t xml:space="preserve">Atendimento ao público</t>
  </si>
  <si>
    <t xml:space="preserve">Apresentação pessoal</t>
  </si>
  <si>
    <t xml:space="preserve">Dois tons</t>
  </si>
  <si>
    <t xml:space="preserve">Faixa colorida no cabeçalho</t>
  </si>
  <si>
    <t xml:space="preserve">Visual</t>
  </si>
  <si>
    <t xml:space="preserve">Moderno</t>
  </si>
  <si>
    <t xml:space="preserve">Etiquetas de habilidades, sem barras</t>
  </si>
  <si>
    <t xml:space="preserve">Tecnologia, atendimento</t>
  </si>
  <si>
    <t xml:space="preserve">Habilidades em etiquetas</t>
  </si>
  <si>
    <t xml:space="preserve">Clássico</t>
  </si>
  <si>
    <t xml:space="preserve">Letra com serifa, formal</t>
  </si>
  <si>
    <t xml:space="preserve">Concursos, jurídico, bancos</t>
  </si>
  <si>
    <t xml:space="preserve">Formal</t>
  </si>
  <si>
    <t xml:space="preserve">Serifada do aparelho (a fonte do app é sem serifa)</t>
  </si>
  <si>
    <t xml:space="preserve">Acadêmico</t>
  </si>
  <si>
    <t xml:space="preserve">Formação, pesquisa e publicações</t>
  </si>
  <si>
    <t xml:space="preserve">Professores e pesquisadores</t>
  </si>
  <si>
    <t xml:space="preserve">Formação e produção</t>
  </si>
  <si>
    <t xml:space="preserve">Estágio e jovem aprendiz</t>
  </si>
  <si>
    <t xml:space="preserve">Escola, cursos e atividades</t>
  </si>
  <si>
    <t xml:space="preserve">Estudantes</t>
  </si>
  <si>
    <t xml:space="preserve">Escola, cursos, atividades</t>
  </si>
  <si>
    <t xml:space="preserve">Autônomo e MEI</t>
  </si>
  <si>
    <t xml:space="preserve">Serviços, clientes e avaliações</t>
  </si>
  <si>
    <t xml:space="preserve">Quem trabalha por conta</t>
  </si>
  <si>
    <t xml:space="preserve">Serviços e clientes atendidos</t>
  </si>
  <si>
    <t xml:space="preserve">Professor</t>
  </si>
  <si>
    <t xml:space="preserve">Formação, turmas e projetos</t>
  </si>
  <si>
    <t xml:space="preserve">Educação</t>
  </si>
  <si>
    <t xml:space="preserve">Turmas e projetos</t>
  </si>
  <si>
    <t xml:space="preserve">Tecnologia</t>
  </si>
  <si>
    <t xml:space="preserve">Projetos, ferramentas e links</t>
  </si>
  <si>
    <t xml:space="preserve">Programação e suporte</t>
  </si>
  <si>
    <t xml:space="preserve">Projetos e ferramentas</t>
  </si>
  <si>
    <t xml:space="preserve">Letra grande</t>
  </si>
  <si>
    <t xml:space="preserve">Letra maior e contraste alto</t>
  </si>
  <si>
    <t xml:space="preserve">Quem tem baixa visão ou lê no celular</t>
  </si>
  <si>
    <t xml:space="preserve">Leitura fácil</t>
  </si>
  <si>
    <t xml:space="preserve">Instrument Sans, tamanho 20% maior</t>
  </si>
  <si>
    <t xml:space="preserve">Cor</t>
  </si>
  <si>
    <t xml:space="preserve">Principal</t>
  </si>
  <si>
    <t xml:space="preserve">Escura</t>
  </si>
  <si>
    <t xml:space="preserve">Clara</t>
  </si>
  <si>
    <t xml:space="preserve">Escura sobre a clara (contraste)</t>
  </si>
  <si>
    <t xml:space="preserve">Principal sobre branco (contraste)</t>
  </si>
  <si>
    <t xml:space="preserve">Texto na cor principal?</t>
  </si>
  <si>
    <t xml:space="preserve">Vermelho</t>
  </si>
  <si>
    <t xml:space="preserve">#B42318</t>
  </si>
  <si>
    <t xml:space="preserve">#7F1D14</t>
  </si>
  <si>
    <t xml:space="preserve">#FDECEA</t>
  </si>
  <si>
    <t xml:space="preserve">#FFC83A</t>
  </si>
  <si>
    <t xml:space="preserve">Texto sempre em cor escura sobre fundo claro (contraste de 4,5 ou mais).</t>
  </si>
  <si>
    <t xml:space="preserve">Laranja</t>
  </si>
  <si>
    <t xml:space="preserve">#C2410C</t>
  </si>
  <si>
    <t xml:space="preserve">#8A2E08</t>
  </si>
  <si>
    <t xml:space="preserve">#FFF1E6</t>
  </si>
  <si>
    <t xml:space="preserve">Amarelo</t>
  </si>
  <si>
    <t xml:space="preserve">#5C4200</t>
  </si>
  <si>
    <t xml:space="preserve">#FFF6D6</t>
  </si>
  <si>
    <t xml:space="preserve">Não: usar só em faixas e detalhes</t>
  </si>
  <si>
    <t xml:space="preserve">Verde</t>
  </si>
  <si>
    <t xml:space="preserve">#1E6B3C</t>
  </si>
  <si>
    <t xml:space="preserve">#123B2B</t>
  </si>
  <si>
    <t xml:space="preserve">#E6F4EA</t>
  </si>
  <si>
    <t xml:space="preserve">Azul</t>
  </si>
  <si>
    <t xml:space="preserve">#1D4ED8</t>
  </si>
  <si>
    <t xml:space="preserve">#1E3A8A</t>
  </si>
  <si>
    <t xml:space="preserve">#E8EEFF</t>
  </si>
  <si>
    <t xml:space="preserve">Roxo</t>
  </si>
  <si>
    <t xml:space="preserve">#6D28D9</t>
  </si>
  <si>
    <t xml:space="preserve">#4C1D95</t>
  </si>
  <si>
    <t xml:space="preserve">#F1E9FE</t>
  </si>
  <si>
    <t xml:space="preserve">Marrom</t>
  </si>
  <si>
    <t xml:space="preserve">#7C4A24</t>
  </si>
  <si>
    <t xml:space="preserve">#4A2A12</t>
  </si>
  <si>
    <t xml:space="preserve">#F7EDE3</t>
  </si>
  <si>
    <t xml:space="preserve">Rosa</t>
  </si>
  <si>
    <t xml:space="preserve">#BE185D</t>
  </si>
  <si>
    <t xml:space="preserve">#831843</t>
  </si>
  <si>
    <t xml:space="preserve">#FDE7F0</t>
  </si>
  <si>
    <t xml:space="preserve">Grafite</t>
  </si>
  <si>
    <t xml:space="preserve">#1F2937</t>
  </si>
  <si>
    <t xml:space="preserve">#111827</t>
  </si>
  <si>
    <t xml:space="preserve">#EEF0F3</t>
  </si>
  <si>
    <t xml:space="preserve">Mesmas cores das logomarcas do Vem Comer. Contraste calculado pela fórmula WCAG (luminância relativa); 4,5 ou mais é o mínimo para texto normal.</t>
  </si>
  <si>
    <t xml:space="preserve">Jeito de ser: 25 frases (Big Five do IPIP)</t>
  </si>
  <si>
    <t xml:space="preserve">Itens do IPIP, de domínio público: podem ser copiados, traduzidos e usados para qualquer fim (ipip.ori.org). A tradução é nossa e precisa de revisão de psicólogo.</t>
  </si>
  <si>
    <t xml:space="preserve">Resposta: 1 discordo muito, 2 discordo, 3 nem um nem outro, 4 concordo, 5 concordo muito. Exemplo: 4. Na tela vira 5 botões; ninguém digita.</t>
  </si>
  <si>
    <t xml:space="preserve">Fator</t>
  </si>
  <si>
    <t xml:space="preserve">Frase</t>
  </si>
  <si>
    <t xml:space="preserve">Sentido</t>
  </si>
  <si>
    <t xml:space="preserve">Resposta (1 a 5)</t>
  </si>
  <si>
    <t xml:space="preserve">Item original (IPIP)</t>
  </si>
  <si>
    <t xml:space="preserve">Média (1 a 5)</t>
  </si>
  <si>
    <t xml:space="preserve">Extroversão</t>
  </si>
  <si>
    <t xml:space="preserve">Sou a alma da festa.</t>
  </si>
  <si>
    <t xml:space="preserve">Normal</t>
  </si>
  <si>
    <t xml:space="preserve">Am the life of the party.</t>
  </si>
  <si>
    <t xml:space="preserve">Sinto-me à vontade perto das pessoas.</t>
  </si>
  <si>
    <t xml:space="preserve">Feel comfortable around people.</t>
  </si>
  <si>
    <t xml:space="preserve">Amabilidade</t>
  </si>
  <si>
    <t xml:space="preserve">Falo pouco.</t>
  </si>
  <si>
    <t xml:space="preserve">Invertido</t>
  </si>
  <si>
    <t xml:space="preserve">Don't talk a lot.</t>
  </si>
  <si>
    <t xml:space="preserve">Responsabilidade</t>
  </si>
  <si>
    <t xml:space="preserve">Fico em segundo plano.</t>
  </si>
  <si>
    <t xml:space="preserve">Keep in the background.</t>
  </si>
  <si>
    <t xml:space="preserve">Calma</t>
  </si>
  <si>
    <t xml:space="preserve">Puxo conversa.</t>
  </si>
  <si>
    <t xml:space="preserve">Start conversations.</t>
  </si>
  <si>
    <t xml:space="preserve">Curiosidade</t>
  </si>
  <si>
    <t xml:space="preserve">Interesso-me pelas pessoas.</t>
  </si>
  <si>
    <t xml:space="preserve">Am interested in people.</t>
  </si>
  <si>
    <t xml:space="preserve">Tenho o coração mole.</t>
  </si>
  <si>
    <t xml:space="preserve">Have a soft heart.</t>
  </si>
  <si>
    <t xml:space="preserve">Média alta (4 a 5), média (3), baixa (1 a 2). Não é nota boa ou ruim: é jeito de ser.</t>
  </si>
  <si>
    <t xml:space="preserve">Não me interesso pelos problemas dos outros.</t>
  </si>
  <si>
    <t xml:space="preserve">Am not interested in other people's problems.</t>
  </si>
  <si>
    <t xml:space="preserve">O fator Calma é o mais sensível: só para a pessoa, nunca aparece para a empresa.</t>
  </si>
  <si>
    <t xml:space="preserve">Reservo tempo para os outros.</t>
  </si>
  <si>
    <t xml:space="preserve">Take time out for others.</t>
  </si>
  <si>
    <t xml:space="preserve">Sinto pouca preocupação com os outros.</t>
  </si>
  <si>
    <t xml:space="preserve">Feel little concern for others.</t>
  </si>
  <si>
    <t xml:space="preserve">Estou sempre preparado.</t>
  </si>
  <si>
    <t xml:space="preserve">Am always prepared.</t>
  </si>
  <si>
    <t xml:space="preserve">Presto atenção aos detalhes.</t>
  </si>
  <si>
    <t xml:space="preserve">Pay attention to details.</t>
  </si>
  <si>
    <t xml:space="preserve">Resolvo as tarefas logo.</t>
  </si>
  <si>
    <t xml:space="preserve">Get chores done right away.</t>
  </si>
  <si>
    <t xml:space="preserve">Sigo um horário.</t>
  </si>
  <si>
    <t xml:space="preserve">Follow a schedule.</t>
  </si>
  <si>
    <t xml:space="preserve">Deixo meus deveres de lado.</t>
  </si>
  <si>
    <t xml:space="preserve">Neglect my duties.</t>
  </si>
  <si>
    <t xml:space="preserve">Fico tranquilo na maior parte do tempo.</t>
  </si>
  <si>
    <t xml:space="preserve">Am relaxed most of the time.</t>
  </si>
  <si>
    <t xml:space="preserve">Estresso-me com facilidade.</t>
  </si>
  <si>
    <t xml:space="preserve">Get stressed out easily.</t>
  </si>
  <si>
    <t xml:space="preserve">Preocupo-me com as coisas.</t>
  </si>
  <si>
    <t xml:space="preserve">Worry about things.</t>
  </si>
  <si>
    <t xml:space="preserve">Raramente me irrito.</t>
  </si>
  <si>
    <t xml:space="preserve">Rarely get irritated.</t>
  </si>
  <si>
    <t xml:space="preserve">Meu humor muda muito.</t>
  </si>
  <si>
    <t xml:space="preserve">Change my mood a lot.</t>
  </si>
  <si>
    <t xml:space="preserve">Tenho muitas ideias boas.</t>
  </si>
  <si>
    <t xml:space="preserve">Have excellent ideas.</t>
  </si>
  <si>
    <t xml:space="preserve">Entendo as coisas rápido.</t>
  </si>
  <si>
    <t xml:space="preserve">Am quick to understand things.</t>
  </si>
  <si>
    <t xml:space="preserve">Tenho dificuldade de entender ideias abstratas.</t>
  </si>
  <si>
    <t xml:space="preserve">Have difficulty understanding abstract ideas.</t>
  </si>
  <si>
    <t xml:space="preserve">Gosto de pensar em jeitos novos de fazer as coisas.</t>
  </si>
  <si>
    <t xml:space="preserve">Love to think up new ways of doing things.</t>
  </si>
  <si>
    <t xml:space="preserve">Tenho vocabulário rico.</t>
  </si>
  <si>
    <t xml:space="preserve">Have a rich vocabulary.</t>
  </si>
  <si>
    <t xml:space="preserve">Interesses de carreira: 18 frases (modelo RIASEC)</t>
  </si>
  <si>
    <t xml:space="preserve">O modelo RIASEC (Holland) é a base do Interest Profiler do O*NET (Creative Commons 4.0, crédito ao Departamento do Trabalho dos EUA). As frases daqui são nossas.</t>
  </si>
  <si>
    <t xml:space="preserve">Resposta: 1 não curto, 2 tanto faz, 3 curto. Exemplo: 3. Na tela vira carinha triste, neutra e feliz.</t>
  </si>
  <si>
    <t xml:space="preserve">Resposta (1 a 3)</t>
  </si>
  <si>
    <t xml:space="preserve">Soma</t>
  </si>
  <si>
    <t xml:space="preserve">Combina com</t>
  </si>
  <si>
    <t xml:space="preserve">Realista (fazer com as mãos)</t>
  </si>
  <si>
    <t xml:space="preserve">Consertar uma máquina, uma moto ou um aparelho.</t>
  </si>
  <si>
    <t xml:space="preserve">Indústria, agro, construção, mecânica, logística</t>
  </si>
  <si>
    <t xml:space="preserve">Trabalhar ao ar livre, no campo ou numa obra.</t>
  </si>
  <si>
    <t xml:space="preserve">Investigativo (entender e descobrir)</t>
  </si>
  <si>
    <t xml:space="preserve">Tecnologia, saúde, qualidade, laboratório, dados</t>
  </si>
  <si>
    <t xml:space="preserve">Montar, instalar ou operar equipamentos.</t>
  </si>
  <si>
    <t xml:space="preserve">Artístico (criar)</t>
  </si>
  <si>
    <t xml:space="preserve">Moda, design, gastronomia, comunicação, eventos</t>
  </si>
  <si>
    <t xml:space="preserve">Descobrir por que uma coisa deu errado.</t>
  </si>
  <si>
    <t xml:space="preserve">Social (ajudar e ensinar)</t>
  </si>
  <si>
    <t xml:space="preserve">Saúde, educação, atendimento, hotelaria, cuidados</t>
  </si>
  <si>
    <t xml:space="preserve">Ler e pesquisar para aprender um assunto a fundo.</t>
  </si>
  <si>
    <t xml:space="preserve">Empreendedor (vender e liderar)</t>
  </si>
  <si>
    <t xml:space="preserve">Vendas, comércio, gerência, MEI e negócio próprio</t>
  </si>
  <si>
    <t xml:space="preserve">Analisar números ou resultados para tirar conclusões.</t>
  </si>
  <si>
    <t xml:space="preserve">Convencional (organizar)</t>
  </si>
  <si>
    <t xml:space="preserve">Administração, finanças, estoque, escritório, recepção</t>
  </si>
  <si>
    <t xml:space="preserve">Desenhar, fotografar, fazer vídeos ou decorar.</t>
  </si>
  <si>
    <t xml:space="preserve">Inventar receitas, roupas, peças ou textos.</t>
  </si>
  <si>
    <t xml:space="preserve">Tipo mais forte</t>
  </si>
  <si>
    <t xml:space="preserve">Montar uma vitrine, um cardápio ou uma página bonita.</t>
  </si>
  <si>
    <t xml:space="preserve">Atender e ajudar pessoas com problemas.</t>
  </si>
  <si>
    <t xml:space="preserve">Ensinar alguém a fazer uma tarefa.</t>
  </si>
  <si>
    <t xml:space="preserve">Cuidar de pessoas: crianças, idosos, pacientes.</t>
  </si>
  <si>
    <t xml:space="preserve">Convencer alguém a comprar ou a topar uma ideia.</t>
  </si>
  <si>
    <t xml:space="preserve">Liderar um grupo para bater uma meta.</t>
  </si>
  <si>
    <t xml:space="preserve">Abrir ou tocar o meu próprio negócio.</t>
  </si>
  <si>
    <t xml:space="preserve">Organizar documentos, estoque ou agenda.</t>
  </si>
  <si>
    <t xml:space="preserve">Lançar dados e conferir contas com cuidado.</t>
  </si>
  <si>
    <t xml:space="preserve">Seguir um passo a passo sempre do mesmo jeito.</t>
  </si>
  <si>
    <t xml:space="preserve">Desempenho do funcionário: 16 frases</t>
  </si>
  <si>
    <t xml:space="preserve">Uma versão para o próprio funcionário e outra para o gestor (a frase passa de 'eu' para 'essa pessoa'). Serve para desenvolver, com conversa, e não para decidir demissão sozinha.</t>
  </si>
  <si>
    <t xml:space="preserve">Resposta: 1 ainda não, 2 às vezes, 3 quase sempre, 4 sempre. Exemplo: 3. O funcionário sabe que está sendo avaliado e vê o resultado.</t>
  </si>
  <si>
    <t xml:space="preserve">Competência</t>
  </si>
  <si>
    <t xml:space="preserve">Eu (1 a 4)</t>
  </si>
  <si>
    <t xml:space="preserve">Gestor (1 a 4)</t>
  </si>
  <si>
    <t xml:space="preserve">Eu</t>
  </si>
  <si>
    <t xml:space="preserve">Gestor</t>
  </si>
  <si>
    <t xml:space="preserve">Diferença</t>
  </si>
  <si>
    <t xml:space="preserve">Qualidade do trabalho</t>
  </si>
  <si>
    <t xml:space="preserve">Entrego o trabalho como combinado.</t>
  </si>
  <si>
    <t xml:space="preserve">Confiro o meu trabalho antes de entregar.</t>
  </si>
  <si>
    <t xml:space="preserve">Pontualidade e prazos</t>
  </si>
  <si>
    <t xml:space="preserve">Chego no horário e aviso quando não puder vir.</t>
  </si>
  <si>
    <t xml:space="preserve">Cumpro os prazos que combinei.</t>
  </si>
  <si>
    <t xml:space="preserve">Atendimento</t>
  </si>
  <si>
    <t xml:space="preserve">Ajudo os colegas quando precisam.</t>
  </si>
  <si>
    <t xml:space="preserve">Iniciativa</t>
  </si>
  <si>
    <t xml:space="preserve">Aceito pedir ajuda e receber orientação.</t>
  </si>
  <si>
    <t xml:space="preserve">Segurança e normas</t>
  </si>
  <si>
    <t xml:space="preserve">Trato bem o cliente mesmo num dia difícil.</t>
  </si>
  <si>
    <t xml:space="preserve">Resolvo o problema do cliente ou levo a quem resolve.</t>
  </si>
  <si>
    <t xml:space="preserve">Aprendizado</t>
  </si>
  <si>
    <t xml:space="preserve">Vejo o que precisa ser feito sem esperar ordem.</t>
  </si>
  <si>
    <t xml:space="preserve">Sugiro melhorias no meu trabalho.</t>
  </si>
  <si>
    <t xml:space="preserve">Diferença positiva: o gestor vê mais do que a pessoa. Negativa: a pessoa se vê melhor. A conversa começa por aí. Cada competência liga a um curso.</t>
  </si>
  <si>
    <t xml:space="preserve">Uso os equipamentos de proteção e sigo as regras de segurança.</t>
  </si>
  <si>
    <t xml:space="preserve">Mantenho meu posto limpo e organizado.</t>
  </si>
  <si>
    <t xml:space="preserve">Explico com clareza o que preciso ou o que aconteceu.</t>
  </si>
  <si>
    <t xml:space="preserve">Escuto até o fim antes de responder.</t>
  </si>
  <si>
    <t xml:space="preserve">Aprendo com os erros e não repito.</t>
  </si>
  <si>
    <t xml:space="preserve">Procuro aprender coisas novas para o trabalho.</t>
  </si>
  <si>
    <t xml:space="preserve">A empresa cadastra a equipe: planilha, foto de uma lista ou voz</t>
  </si>
  <si>
    <t xml:space="preserve">O sistema lê, propõe as competências de cada cargo e os cursos que ajudam. A empresa confere antes de salvar.</t>
  </si>
  <si>
    <t xml:space="preserve">Três jeitos de mandar a equipe</t>
  </si>
  <si>
    <t xml:space="preserve">Planilha (Excel ou CSV)</t>
  </si>
  <si>
    <t xml:space="preserve">Uma linha por pessoa, com as colunas abaixo. Coluna que não tiver, fica em branco.</t>
  </si>
  <si>
    <t xml:space="preserve">Foto de uma lista</t>
  </si>
  <si>
    <t xml:space="preserve">Uma lista escrita à mão ou impressa. O sistema lê e mostra para conferir, como no cardápio por foto.</t>
  </si>
  <si>
    <t xml:space="preserve">'Tenho dois garçons, o João e a Maria, e uma cozinheira, a Ana.' O sistema monta a lista para conferir.</t>
  </si>
  <si>
    <t xml:space="preserve">Modelo da planilha (linhas de EXEMPLO, nomes inventados)</t>
  </si>
  <si>
    <t xml:space="preserve">Cargo</t>
  </si>
  <si>
    <t xml:space="preserve">Admissão (mês/ano)</t>
  </si>
  <si>
    <t xml:space="preserve">WhatsApp (opcional)</t>
  </si>
  <si>
    <t xml:space="preserve">EXEMPLO: Maria Silva</t>
  </si>
  <si>
    <t xml:space="preserve">Frente de loja</t>
  </si>
  <si>
    <t xml:space="preserve">03/2024</t>
  </si>
  <si>
    <t xml:space="preserve">EXEMPLO: Carlos</t>
  </si>
  <si>
    <t xml:space="preserve">(00) 00000-0000</t>
  </si>
  <si>
    <t xml:space="preserve">EXEMPLO: João Souza</t>
  </si>
  <si>
    <t xml:space="preserve">Salão</t>
  </si>
  <si>
    <t xml:space="preserve">11/2025</t>
  </si>
  <si>
    <t xml:space="preserve">EXEMPLO: Ana Lima</t>
  </si>
  <si>
    <t xml:space="preserve">07/2023</t>
  </si>
  <si>
    <t xml:space="preserve">EXEMPLO: Rita</t>
  </si>
  <si>
    <t xml:space="preserve">Não pedimos CPF, idade, estado civil, filhos nem saúde. O funcionário recebe um convite e sabe que está no sistema (LGPD).</t>
  </si>
  <si>
    <t xml:space="preserve">O que o sistema propõe para cada cargo (proposta nossa; a empresa ajusta)</t>
  </si>
  <si>
    <t xml:space="preserve">Competências esperadas</t>
  </si>
  <si>
    <t xml:space="preserve">Como medir (aba Desempenho)</t>
  </si>
  <si>
    <t xml:space="preserve">Cursos que ajudam (do catálogo)</t>
  </si>
  <si>
    <t xml:space="preserve">Atenção com dinheiro; atendimento educado; agilidade na fila; seguir as regras do caixa; resolver reclamação</t>
  </si>
  <si>
    <t xml:space="preserve">Frases de qualidade, atendimento e regras</t>
  </si>
  <si>
    <t xml:space="preserve">Operador de caixa; Atendimento de balcão; Como lidar com cliente difícil</t>
  </si>
  <si>
    <t xml:space="preserve">Atender a mesa com educação; anotar certo; vender o prato do dia; trabalho em equipe; higiene</t>
  </si>
  <si>
    <t xml:space="preserve">Frases de atendimento, equipe e higiene</t>
  </si>
  <si>
    <t xml:space="preserve">Garçom e atendimento no salão; Vendas para quem está começando; Como lidar com cliente difícil</t>
  </si>
  <si>
    <t xml:space="preserve">Higiene; seguir a ficha técnica; rapidez; organização da bancada; evitar desperdício</t>
  </si>
  <si>
    <t xml:space="preserve">Frases de qualidade, organização e regras</t>
  </si>
  <si>
    <t xml:space="preserve">Boas práticas de manipulação de alimentos; Organização do tempo</t>
  </si>
  <si>
    <t xml:space="preserve">Vendedor</t>
  </si>
  <si>
    <t xml:space="preserve">Atender e oferecer; conhecer o produto; fechar a venda; pós-venda; bater meta</t>
  </si>
  <si>
    <t xml:space="preserve">Frases de vendas, atendimento e metas</t>
  </si>
  <si>
    <t xml:space="preserve">Auxiliar administrativo</t>
  </si>
  <si>
    <t xml:space="preserve">Organização; atenção a detalhes; planilha; comunicação escrita; sigilo</t>
  </si>
  <si>
    <t xml:space="preserve">Frases de organização, comunicação e regras</t>
  </si>
  <si>
    <t xml:space="preserve">Excel do zero; Comunicação e escrita profissional; Organização do tempo</t>
  </si>
  <si>
    <t xml:space="preserve">Estoquista</t>
  </si>
  <si>
    <t xml:space="preserve">Conferir mercadoria; organizar o estoque; controlar entrada e saída; segurança ao carregar</t>
  </si>
  <si>
    <t xml:space="preserve">Frases de organização, qualidade e segurança</t>
  </si>
  <si>
    <t xml:space="preserve">Logística e estoque; Conferência e separação de pedidos</t>
  </si>
  <si>
    <t xml:space="preserve">Entregador</t>
  </si>
  <si>
    <t xml:space="preserve">Pontualidade; direção segura; atendimento na entrega; cuidado com o pedido</t>
  </si>
  <si>
    <t xml:space="preserve">Frases de pontualidade, segurança e atendimento</t>
  </si>
  <si>
    <t xml:space="preserve">Entregador de moto e bicicleta: rotina e segurança; Direção defensiva (não substitui curso exigido por lei)</t>
  </si>
  <si>
    <t xml:space="preserve">Atendente de balcão</t>
  </si>
  <si>
    <t xml:space="preserve">Educação; agilidade; conhecer o cardápio ou os produtos; resolver dúvida; higiene</t>
  </si>
  <si>
    <t xml:space="preserve">Frases de atendimento e qualidade</t>
  </si>
  <si>
    <t xml:space="preserve">Atendimento de balcão; Como lidar com cliente difícil</t>
  </si>
  <si>
    <t xml:space="preserve">O caminho depois de importar</t>
  </si>
  <si>
    <t xml:space="preserve">1. A empresa confere a lista e as competências de cada cargo, e salva.</t>
  </si>
  <si>
    <t xml:space="preserve">2. Cada funcionário recebe um convite (WhatsApp ou link) e aceita entrar.</t>
  </si>
  <si>
    <t xml:space="preserve">3. Avaliação de desempenho (aba Desempenho): o funcionário responde a dele e o gestor a do gestor.</t>
  </si>
  <si>
    <t xml:space="preserve">4. O sistema mostra os pontos a desenvolver de cada um e os cursos que ajudam, com o motivo.</t>
  </si>
  <si>
    <t xml:space="preserve">5. O funcionário faz o curso; o certificado entra no currículo dele; a próxima avaliação mostra se melhorou.</t>
  </si>
  <si>
    <t xml:space="preserve">Avaliação serve para desenvolver, nunca para demitir de forma automática. O resultado é do funcionário também.</t>
  </si>
  <si>
    <t xml:space="preserve">RH terceirizado: profissionais de RH fazem entrevistas pela plataforma</t>
  </si>
  <si>
    <t xml:space="preserve">Para empresa pequena sem RH ou empresa grande que não quer mais ter RH. O RH define o preço; 30% fica com o Vem Trabalhar. Letra azul em fundo amarelo = você pode mudar.</t>
  </si>
  <si>
    <t xml:space="preserve">Taxa do profissional de RH para se cadastrar</t>
  </si>
  <si>
    <t xml:space="preserve">Fala do GD: R$ 200. Pergunta aberta: pago uma vez ou todo mês?</t>
  </si>
  <si>
    <t xml:space="preserve">Comissão do Vem Trabalhar sobre cada entrevista</t>
  </si>
  <si>
    <t xml:space="preserve">Fala do GD: 30% do valor que o RH cobra.</t>
  </si>
  <si>
    <t xml:space="preserve">Preço que o RH cobra por entrevista (EXEMPLO)</t>
  </si>
  <si>
    <t xml:space="preserve">Cada RH escreve o próprio preço no cadastro. Valor de exemplo, inventado.</t>
  </si>
  <si>
    <t xml:space="preserve">Entrevistas por mês de cada RH (EXEMPLO)</t>
  </si>
  <si>
    <t xml:space="preserve">RHs cadastrados (EXEMPLO)</t>
  </si>
  <si>
    <t xml:space="preserve">Conta</t>
  </si>
  <si>
    <t xml:space="preserve">Vem Trabalhar recebe por entrevista</t>
  </si>
  <si>
    <t xml:space="preserve">preço do RH x comissão</t>
  </si>
  <si>
    <t xml:space="preserve">O RH recebe por entrevista</t>
  </si>
  <si>
    <t xml:space="preserve">preço do RH - parte do Vem Trabalhar</t>
  </si>
  <si>
    <t xml:space="preserve">Entrevistas no mês (todos os RHs)</t>
  </si>
  <si>
    <t xml:space="preserve">entrevistas de cada RH x RHs</t>
  </si>
  <si>
    <t xml:space="preserve">Vem Trabalhar com entrevistas no mês</t>
  </si>
  <si>
    <t xml:space="preserve">parte por entrevista x entrevistas no mês</t>
  </si>
  <si>
    <t xml:space="preserve">Taxas dos RHs (se for paga uma vez)</t>
  </si>
  <si>
    <t xml:space="preserve">taxa x RHs. Se for mensal, entra todo mês.</t>
  </si>
  <si>
    <t xml:space="preserve">Como funciona, passo a passo</t>
  </si>
  <si>
    <t xml:space="preserve">1. O profissional de RH se cadastra: formação, experiência, áreas que atende, cidade ou online, preço por entrevista. Paga a taxa.</t>
  </si>
  <si>
    <t xml:space="preserve">2. O Vem Trabalhar confere o cadastro (documento e formação) antes de aparecer para as empresas.</t>
  </si>
  <si>
    <t xml:space="preserve">3. A empresa abre a vaga e escolhe um RH da lista (preço, nota das empresas, áreas).</t>
  </si>
  <si>
    <t xml:space="preserve">4. O sistema agenda a entrevista online dentro da plataforma, com aviso ao candidato.</t>
  </si>
  <si>
    <t xml:space="preserve">5. O RH recebe o currículo, o match das 20 + 20 perguntas e o roteiro da entrevista pronto para a vaga.</t>
  </si>
  <si>
    <t xml:space="preserve">6. Entrevista por vídeo ou áudio na plataforma. Gravação só se o candidato aceitar.</t>
  </si>
  <si>
    <t xml:space="preserve">7. O RH escreve o relatório final (modelo abaixo). A decisão de contratar é da empresa.</t>
  </si>
  <si>
    <t xml:space="preserve">8. A empresa paga pelo Pix na plataforma; o Vem Trabalhar fica com 30% e repassa 70% ao RH (repasse automático depende do meio de pagamento escolhido).</t>
  </si>
  <si>
    <t xml:space="preserve">9. O candidato recebe um retorno curto, com os cursos que ajudam, mesmo se não for chamado.</t>
  </si>
  <si>
    <t xml:space="preserve">10. A empresa dá nota ao RH. Nota baixa repetida tira o RH da lista.</t>
  </si>
  <si>
    <t xml:space="preserve">Roteiro da entrevista: 20 perguntas (o sistema ajusta à vaga; o RH pode acrescentar)</t>
  </si>
  <si>
    <t xml:space="preserve">Pergunta</t>
  </si>
  <si>
    <t xml:space="preserve">O que observa</t>
  </si>
  <si>
    <t xml:space="preserve">Conte uma situação em que um cliente ficou bravo. O que você fez?</t>
  </si>
  <si>
    <t xml:space="preserve">Comportamento</t>
  </si>
  <si>
    <t xml:space="preserve">Calma e solução</t>
  </si>
  <si>
    <t xml:space="preserve">Fale de um dia de muito movimento no trabalho. Como você se organizou?</t>
  </si>
  <si>
    <t xml:space="preserve">Organização sob pressão</t>
  </si>
  <si>
    <t xml:space="preserve">Conte uma vez em que você errou. O que aprendeu?</t>
  </si>
  <si>
    <t xml:space="preserve">Responsabilidade e aprendizado</t>
  </si>
  <si>
    <t xml:space="preserve">Como você lida com uma ordem que não entendeu?</t>
  </si>
  <si>
    <t xml:space="preserve">Conte uma vez em que ajudou um colega.</t>
  </si>
  <si>
    <t xml:space="preserve">O que você fazia no dia a dia no último trabalho (ou bico)?</t>
  </si>
  <si>
    <t xml:space="preserve">Competências da vaga</t>
  </si>
  <si>
    <t xml:space="preserve">Experiência real</t>
  </si>
  <si>
    <t xml:space="preserve">Mostre como faria a tarefa principal da vaga (simulação curta).</t>
  </si>
  <si>
    <t xml:space="preserve">Jeito de fazer</t>
  </si>
  <si>
    <t xml:space="preserve">Que máquinas, programas ou ferramentas você já usou?</t>
  </si>
  <si>
    <t xml:space="preserve">O que você faria se faltasse um material para terminar o serviço?</t>
  </si>
  <si>
    <t xml:space="preserve">O que é mais importante nesta função, para você?</t>
  </si>
  <si>
    <t xml:space="preserve">Entendimento da vaga</t>
  </si>
  <si>
    <t xml:space="preserve">Como você explica uma coisa difícil para alguém?</t>
  </si>
  <si>
    <t xml:space="preserve">Soft skills</t>
  </si>
  <si>
    <t xml:space="preserve">O que você faz quando discorda do chefe?</t>
  </si>
  <si>
    <t xml:space="preserve">Respeito e diálogo</t>
  </si>
  <si>
    <t xml:space="preserve">Como você organiza o seu horário para chegar no horário?</t>
  </si>
  <si>
    <t xml:space="preserve">Pontualidade</t>
  </si>
  <si>
    <t xml:space="preserve">O que você aprendeu sozinho nos últimos tempos?</t>
  </si>
  <si>
    <t xml:space="preserve">Vontade de aprender</t>
  </si>
  <si>
    <t xml:space="preserve">Conte uma meta que você bateu, em casa ou no trabalho.</t>
  </si>
  <si>
    <t xml:space="preserve">Foco em resultado</t>
  </si>
  <si>
    <t xml:space="preserve">Faça esta conta da rotina da vaga (ex.: troco, medida, quantidade).</t>
  </si>
  <si>
    <t xml:space="preserve">Hard skills</t>
  </si>
  <si>
    <t xml:space="preserve">Leia este pedido ou recado e diga o que precisa ser feito.</t>
  </si>
  <si>
    <t xml:space="preserve">Leitura e interpretação</t>
  </si>
  <si>
    <t xml:space="preserve">Mostre no celular como você mandaria uma mensagem profissional ao cliente.</t>
  </si>
  <si>
    <t xml:space="preserve">Comunicação digital</t>
  </si>
  <si>
    <t xml:space="preserve">Qual regra de segurança desta função você conhece?</t>
  </si>
  <si>
    <t xml:space="preserve">Segurança</t>
  </si>
  <si>
    <t xml:space="preserve">Que curso você faria para crescer nesta função?</t>
  </si>
  <si>
    <t xml:space="preserve">Plano de desenvolvimento</t>
  </si>
  <si>
    <t xml:space="preserve">Relatório final do RH (modelo)</t>
  </si>
  <si>
    <t xml:space="preserve">Resumo em 3 linhas: quem é a pessoa para esta vaga.</t>
  </si>
  <si>
    <t xml:space="preserve">Pontos fortes, com o exemplo que a pessoa contou.</t>
  </si>
  <si>
    <t xml:space="preserve">Pontos a desenvolver e os cursos que ajudam (do catálogo).</t>
  </si>
  <si>
    <t xml:space="preserve">Recomendação: indicado, indicado com ressalvas ou não indicado agora. A empresa decide.</t>
  </si>
  <si>
    <t xml:space="preserve">O que foi visto: currículo, match, entrevista; teste de perfil só se o candidato autorizou.</t>
  </si>
  <si>
    <t xml:space="preserve">Cuidados (para o advogado conferir)</t>
  </si>
  <si>
    <t xml:space="preserve">Nada de pergunta sobre idade, estado civil, filhos, gravidez, religião, cor, saúde ou política (Lei 9.029/1995 e LGPD).</t>
  </si>
  <si>
    <t xml:space="preserve">Teste psicológico, na lei, é só de psicólogo. Se o RH não for psicólogo, o teste de perfil do app é autoconhecimento, não avaliação psicológica. Confirmar com advogado.</t>
  </si>
  <si>
    <t xml:space="preserve">'Análise social' do candidato (redes sociais) só com autorização dele e só do que for profissional. Sem raspar perfis.</t>
  </si>
  <si>
    <t xml:space="preserve">Contrato com o RH: sigilo dos dados, prazo de entrega do relatório, cancelamento e devolução.</t>
  </si>
  <si>
    <t xml:space="preserve">Repasse de 70% ao RH depende de um meio de pagamento com divisão automática (a escolher).</t>
  </si>
  <si>
    <t xml:space="preserve">Só o que ainda é usado: os dois testes. Catálogos de cursos de terceiros e dados regionais ficaram de fora, por decisão do GD em 06/10/2026.</t>
  </si>
  <si>
    <t xml:space="preserve">Fonte</t>
  </si>
  <si>
    <t xml:space="preserve">Endereço</t>
  </si>
  <si>
    <t xml:space="preserve">O que usei</t>
  </si>
  <si>
    <t xml:space="preserve">Como obtive</t>
  </si>
  <si>
    <t xml:space="preserve">IPIP (Big Five), licença</t>
  </si>
  <si>
    <t xml:space="preserve">https://ipip.ori.org/</t>
  </si>
  <si>
    <t xml:space="preserve">Itens e escalas em domínio público: uso e tradução livres, inclusive comercial</t>
  </si>
  <si>
    <t xml:space="preserve">Página aberta em 06/10/2026</t>
  </si>
  <si>
    <t xml:space="preserve">IPIP: marcadores Big Five</t>
  </si>
  <si>
    <t xml:space="preserve">https://ipip.ori.org/newBigFive5broadKey.htm</t>
  </si>
  <si>
    <t xml:space="preserve">Lista de itens por fator (as 25 frases da aba Perfil saem daqui)</t>
  </si>
  <si>
    <t xml:space="preserve">O*NET Interest Profiler (RIASEC)</t>
  </si>
  <si>
    <t xml:space="preserve">https://www.onetcenter.org/IP.html</t>
  </si>
  <si>
    <t xml:space="preserve">Licença Creative Commons 4.0 (crédito ao Departamento do Trabalho dos EUA). Usei só o modelo; as frases são nossas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</si>
</sst>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%"/>
    <numFmt numFmtId="166" formatCode="#,##0"/>
    <numFmt numFmtId="167" formatCode="General"/>
    <numFmt numFmtId="168" formatCode="0.0"/>
    <numFmt numFmtId="169" formatCode="0.00"/>
    <numFmt numFmtId="170" formatCode="0.000"/>
    <numFmt numFmtId="171" formatCode="\+0.0;\-0.0;0.0"/>
    <numFmt numFmtId="172" formatCode="&quot;R$ &quot;#,##0"/>
    <numFmt numFmtId="173" formatCode="&quot;R$ &quot;#,##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2937"/>
      <name val="Arial"/>
      <family val="0"/>
      <charset val="1"/>
    </font>
    <font>
      <i val="true"/>
      <sz val="10"/>
      <color rgb="FF4B5563"/>
      <name val="Arial"/>
      <family val="0"/>
      <charset val="1"/>
    </font>
    <font>
      <b val="true"/>
      <sz val="11"/>
      <color rgb="FF1F2937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111827"/>
      <name val="Arial"/>
      <family val="0"/>
      <charset val="1"/>
    </font>
  </fonts>
  <fills count="31">
    <fill>
      <patternFill patternType="none"/>
    </fill>
    <fill>
      <patternFill patternType="gray125"/>
    </fill>
    <fill>
      <patternFill patternType="solid">
        <fgColor rgb="FFE5E7EB"/>
        <bgColor rgb="FFE8EEFF"/>
      </patternFill>
    </fill>
    <fill>
      <patternFill patternType="solid">
        <fgColor rgb="FF1F2937"/>
        <bgColor rgb="FF111827"/>
      </patternFill>
    </fill>
    <fill>
      <patternFill patternType="solid">
        <fgColor rgb="FFFFFF99"/>
        <bgColor rgb="FFFFF6D6"/>
      </patternFill>
    </fill>
    <fill>
      <patternFill patternType="solid">
        <fgColor rgb="FFB42318"/>
        <bgColor rgb="FFDC2626"/>
      </patternFill>
    </fill>
    <fill>
      <patternFill patternType="solid">
        <fgColor rgb="FF7F1D14"/>
        <bgColor rgb="FF8A2E08"/>
      </patternFill>
    </fill>
    <fill>
      <patternFill patternType="solid">
        <fgColor rgb="FFFDECEA"/>
        <bgColor rgb="FFF7EDE3"/>
      </patternFill>
    </fill>
    <fill>
      <patternFill patternType="solid">
        <fgColor rgb="FFFFC83A"/>
        <bgColor rgb="FFFF9900"/>
      </patternFill>
    </fill>
    <fill>
      <patternFill patternType="solid">
        <fgColor rgb="FFC2410C"/>
        <bgColor rgb="FFB45309"/>
      </patternFill>
    </fill>
    <fill>
      <patternFill patternType="solid">
        <fgColor rgb="FF8A2E08"/>
        <bgColor rgb="FF7F1D14"/>
      </patternFill>
    </fill>
    <fill>
      <patternFill patternType="solid">
        <fgColor rgb="FFFFF1E6"/>
        <bgColor rgb="FFFDECEA"/>
      </patternFill>
    </fill>
    <fill>
      <patternFill patternType="solid">
        <fgColor rgb="FF5C4200"/>
        <bgColor rgb="FF4A2A12"/>
      </patternFill>
    </fill>
    <fill>
      <patternFill patternType="solid">
        <fgColor rgb="FFFFF6D6"/>
        <bgColor rgb="FFFFF1E6"/>
      </patternFill>
    </fill>
    <fill>
      <patternFill patternType="solid">
        <fgColor rgb="FF1E6B3C"/>
        <bgColor rgb="FF008080"/>
      </patternFill>
    </fill>
    <fill>
      <patternFill patternType="solid">
        <fgColor rgb="FF123B2B"/>
        <bgColor rgb="FF1F2937"/>
      </patternFill>
    </fill>
    <fill>
      <patternFill patternType="solid">
        <fgColor rgb="FFE6F4EA"/>
        <bgColor rgb="FFEEF0F3"/>
      </patternFill>
    </fill>
    <fill>
      <patternFill patternType="solid">
        <fgColor rgb="FF1D4ED8"/>
        <bgColor rgb="FF0563C1"/>
      </patternFill>
    </fill>
    <fill>
      <patternFill patternType="solid">
        <fgColor rgb="FF1E3A8A"/>
        <bgColor rgb="FF1D4ED8"/>
      </patternFill>
    </fill>
    <fill>
      <patternFill patternType="solid">
        <fgColor rgb="FFE8EEFF"/>
        <bgColor rgb="FFEEF0F3"/>
      </patternFill>
    </fill>
    <fill>
      <patternFill patternType="solid">
        <fgColor rgb="FF6D28D9"/>
        <bgColor rgb="FF7C3AED"/>
      </patternFill>
    </fill>
    <fill>
      <patternFill patternType="solid">
        <fgColor rgb="FF4C1D95"/>
        <bgColor rgb="FF6D28D9"/>
      </patternFill>
    </fill>
    <fill>
      <patternFill patternType="solid">
        <fgColor rgb="FFF1E9FE"/>
        <bgColor rgb="FFE8EEFF"/>
      </patternFill>
    </fill>
    <fill>
      <patternFill patternType="solid">
        <fgColor rgb="FF7C4A24"/>
        <bgColor rgb="FF5C4200"/>
      </patternFill>
    </fill>
    <fill>
      <patternFill patternType="solid">
        <fgColor rgb="FF4A2A12"/>
        <bgColor rgb="FF5C4200"/>
      </patternFill>
    </fill>
    <fill>
      <patternFill patternType="solid">
        <fgColor rgb="FFF7EDE3"/>
        <bgColor rgb="FFFDECEA"/>
      </patternFill>
    </fill>
    <fill>
      <patternFill patternType="solid">
        <fgColor rgb="FFBE185D"/>
        <bgColor rgb="FFB42318"/>
      </patternFill>
    </fill>
    <fill>
      <patternFill patternType="solid">
        <fgColor rgb="FF831843"/>
        <bgColor rgb="FF7F1D14"/>
      </patternFill>
    </fill>
    <fill>
      <patternFill patternType="solid">
        <fgColor rgb="FFFDE7F0"/>
        <bgColor rgb="FFFDECEA"/>
      </patternFill>
    </fill>
    <fill>
      <patternFill patternType="solid">
        <fgColor rgb="FF111827"/>
        <bgColor rgb="FF1F2937"/>
      </patternFill>
    </fill>
    <fill>
      <patternFill patternType="solid">
        <fgColor rgb="FFEEF0F3"/>
        <bgColor rgb="FFE8EE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1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11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1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1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11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1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1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1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1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1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1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1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1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2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21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2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2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2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2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2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2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2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2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3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2" fontId="11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3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2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293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99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BBF7D0"/>
          <bgColor rgb="FF000000"/>
        </patternFill>
      </fill>
    </dxf>
    <dxf>
      <fill>
        <patternFill>
          <bgColor rgb="FFBBF7D0"/>
        </patternFill>
      </fill>
    </dxf>
    <dxf>
      <fill>
        <patternFill>
          <bgColor rgb="FFE5E7EB"/>
        </patternFill>
      </fill>
    </dxf>
  </dxfs>
  <colors>
    <indexedColors>
      <rgbColor rgb="FF000000"/>
      <rgbColor rgb="FFFFFFFF"/>
      <rgbColor rgb="FFDC2626"/>
      <rgbColor rgb="FF00FF00"/>
      <rgbColor rgb="FF0000FF"/>
      <rgbColor rgb="FFFFF1E6"/>
      <rgbColor rgb="FFFF00FF"/>
      <rgbColor rgb="FF00FFFF"/>
      <rgbColor rgb="FF7F1D14"/>
      <rgbColor rgb="FF1E6B3C"/>
      <rgbColor rgb="FF000080"/>
      <rgbColor rgb="FF7C4A24"/>
      <rgbColor rgb="FF6D28D9"/>
      <rgbColor rgb="FF008080"/>
      <rgbColor rgb="FFE5E7EB"/>
      <rgbColor rgb="FF4B5563"/>
      <rgbColor rgb="FFEEF0F3"/>
      <rgbColor rgb="FF831843"/>
      <rgbColor rgb="FFFFF6D6"/>
      <rgbColor rgb="FFE6F4EA"/>
      <rgbColor rgb="FF4C1D95"/>
      <rgbColor rgb="FFC2410C"/>
      <rgbColor rgb="FF0563C1"/>
      <rgbColor rgb="FFD1D5DB"/>
      <rgbColor rgb="FF000080"/>
      <rgbColor rgb="FFFF00FF"/>
      <rgbColor rgb="FFFFFF00"/>
      <rgbColor rgb="FF00FFFF"/>
      <rgbColor rgb="FF7C3AED"/>
      <rgbColor rgb="FFB42318"/>
      <rgbColor rgb="FF008080"/>
      <rgbColor rgb="FF0000FF"/>
      <rgbColor rgb="FF0EA5E9"/>
      <rgbColor rgb="FFE8EEFF"/>
      <rgbColor rgb="FFBBF7D0"/>
      <rgbColor rgb="FFFFFF99"/>
      <rgbColor rgb="FFF1E9FE"/>
      <rgbColor rgb="FFFDECEA"/>
      <rgbColor rgb="FFF7EDE3"/>
      <rgbColor rgb="FFFDE7F0"/>
      <rgbColor rgb="FF1D4ED8"/>
      <rgbColor rgb="FF33CCCC"/>
      <rgbColor rgb="FF99CC00"/>
      <rgbColor rgb="FFFFC83A"/>
      <rgbColor rgb="FFFF9900"/>
      <rgbColor rgb="FFB45309"/>
      <rgbColor rgb="FF6B7280"/>
      <rgbColor rgb="FF969696"/>
      <rgbColor rgb="FF111827"/>
      <rgbColor rgb="FF5C4200"/>
      <rgbColor rgb="FF123B2B"/>
      <rgbColor rgb="FF4A2A12"/>
      <rgbColor rgb="FF8A2E08"/>
      <rgbColor rgb="FFBE185D"/>
      <rgbColor rgb="FF1E3A8A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claude.ai/artifact/9vv1uEo4tT7wNN9LVhwPCN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hyperlink" Target="https://ipip.ori.org/" TargetMode="External"/><Relationship Id="rId2" Type="http://schemas.openxmlformats.org/officeDocument/2006/relationships/hyperlink" Target="https://ipip.ori.org/newBigFive5broadKey.htm" TargetMode="External"/><Relationship Id="rId3" Type="http://schemas.openxmlformats.org/officeDocument/2006/relationships/hyperlink" Target="https://www.onetcenter.org/IP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937"/>
    <pageSetUpPr fitToPage="true"/>
  </sheetPr>
  <dimension ref="A1:D8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62"/>
    <col collapsed="false" customWidth="true" hidden="false" outlineLevel="0" max="3" min="3" style="0" width="40"/>
    <col collapsed="false" customWidth="true" hidden="false" outlineLevel="0" max="4" min="4" style="0" width="2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  <c r="C4" s="4"/>
      <c r="D4" s="4"/>
    </row>
    <row r="5" customFormat="false" ht="30" hidden="false" customHeight="true" outlineLevel="0" collapsed="false">
      <c r="A5" s="5" t="s">
        <v>3</v>
      </c>
      <c r="B5" s="5"/>
      <c r="C5" s="5"/>
      <c r="D5" s="5"/>
    </row>
    <row r="7" customFormat="false" ht="15" hidden="false" customHeight="false" outlineLevel="0" collapsed="false">
      <c r="A7" s="3" t="s">
        <v>4</v>
      </c>
      <c r="B7" s="4"/>
      <c r="C7" s="4"/>
      <c r="D7" s="4"/>
    </row>
    <row r="8" customFormat="false" ht="27.75" hidden="false" customHeight="true" outlineLevel="0" collapsed="false">
      <c r="A8" s="5" t="s">
        <v>5</v>
      </c>
      <c r="B8" s="5"/>
      <c r="C8" s="5"/>
      <c r="D8" s="5"/>
    </row>
    <row r="9" customFormat="false" ht="27.75" hidden="false" customHeight="true" outlineLevel="0" collapsed="false">
      <c r="A9" s="5" t="s">
        <v>6</v>
      </c>
      <c r="B9" s="5"/>
      <c r="C9" s="5"/>
      <c r="D9" s="5"/>
    </row>
    <row r="10" customFormat="false" ht="27.75" hidden="false" customHeight="true" outlineLevel="0" collapsed="false">
      <c r="A10" s="5" t="s">
        <v>7</v>
      </c>
      <c r="B10" s="5"/>
      <c r="C10" s="5"/>
      <c r="D10" s="5"/>
    </row>
    <row r="12" customFormat="false" ht="15" hidden="false" customHeight="false" outlineLevel="0" collapsed="false">
      <c r="A12" s="3" t="s">
        <v>8</v>
      </c>
      <c r="B12" s="4"/>
      <c r="C12" s="4"/>
      <c r="D12" s="4"/>
    </row>
    <row r="13" customFormat="false" ht="27.75" hidden="false" customHeight="true" outlineLevel="0" collapsed="false">
      <c r="A13" s="6" t="s">
        <v>9</v>
      </c>
      <c r="B13" s="7" t="s">
        <v>10</v>
      </c>
      <c r="C13" s="7"/>
      <c r="D13" s="7"/>
    </row>
    <row r="14" customFormat="false" ht="27.75" hidden="false" customHeight="true" outlineLevel="0" collapsed="false">
      <c r="A14" s="6" t="s">
        <v>11</v>
      </c>
      <c r="B14" s="7" t="s">
        <v>12</v>
      </c>
      <c r="C14" s="7"/>
      <c r="D14" s="7"/>
    </row>
    <row r="15" customFormat="false" ht="27.75" hidden="false" customHeight="true" outlineLevel="0" collapsed="false">
      <c r="A15" s="6" t="s">
        <v>13</v>
      </c>
      <c r="B15" s="7" t="s">
        <v>14</v>
      </c>
      <c r="C15" s="7"/>
      <c r="D15" s="7"/>
    </row>
    <row r="16" customFormat="false" ht="27.75" hidden="false" customHeight="true" outlineLevel="0" collapsed="false">
      <c r="A16" s="6" t="s">
        <v>15</v>
      </c>
      <c r="B16" s="7" t="s">
        <v>16</v>
      </c>
      <c r="C16" s="7"/>
      <c r="D16" s="7"/>
    </row>
    <row r="17" customFormat="false" ht="27.75" hidden="false" customHeight="true" outlineLevel="0" collapsed="false">
      <c r="A17" s="6" t="s">
        <v>17</v>
      </c>
      <c r="B17" s="7" t="s">
        <v>18</v>
      </c>
      <c r="C17" s="7"/>
      <c r="D17" s="7"/>
    </row>
    <row r="18" customFormat="false" ht="27.75" hidden="false" customHeight="true" outlineLevel="0" collapsed="false">
      <c r="A18" s="6" t="s">
        <v>19</v>
      </c>
      <c r="B18" s="7" t="s">
        <v>20</v>
      </c>
      <c r="C18" s="7"/>
      <c r="D18" s="7"/>
    </row>
    <row r="19" customFormat="false" ht="27.75" hidden="false" customHeight="true" outlineLevel="0" collapsed="false">
      <c r="A19" s="6" t="s">
        <v>21</v>
      </c>
      <c r="B19" s="7" t="s">
        <v>22</v>
      </c>
      <c r="C19" s="7"/>
      <c r="D19" s="7"/>
    </row>
    <row r="20" customFormat="false" ht="27.75" hidden="false" customHeight="true" outlineLevel="0" collapsed="false">
      <c r="A20" s="6" t="s">
        <v>23</v>
      </c>
      <c r="B20" s="7" t="s">
        <v>24</v>
      </c>
      <c r="C20" s="7"/>
      <c r="D20" s="7"/>
    </row>
    <row r="21" customFormat="false" ht="27.75" hidden="false" customHeight="true" outlineLevel="0" collapsed="false">
      <c r="A21" s="6" t="s">
        <v>25</v>
      </c>
      <c r="B21" s="7" t="s">
        <v>26</v>
      </c>
      <c r="C21" s="7"/>
      <c r="D21" s="7"/>
    </row>
    <row r="22" customFormat="false" ht="27.75" hidden="false" customHeight="true" outlineLevel="0" collapsed="false">
      <c r="A22" s="6" t="s">
        <v>27</v>
      </c>
      <c r="B22" s="7" t="s">
        <v>28</v>
      </c>
      <c r="C22" s="7"/>
      <c r="D22" s="7"/>
    </row>
    <row r="23" customFormat="false" ht="27.75" hidden="false" customHeight="true" outlineLevel="0" collapsed="false">
      <c r="A23" s="6" t="s">
        <v>29</v>
      </c>
      <c r="B23" s="7" t="s">
        <v>30</v>
      </c>
      <c r="C23" s="7"/>
      <c r="D23" s="7"/>
    </row>
    <row r="24" customFormat="false" ht="27.75" hidden="false" customHeight="true" outlineLevel="0" collapsed="false">
      <c r="A24" s="6" t="s">
        <v>31</v>
      </c>
      <c r="B24" s="7" t="s">
        <v>32</v>
      </c>
      <c r="C24" s="7"/>
      <c r="D24" s="7"/>
    </row>
    <row r="25" customFormat="false" ht="27.75" hidden="false" customHeight="true" outlineLevel="0" collapsed="false">
      <c r="A25" s="6" t="s">
        <v>33</v>
      </c>
      <c r="B25" s="7" t="s">
        <v>34</v>
      </c>
      <c r="C25" s="7"/>
      <c r="D25" s="7"/>
    </row>
    <row r="26" customFormat="false" ht="27.75" hidden="false" customHeight="true" outlineLevel="0" collapsed="false">
      <c r="A26" s="6" t="s">
        <v>35</v>
      </c>
      <c r="B26" s="7" t="s">
        <v>36</v>
      </c>
      <c r="C26" s="7"/>
      <c r="D26" s="7"/>
    </row>
    <row r="27" customFormat="false" ht="27.75" hidden="false" customHeight="true" outlineLevel="0" collapsed="false">
      <c r="A27" s="6" t="s">
        <v>37</v>
      </c>
      <c r="B27" s="7" t="s">
        <v>38</v>
      </c>
      <c r="C27" s="7"/>
      <c r="D27" s="7"/>
    </row>
    <row r="28" customFormat="false" ht="27.75" hidden="false" customHeight="true" outlineLevel="0" collapsed="false">
      <c r="A28" s="6" t="s">
        <v>39</v>
      </c>
      <c r="B28" s="7" t="s">
        <v>40</v>
      </c>
      <c r="C28" s="7"/>
      <c r="D28" s="7"/>
    </row>
    <row r="29" customFormat="false" ht="27.75" hidden="false" customHeight="true" outlineLevel="0" collapsed="false">
      <c r="A29" s="6" t="s">
        <v>41</v>
      </c>
      <c r="B29" s="7" t="s">
        <v>42</v>
      </c>
      <c r="C29" s="7"/>
      <c r="D29" s="7"/>
    </row>
    <row r="30" customFormat="false" ht="27.75" hidden="false" customHeight="true" outlineLevel="0" collapsed="false">
      <c r="A30" s="6" t="s">
        <v>43</v>
      </c>
      <c r="B30" s="7" t="s">
        <v>44</v>
      </c>
      <c r="C30" s="7"/>
      <c r="D30" s="7"/>
    </row>
    <row r="31" customFormat="false" ht="27.75" hidden="false" customHeight="true" outlineLevel="0" collapsed="false">
      <c r="A31" s="6" t="s">
        <v>45</v>
      </c>
      <c r="B31" s="7" t="s">
        <v>46</v>
      </c>
      <c r="C31" s="7"/>
      <c r="D31" s="7"/>
    </row>
    <row r="32" customFormat="false" ht="27.75" hidden="false" customHeight="true" outlineLevel="0" collapsed="false">
      <c r="A32" s="6" t="s">
        <v>47</v>
      </c>
      <c r="B32" s="7" t="s">
        <v>48</v>
      </c>
      <c r="C32" s="7"/>
      <c r="D32" s="7"/>
    </row>
    <row r="33" customFormat="false" ht="27.75" hidden="false" customHeight="true" outlineLevel="0" collapsed="false">
      <c r="A33" s="6" t="s">
        <v>49</v>
      </c>
      <c r="B33" s="7" t="s">
        <v>50</v>
      </c>
      <c r="C33" s="7"/>
      <c r="D33" s="7"/>
    </row>
    <row r="34" customFormat="false" ht="27.75" hidden="false" customHeight="true" outlineLevel="0" collapsed="false">
      <c r="A34" s="6" t="s">
        <v>51</v>
      </c>
      <c r="B34" s="7" t="s">
        <v>52</v>
      </c>
      <c r="C34" s="7"/>
      <c r="D34" s="7"/>
    </row>
    <row r="35" customFormat="false" ht="27.75" hidden="false" customHeight="true" outlineLevel="0" collapsed="false">
      <c r="A35" s="6" t="s">
        <v>53</v>
      </c>
      <c r="B35" s="7" t="s">
        <v>54</v>
      </c>
      <c r="C35" s="7"/>
      <c r="D35" s="7"/>
    </row>
    <row r="36" customFormat="false" ht="27.75" hidden="false" customHeight="true" outlineLevel="0" collapsed="false">
      <c r="A36" s="6" t="s">
        <v>55</v>
      </c>
      <c r="B36" s="7" t="s">
        <v>56</v>
      </c>
      <c r="C36" s="7"/>
      <c r="D36" s="7"/>
    </row>
    <row r="37" customFormat="false" ht="27.75" hidden="false" customHeight="true" outlineLevel="0" collapsed="false">
      <c r="A37" s="6" t="s">
        <v>57</v>
      </c>
      <c r="B37" s="7" t="s">
        <v>58</v>
      </c>
      <c r="C37" s="7"/>
      <c r="D37" s="7"/>
    </row>
    <row r="38" customFormat="false" ht="27.75" hidden="false" customHeight="true" outlineLevel="0" collapsed="false">
      <c r="A38" s="6" t="s">
        <v>59</v>
      </c>
      <c r="B38" s="7" t="s">
        <v>60</v>
      </c>
      <c r="C38" s="7"/>
      <c r="D38" s="7"/>
    </row>
    <row r="39" customFormat="false" ht="27.75" hidden="false" customHeight="true" outlineLevel="0" collapsed="false">
      <c r="A39" s="6" t="s">
        <v>61</v>
      </c>
      <c r="B39" s="7" t="s">
        <v>62</v>
      </c>
      <c r="C39" s="7"/>
      <c r="D39" s="7"/>
    </row>
    <row r="40" customFormat="false" ht="27.75" hidden="false" customHeight="true" outlineLevel="0" collapsed="false">
      <c r="A40" s="6" t="s">
        <v>63</v>
      </c>
      <c r="B40" s="7" t="s">
        <v>64</v>
      </c>
      <c r="C40" s="7"/>
      <c r="D40" s="7"/>
    </row>
    <row r="42" customFormat="false" ht="15" hidden="false" customHeight="false" outlineLevel="0" collapsed="false">
      <c r="A42" s="3" t="s">
        <v>65</v>
      </c>
      <c r="B42" s="4"/>
      <c r="C42" s="4"/>
      <c r="D42" s="4"/>
    </row>
    <row r="43" customFormat="false" ht="31.5" hidden="false" customHeight="true" outlineLevel="0" collapsed="false">
      <c r="A43" s="8" t="s">
        <v>66</v>
      </c>
      <c r="B43" s="8" t="s">
        <v>67</v>
      </c>
      <c r="C43" s="8" t="s">
        <v>68</v>
      </c>
    </row>
    <row r="44" customFormat="false" ht="30" hidden="false" customHeight="true" outlineLevel="0" collapsed="false">
      <c r="A44" s="7" t="s">
        <v>69</v>
      </c>
      <c r="B44" s="7" t="s">
        <v>70</v>
      </c>
      <c r="C44" s="7" t="s">
        <v>71</v>
      </c>
    </row>
    <row r="45" customFormat="false" ht="30" hidden="false" customHeight="true" outlineLevel="0" collapsed="false">
      <c r="A45" s="7" t="s">
        <v>72</v>
      </c>
      <c r="B45" s="7" t="s">
        <v>73</v>
      </c>
      <c r="C45" s="7" t="s">
        <v>74</v>
      </c>
    </row>
    <row r="46" customFormat="false" ht="30" hidden="false" customHeight="true" outlineLevel="0" collapsed="false">
      <c r="A46" s="7" t="s">
        <v>75</v>
      </c>
      <c r="B46" s="7" t="s">
        <v>76</v>
      </c>
      <c r="C46" s="7" t="s">
        <v>77</v>
      </c>
    </row>
    <row r="47" customFormat="false" ht="30" hidden="false" customHeight="true" outlineLevel="0" collapsed="false">
      <c r="A47" s="7" t="s">
        <v>78</v>
      </c>
      <c r="B47" s="7" t="s">
        <v>79</v>
      </c>
      <c r="C47" s="7" t="s">
        <v>80</v>
      </c>
    </row>
    <row r="48" customFormat="false" ht="30" hidden="false" customHeight="true" outlineLevel="0" collapsed="false">
      <c r="A48" s="7" t="s">
        <v>81</v>
      </c>
      <c r="B48" s="7" t="s">
        <v>82</v>
      </c>
      <c r="C48" s="7" t="s">
        <v>83</v>
      </c>
    </row>
    <row r="49" customFormat="false" ht="30" hidden="false" customHeight="true" outlineLevel="0" collapsed="false">
      <c r="A49" s="9" t="s">
        <v>84</v>
      </c>
      <c r="B49" s="9"/>
      <c r="C49" s="9"/>
      <c r="D49" s="9"/>
    </row>
    <row r="51" customFormat="false" ht="15" hidden="false" customHeight="false" outlineLevel="0" collapsed="false">
      <c r="A51" s="3" t="s">
        <v>85</v>
      </c>
      <c r="B51" s="4"/>
      <c r="C51" s="4"/>
      <c r="D51" s="4"/>
    </row>
    <row r="52" customFormat="false" ht="27.75" hidden="false" customHeight="true" outlineLevel="0" collapsed="false">
      <c r="A52" s="5" t="s">
        <v>86</v>
      </c>
      <c r="B52" s="5"/>
      <c r="C52" s="5"/>
      <c r="D52" s="5"/>
    </row>
    <row r="53" customFormat="false" ht="27.75" hidden="false" customHeight="true" outlineLevel="0" collapsed="false">
      <c r="A53" s="5" t="s">
        <v>87</v>
      </c>
      <c r="B53" s="5"/>
      <c r="C53" s="5"/>
      <c r="D53" s="5"/>
    </row>
    <row r="54" customFormat="false" ht="27.75" hidden="false" customHeight="true" outlineLevel="0" collapsed="false">
      <c r="A54" s="5" t="s">
        <v>88</v>
      </c>
      <c r="B54" s="5"/>
      <c r="C54" s="5"/>
      <c r="D54" s="5"/>
    </row>
    <row r="55" customFormat="false" ht="27.75" hidden="false" customHeight="true" outlineLevel="0" collapsed="false">
      <c r="A55" s="5" t="s">
        <v>89</v>
      </c>
      <c r="B55" s="5"/>
      <c r="C55" s="5"/>
      <c r="D55" s="5"/>
    </row>
    <row r="56" customFormat="false" ht="27.75" hidden="false" customHeight="true" outlineLevel="0" collapsed="false">
      <c r="A56" s="5" t="s">
        <v>90</v>
      </c>
      <c r="B56" s="5"/>
      <c r="C56" s="5"/>
      <c r="D56" s="5"/>
    </row>
    <row r="57" customFormat="false" ht="27.75" hidden="false" customHeight="true" outlineLevel="0" collapsed="false">
      <c r="A57" s="5" t="s">
        <v>91</v>
      </c>
      <c r="B57" s="5"/>
      <c r="C57" s="5"/>
      <c r="D57" s="5"/>
    </row>
    <row r="58" customFormat="false" ht="27.75" hidden="false" customHeight="true" outlineLevel="0" collapsed="false">
      <c r="A58" s="5" t="s">
        <v>92</v>
      </c>
      <c r="B58" s="5"/>
      <c r="C58" s="5"/>
      <c r="D58" s="5"/>
    </row>
    <row r="59" customFormat="false" ht="27.75" hidden="false" customHeight="true" outlineLevel="0" collapsed="false">
      <c r="A59" s="5" t="s">
        <v>93</v>
      </c>
      <c r="B59" s="5"/>
      <c r="C59" s="5"/>
      <c r="D59" s="5"/>
    </row>
    <row r="60" customFormat="false" ht="27.75" hidden="false" customHeight="true" outlineLevel="0" collapsed="false">
      <c r="A60" s="5" t="s">
        <v>94</v>
      </c>
      <c r="B60" s="5"/>
      <c r="C60" s="5"/>
      <c r="D60" s="5"/>
    </row>
    <row r="61" customFormat="false" ht="27.75" hidden="false" customHeight="true" outlineLevel="0" collapsed="false">
      <c r="A61" s="5" t="s">
        <v>95</v>
      </c>
      <c r="B61" s="5"/>
      <c r="C61" s="5"/>
      <c r="D61" s="5"/>
    </row>
    <row r="63" customFormat="false" ht="15" hidden="false" customHeight="false" outlineLevel="0" collapsed="false">
      <c r="A63" s="3" t="s">
        <v>96</v>
      </c>
      <c r="B63" s="4"/>
      <c r="C63" s="4"/>
      <c r="D63" s="4"/>
    </row>
    <row r="64" customFormat="false" ht="27.75" hidden="false" customHeight="true" outlineLevel="0" collapsed="false">
      <c r="A64" s="5" t="s">
        <v>97</v>
      </c>
      <c r="B64" s="5"/>
      <c r="C64" s="5"/>
      <c r="D64" s="5"/>
    </row>
    <row r="65" customFormat="false" ht="27.75" hidden="false" customHeight="true" outlineLevel="0" collapsed="false">
      <c r="A65" s="5" t="s">
        <v>98</v>
      </c>
      <c r="B65" s="5"/>
      <c r="C65" s="5"/>
      <c r="D65" s="5"/>
    </row>
    <row r="66" customFormat="false" ht="27.75" hidden="false" customHeight="true" outlineLevel="0" collapsed="false">
      <c r="A66" s="5" t="s">
        <v>99</v>
      </c>
      <c r="B66" s="5"/>
      <c r="C66" s="5"/>
      <c r="D66" s="5"/>
    </row>
    <row r="67" customFormat="false" ht="27.75" hidden="false" customHeight="true" outlineLevel="0" collapsed="false">
      <c r="A67" s="5" t="s">
        <v>100</v>
      </c>
      <c r="B67" s="5"/>
      <c r="C67" s="5"/>
      <c r="D67" s="5"/>
    </row>
    <row r="68" customFormat="false" ht="27.75" hidden="false" customHeight="true" outlineLevel="0" collapsed="false">
      <c r="A68" s="5" t="s">
        <v>101</v>
      </c>
      <c r="B68" s="5"/>
      <c r="C68" s="5"/>
      <c r="D68" s="5"/>
    </row>
    <row r="69" customFormat="false" ht="27.75" hidden="false" customHeight="true" outlineLevel="0" collapsed="false">
      <c r="A69" s="5" t="s">
        <v>102</v>
      </c>
      <c r="B69" s="5"/>
      <c r="C69" s="5"/>
      <c r="D69" s="5"/>
    </row>
    <row r="70" customFormat="false" ht="27.75" hidden="false" customHeight="true" outlineLevel="0" collapsed="false">
      <c r="A70" s="5" t="s">
        <v>103</v>
      </c>
      <c r="B70" s="5"/>
      <c r="C70" s="5"/>
      <c r="D70" s="5"/>
    </row>
    <row r="71" customFormat="false" ht="27.75" hidden="false" customHeight="true" outlineLevel="0" collapsed="false">
      <c r="A71" s="5" t="s">
        <v>104</v>
      </c>
      <c r="B71" s="5"/>
      <c r="C71" s="5"/>
      <c r="D71" s="5"/>
    </row>
    <row r="72" customFormat="false" ht="27.75" hidden="false" customHeight="true" outlineLevel="0" collapsed="false">
      <c r="A72" s="5" t="s">
        <v>105</v>
      </c>
      <c r="B72" s="5"/>
      <c r="C72" s="5"/>
      <c r="D72" s="5"/>
    </row>
    <row r="74" customFormat="false" ht="15" hidden="false" customHeight="false" outlineLevel="0" collapsed="false">
      <c r="A74" s="3" t="s">
        <v>106</v>
      </c>
      <c r="B74" s="4"/>
      <c r="C74" s="4"/>
      <c r="D74" s="4"/>
    </row>
    <row r="75" customFormat="false" ht="27.75" hidden="false" customHeight="true" outlineLevel="0" collapsed="false">
      <c r="A75" s="5" t="s">
        <v>107</v>
      </c>
      <c r="B75" s="5"/>
      <c r="C75" s="5"/>
      <c r="D75" s="5"/>
    </row>
    <row r="76" customFormat="false" ht="27.75" hidden="false" customHeight="true" outlineLevel="0" collapsed="false">
      <c r="A76" s="5" t="s">
        <v>108</v>
      </c>
      <c r="B76" s="5"/>
      <c r="C76" s="5"/>
      <c r="D76" s="5"/>
    </row>
    <row r="77" customFormat="false" ht="27.75" hidden="false" customHeight="true" outlineLevel="0" collapsed="false">
      <c r="A77" s="5" t="s">
        <v>109</v>
      </c>
      <c r="B77" s="5"/>
      <c r="C77" s="5"/>
      <c r="D77" s="5"/>
    </row>
    <row r="78" customFormat="false" ht="27.75" hidden="false" customHeight="true" outlineLevel="0" collapsed="false">
      <c r="A78" s="5" t="s">
        <v>110</v>
      </c>
      <c r="B78" s="5"/>
      <c r="C78" s="5"/>
      <c r="D78" s="5"/>
    </row>
    <row r="79" customFormat="false" ht="27.75" hidden="false" customHeight="true" outlineLevel="0" collapsed="false">
      <c r="A79" s="5" t="s">
        <v>111</v>
      </c>
      <c r="B79" s="5"/>
      <c r="C79" s="5"/>
      <c r="D79" s="5"/>
    </row>
    <row r="80" customFormat="false" ht="27.75" hidden="false" customHeight="true" outlineLevel="0" collapsed="false">
      <c r="A80" s="5" t="s">
        <v>112</v>
      </c>
      <c r="B80" s="5"/>
      <c r="C80" s="5"/>
      <c r="D80" s="5"/>
    </row>
    <row r="81" customFormat="false" ht="27.75" hidden="false" customHeight="true" outlineLevel="0" collapsed="false">
      <c r="A81" s="5" t="s">
        <v>113</v>
      </c>
      <c r="B81" s="5"/>
      <c r="C81" s="5"/>
      <c r="D81" s="5"/>
    </row>
    <row r="82" customFormat="false" ht="27.75" hidden="false" customHeight="true" outlineLevel="0" collapsed="false">
      <c r="A82" s="5" t="s">
        <v>114</v>
      </c>
      <c r="B82" s="5"/>
      <c r="C82" s="5"/>
      <c r="D82" s="5"/>
    </row>
    <row r="83" customFormat="false" ht="27.75" hidden="false" customHeight="true" outlineLevel="0" collapsed="false">
      <c r="A83" s="5" t="s">
        <v>115</v>
      </c>
      <c r="B83" s="5"/>
      <c r="C83" s="5"/>
      <c r="D83" s="5"/>
    </row>
    <row r="84" customFormat="false" ht="27.75" hidden="false" customHeight="true" outlineLevel="0" collapsed="false">
      <c r="A84" s="5" t="s">
        <v>116</v>
      </c>
      <c r="B84" s="5"/>
      <c r="C84" s="5"/>
      <c r="D84" s="5"/>
    </row>
    <row r="85" customFormat="false" ht="27.75" hidden="false" customHeight="true" outlineLevel="0" collapsed="false">
      <c r="A85" s="5" t="s">
        <v>117</v>
      </c>
      <c r="B85" s="5"/>
      <c r="C85" s="5"/>
      <c r="D85" s="5"/>
    </row>
    <row r="86" customFormat="false" ht="27.75" hidden="false" customHeight="true" outlineLevel="0" collapsed="false">
      <c r="A86" s="5" t="s">
        <v>118</v>
      </c>
      <c r="B86" s="5"/>
      <c r="C86" s="5"/>
      <c r="D86" s="5"/>
    </row>
  </sheetData>
  <mergeCells count="64">
    <mergeCell ref="A5:D5"/>
    <mergeCell ref="A8:D8"/>
    <mergeCell ref="A9:D9"/>
    <mergeCell ref="A10:D10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  <mergeCell ref="B28:D28"/>
    <mergeCell ref="B29:D29"/>
    <mergeCell ref="B30:D30"/>
    <mergeCell ref="B31:D31"/>
    <mergeCell ref="B32:D32"/>
    <mergeCell ref="B33:D33"/>
    <mergeCell ref="B34:D34"/>
    <mergeCell ref="B35:D35"/>
    <mergeCell ref="B36:D36"/>
    <mergeCell ref="B37:D37"/>
    <mergeCell ref="B38:D38"/>
    <mergeCell ref="B39:D39"/>
    <mergeCell ref="B40:D40"/>
    <mergeCell ref="A49:D49"/>
    <mergeCell ref="A52:D52"/>
    <mergeCell ref="A53:D53"/>
    <mergeCell ref="A54:D54"/>
    <mergeCell ref="A55:D55"/>
    <mergeCell ref="A56:D56"/>
    <mergeCell ref="A57:D57"/>
    <mergeCell ref="A58:D58"/>
    <mergeCell ref="A59:D59"/>
    <mergeCell ref="A60:D60"/>
    <mergeCell ref="A61:D61"/>
    <mergeCell ref="A64:D64"/>
    <mergeCell ref="A65:D65"/>
    <mergeCell ref="A66:D66"/>
    <mergeCell ref="A67:D67"/>
    <mergeCell ref="A68:D68"/>
    <mergeCell ref="A69:D69"/>
    <mergeCell ref="A70:D70"/>
    <mergeCell ref="A71:D71"/>
    <mergeCell ref="A72:D72"/>
    <mergeCell ref="A75:D75"/>
    <mergeCell ref="A76:D76"/>
    <mergeCell ref="A77:D77"/>
    <mergeCell ref="A78:D78"/>
    <mergeCell ref="A79:D79"/>
    <mergeCell ref="A80:D80"/>
    <mergeCell ref="A81:D81"/>
    <mergeCell ref="A82:D82"/>
    <mergeCell ref="A83:D83"/>
    <mergeCell ref="A84:D84"/>
    <mergeCell ref="A85:D85"/>
    <mergeCell ref="A86:D86"/>
  </mergeCells>
  <hyperlinks>
    <hyperlink ref="A13" location="'Parcerias'!A1" display="Parcerias"/>
    <hyperlink ref="A14" location="'Portal do parceiro'!A1" display="Portal do parceiro"/>
    <hyperlink ref="A15" location="'Escolas técnicas'!A1" display="Escolas técnicas"/>
    <hyperlink ref="A16" location="'Faculdades'!A1" display="Faculdades"/>
    <hyperlink ref="A17" location="'Cursos com parceiros'!A1" display="Cursos com parceiros"/>
    <hyperlink ref="A18" location="'Ideias de cursos'!A1" display="Ideias de cursos"/>
    <hyperlink ref="A19" location="'Cursos próprios'!A1" display="Cursos próprios"/>
    <hyperlink ref="A20" location="'Padrão do curso'!A1" display="Padrão do curso"/>
    <hyperlink ref="A21" location="'Catálogo por região'!A1" display="Catálogo por região"/>
    <hyperlink ref="A22" location="'Canais'!A1" display="Canais"/>
    <hyperlink ref="A23" location="'Sistema vivo'!A1" display="Sistema vivo"/>
    <hyperlink ref="A24" location="'IA para o dono'!A1" display="IA para o dono"/>
    <hyperlink ref="A25" location="'Comandos de voz'!A1" display="Comandos de voz"/>
    <hyperlink ref="A26" location="'Benchmark'!A1" display="Benchmark"/>
    <hyperlink ref="A27" location="'Prioridade'!A1" display="Prioridade"/>
    <hyperlink ref="A28" location="'Matching'!A1" display="Matching"/>
    <hyperlink ref="A29" location="'Matching exemplo'!A1" display="Matching exemplo"/>
    <hyperlink ref="A30" location="'Geografia'!A1" display="Geografia"/>
    <hyperlink ref="A31" location="'Cadastro'!A1" display="Cadastro"/>
    <hyperlink ref="A32" location="'Entrevista do currículo'!A1" display="Entrevista do currículo"/>
    <hyperlink ref="A33" location="'Tarefas por área'!A1" display="Tarefas por área"/>
    <hyperlink ref="A34" location="'Perfil'!A1" display="Perfil"/>
    <hyperlink ref="A35" location="'Interesses'!A1" display="Interesses"/>
    <hyperlink ref="A36" location="'Desempenho'!A1" display="Desempenho"/>
    <hyperlink ref="A37" location="'Importar equipe'!A1" display="Importar equipe"/>
    <hyperlink ref="A38" location="'RH parceiro'!A1" display="RH parceiro"/>
    <hyperlink ref="A39" location="'Currículos'!A1" display="Currículos"/>
    <hyperlink ref="A40" location="'Fontes'!A1" display="Fonte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5309"/>
    <pageSetUpPr fitToPage="true"/>
  </sheetPr>
  <dimension ref="A1:C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8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119</v>
      </c>
    </row>
    <row r="2" customFormat="false" ht="15" hidden="false" customHeight="false" outlineLevel="0" collapsed="false">
      <c r="A2" s="2" t="s">
        <v>120</v>
      </c>
    </row>
    <row r="4" customFormat="false" ht="31.5" hidden="false" customHeight="true" outlineLevel="0" collapsed="false">
      <c r="A4" s="8" t="s">
        <v>121</v>
      </c>
      <c r="B4" s="8" t="s">
        <v>122</v>
      </c>
      <c r="C4" s="8" t="s">
        <v>123</v>
      </c>
    </row>
    <row r="5" customFormat="false" ht="15" hidden="false" customHeight="false" outlineLevel="0" collapsed="false">
      <c r="A5" s="10" t="s">
        <v>124</v>
      </c>
      <c r="B5" s="11" t="n">
        <v>0.5</v>
      </c>
      <c r="C5" s="7" t="s">
        <v>125</v>
      </c>
    </row>
    <row r="6" customFormat="false" ht="15" hidden="false" customHeight="false" outlineLevel="0" collapsed="false">
      <c r="A6" s="10" t="s">
        <v>126</v>
      </c>
      <c r="B6" s="11" t="n">
        <v>0.3</v>
      </c>
      <c r="C6" s="7" t="s">
        <v>127</v>
      </c>
    </row>
    <row r="7" customFormat="false" ht="23.85" hidden="false" customHeight="false" outlineLevel="0" collapsed="false">
      <c r="A7" s="10" t="s">
        <v>128</v>
      </c>
      <c r="B7" s="12" t="n">
        <v>12</v>
      </c>
      <c r="C7" s="7" t="s">
        <v>129</v>
      </c>
    </row>
    <row r="8" customFormat="false" ht="23.85" hidden="false" customHeight="false" outlineLevel="0" collapsed="false">
      <c r="A8" s="10" t="s">
        <v>130</v>
      </c>
      <c r="B8" s="13" t="s">
        <v>131</v>
      </c>
      <c r="C8" s="7" t="s">
        <v>132</v>
      </c>
    </row>
    <row r="10" customFormat="false" ht="31.5" hidden="false" customHeight="true" outlineLevel="0" collapsed="false">
      <c r="A10" s="8" t="s">
        <v>133</v>
      </c>
      <c r="B10" s="8" t="s">
        <v>122</v>
      </c>
      <c r="C10" s="8" t="s">
        <v>134</v>
      </c>
    </row>
    <row r="11" customFormat="false" ht="15" hidden="false" customHeight="false" outlineLevel="0" collapsed="false">
      <c r="A11" s="10" t="s">
        <v>135</v>
      </c>
      <c r="B11" s="14" t="n">
        <v>200</v>
      </c>
      <c r="C11" s="7" t="s">
        <v>136</v>
      </c>
    </row>
    <row r="12" customFormat="false" ht="15" hidden="false" customHeight="false" outlineLevel="0" collapsed="false">
      <c r="A12" s="10" t="s">
        <v>137</v>
      </c>
      <c r="B12" s="14" t="n">
        <v>400</v>
      </c>
      <c r="C12" s="7" t="s">
        <v>136</v>
      </c>
    </row>
    <row r="13" customFormat="false" ht="15" hidden="false" customHeight="false" outlineLevel="0" collapsed="false">
      <c r="A13" s="10" t="s">
        <v>138</v>
      </c>
      <c r="B13" s="12" t="n">
        <v>10</v>
      </c>
      <c r="C13" s="7" t="s">
        <v>136</v>
      </c>
    </row>
    <row r="14" customFormat="false" ht="23.85" hidden="false" customHeight="false" outlineLevel="0" collapsed="false">
      <c r="A14" s="10" t="s">
        <v>139</v>
      </c>
      <c r="B14" s="15" t="n">
        <f aca="false">B11*B5+B12*B6*B7</f>
        <v>1540</v>
      </c>
      <c r="C14" s="7" t="s">
        <v>140</v>
      </c>
    </row>
    <row r="15" customFormat="false" ht="15" hidden="false" customHeight="false" outlineLevel="0" collapsed="false">
      <c r="A15" s="10" t="s">
        <v>141</v>
      </c>
      <c r="B15" s="15" t="n">
        <f aca="false">B14*B13</f>
        <v>15400</v>
      </c>
      <c r="C15" s="7" t="s">
        <v>142</v>
      </c>
    </row>
    <row r="17" customFormat="false" ht="31.5" hidden="false" customHeight="true" outlineLevel="0" collapsed="false">
      <c r="A17" s="8" t="s">
        <v>143</v>
      </c>
      <c r="B17" s="8"/>
      <c r="C17" s="8"/>
    </row>
    <row r="18" customFormat="false" ht="27.75" hidden="false" customHeight="true" outlineLevel="0" collapsed="false">
      <c r="A18" s="5" t="s">
        <v>144</v>
      </c>
      <c r="B18" s="5"/>
      <c r="C18" s="5"/>
    </row>
    <row r="19" customFormat="false" ht="27.75" hidden="false" customHeight="true" outlineLevel="0" collapsed="false">
      <c r="A19" s="5" t="s">
        <v>145</v>
      </c>
      <c r="B19" s="5"/>
      <c r="C19" s="5"/>
    </row>
    <row r="20" customFormat="false" ht="27.75" hidden="false" customHeight="true" outlineLevel="0" collapsed="false">
      <c r="A20" s="5" t="s">
        <v>146</v>
      </c>
      <c r="B20" s="5"/>
      <c r="C20" s="5"/>
    </row>
    <row r="21" customFormat="false" ht="27.75" hidden="false" customHeight="true" outlineLevel="0" collapsed="false">
      <c r="A21" s="5" t="s">
        <v>147</v>
      </c>
      <c r="B21" s="5"/>
      <c r="C21" s="5"/>
    </row>
    <row r="22" customFormat="false" ht="27.75" hidden="false" customHeight="true" outlineLevel="0" collapsed="false">
      <c r="A22" s="5" t="s">
        <v>148</v>
      </c>
      <c r="B22" s="5"/>
      <c r="C22" s="5"/>
    </row>
  </sheetData>
  <mergeCells count="5">
    <mergeCell ref="A18:C18"/>
    <mergeCell ref="A19:C19"/>
    <mergeCell ref="A20:C20"/>
    <mergeCell ref="A21:C21"/>
    <mergeCell ref="A22:C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5309"/>
    <pageSetUpPr fitToPage="true"/>
  </sheetPr>
  <dimension ref="A1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6"/>
    <col collapsed="false" customWidth="true" hidden="false" outlineLevel="0" max="4" min="3" style="0" width="40"/>
    <col collapsed="false" customWidth="true" hidden="false" outlineLevel="0" max="5" min="5" style="0" width="56"/>
  </cols>
  <sheetData>
    <row r="1" customFormat="false" ht="17.35" hidden="false" customHeight="false" outlineLevel="0" collapsed="false">
      <c r="A1" s="1" t="s">
        <v>149</v>
      </c>
    </row>
    <row r="2" customFormat="false" ht="15" hidden="false" customHeight="false" outlineLevel="0" collapsed="false">
      <c r="A2" s="2" t="s">
        <v>150</v>
      </c>
    </row>
    <row r="4" customFormat="false" ht="31.5" hidden="false" customHeight="true" outlineLevel="0" collapsed="false">
      <c r="A4" s="8" t="s">
        <v>151</v>
      </c>
      <c r="B4" s="8" t="s">
        <v>152</v>
      </c>
      <c r="C4" s="8" t="s">
        <v>153</v>
      </c>
      <c r="D4" s="8" t="s">
        <v>154</v>
      </c>
      <c r="E4" s="8" t="s">
        <v>121</v>
      </c>
    </row>
    <row r="5" customFormat="false" ht="23.85" hidden="false" customHeight="false" outlineLevel="0" collapsed="false">
      <c r="A5" s="10" t="s">
        <v>155</v>
      </c>
      <c r="B5" s="7" t="s">
        <v>156</v>
      </c>
      <c r="C5" s="7" t="s">
        <v>157</v>
      </c>
      <c r="D5" s="7" t="s">
        <v>158</v>
      </c>
      <c r="E5" s="7" t="s">
        <v>159</v>
      </c>
    </row>
    <row r="6" customFormat="false" ht="35.05" hidden="false" customHeight="false" outlineLevel="0" collapsed="false">
      <c r="A6" s="10" t="s">
        <v>160</v>
      </c>
      <c r="B6" s="7" t="s">
        <v>161</v>
      </c>
      <c r="C6" s="7" t="s">
        <v>157</v>
      </c>
      <c r="D6" s="7" t="s">
        <v>162</v>
      </c>
      <c r="E6" s="7" t="s">
        <v>163</v>
      </c>
    </row>
    <row r="7" customFormat="false" ht="35.05" hidden="false" customHeight="false" outlineLevel="0" collapsed="false">
      <c r="A7" s="10" t="s">
        <v>164</v>
      </c>
      <c r="B7" s="7" t="s">
        <v>165</v>
      </c>
      <c r="C7" s="7" t="s">
        <v>166</v>
      </c>
      <c r="D7" s="7" t="s">
        <v>167</v>
      </c>
      <c r="E7" s="7" t="s">
        <v>168</v>
      </c>
    </row>
    <row r="8" customFormat="false" ht="35.05" hidden="false" customHeight="false" outlineLevel="0" collapsed="false">
      <c r="A8" s="10" t="s">
        <v>169</v>
      </c>
      <c r="B8" s="7" t="s">
        <v>170</v>
      </c>
      <c r="C8" s="7" t="s">
        <v>171</v>
      </c>
      <c r="D8" s="7" t="s">
        <v>172</v>
      </c>
      <c r="E8" s="7" t="s">
        <v>173</v>
      </c>
    </row>
    <row r="9" customFormat="false" ht="35.05" hidden="false" customHeight="false" outlineLevel="0" collapsed="false">
      <c r="A9" s="10" t="s">
        <v>174</v>
      </c>
      <c r="B9" s="7" t="s">
        <v>175</v>
      </c>
      <c r="C9" s="7" t="s">
        <v>176</v>
      </c>
      <c r="D9" s="7" t="s">
        <v>177</v>
      </c>
      <c r="E9" s="7" t="s">
        <v>178</v>
      </c>
    </row>
    <row r="10" customFormat="false" ht="23.85" hidden="false" customHeight="false" outlineLevel="0" collapsed="false">
      <c r="A10" s="10" t="s">
        <v>179</v>
      </c>
      <c r="B10" s="7" t="s">
        <v>180</v>
      </c>
      <c r="C10" s="7" t="s">
        <v>181</v>
      </c>
      <c r="D10" s="7" t="s">
        <v>182</v>
      </c>
      <c r="E10" s="7" t="s">
        <v>183</v>
      </c>
    </row>
    <row r="11" customFormat="false" ht="23.85" hidden="false" customHeight="false" outlineLevel="0" collapsed="false">
      <c r="A11" s="10" t="s">
        <v>184</v>
      </c>
      <c r="B11" s="7" t="s">
        <v>185</v>
      </c>
      <c r="C11" s="7" t="s">
        <v>186</v>
      </c>
      <c r="D11" s="7" t="s">
        <v>187</v>
      </c>
      <c r="E11" s="7" t="s">
        <v>188</v>
      </c>
    </row>
    <row r="12" customFormat="false" ht="23.85" hidden="false" customHeight="false" outlineLevel="0" collapsed="false">
      <c r="A12" s="10" t="s">
        <v>189</v>
      </c>
      <c r="B12" s="7" t="s">
        <v>190</v>
      </c>
      <c r="C12" s="7" t="s">
        <v>191</v>
      </c>
      <c r="D12" s="7" t="s">
        <v>192</v>
      </c>
      <c r="E12" s="7" t="s">
        <v>193</v>
      </c>
    </row>
    <row r="13" customFormat="false" ht="23.85" hidden="false" customHeight="false" outlineLevel="0" collapsed="false">
      <c r="A13" s="10" t="s">
        <v>194</v>
      </c>
      <c r="B13" s="7" t="s">
        <v>195</v>
      </c>
      <c r="C13" s="7" t="s">
        <v>196</v>
      </c>
      <c r="D13" s="7" t="s">
        <v>197</v>
      </c>
      <c r="E13" s="7" t="s">
        <v>198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5309"/>
    <pageSetUpPr fitToPage="true"/>
  </sheetPr>
  <dimension ref="A1:M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8"/>
    <col collapsed="false" customWidth="true" hidden="false" outlineLevel="0" max="3" min="3" style="0" width="44"/>
    <col collapsed="false" customWidth="true" hidden="false" outlineLevel="0" max="5" min="4" style="0" width="14"/>
    <col collapsed="false" customWidth="true" hidden="false" outlineLevel="0" max="6" min="6" style="0" width="15"/>
    <col collapsed="false" customWidth="true" hidden="false" outlineLevel="0" max="9" min="7" style="0" width="14"/>
    <col collapsed="false" customWidth="true" hidden="false" outlineLevel="0" max="10" min="10" style="0" width="16"/>
    <col collapsed="false" customWidth="true" hidden="false" outlineLevel="0" max="11" min="11" style="0" width="26"/>
    <col collapsed="false" customWidth="true" hidden="false" outlineLevel="0" max="12" min="12" style="0" width="18"/>
    <col collapsed="false" customWidth="true" hidden="false" outlineLevel="0" max="13" min="13" style="0" width="40"/>
  </cols>
  <sheetData>
    <row r="1" customFormat="false" ht="17.35" hidden="false" customHeight="false" outlineLevel="0" collapsed="false">
      <c r="A1" s="1" t="s">
        <v>199</v>
      </c>
    </row>
    <row r="2" customFormat="false" ht="15" hidden="false" customHeight="false" outlineLevel="0" collapsed="false">
      <c r="A2" s="2" t="s">
        <v>200</v>
      </c>
    </row>
    <row r="4" customFormat="false" ht="45.75" hidden="false" customHeight="true" outlineLevel="0" collapsed="false">
      <c r="A4" s="8" t="s">
        <v>201</v>
      </c>
      <c r="B4" s="8" t="s">
        <v>202</v>
      </c>
      <c r="C4" s="8" t="s">
        <v>203</v>
      </c>
      <c r="D4" s="8" t="s">
        <v>204</v>
      </c>
      <c r="E4" s="8" t="s">
        <v>135</v>
      </c>
      <c r="F4" s="8" t="s">
        <v>137</v>
      </c>
      <c r="G4" s="8" t="s">
        <v>124</v>
      </c>
      <c r="H4" s="8" t="s">
        <v>205</v>
      </c>
      <c r="I4" s="8" t="s">
        <v>139</v>
      </c>
      <c r="J4" s="8" t="s">
        <v>206</v>
      </c>
      <c r="K4" s="8" t="s">
        <v>207</v>
      </c>
      <c r="L4" s="8" t="s">
        <v>208</v>
      </c>
      <c r="M4" s="8" t="s">
        <v>123</v>
      </c>
    </row>
    <row r="5" customFormat="false" ht="23.85" hidden="false" customHeight="false" outlineLevel="0" collapsed="false">
      <c r="A5" s="16" t="s">
        <v>209</v>
      </c>
      <c r="B5" s="16" t="s">
        <v>210</v>
      </c>
      <c r="C5" s="16" t="s">
        <v>211</v>
      </c>
      <c r="D5" s="16" t="s">
        <v>212</v>
      </c>
      <c r="E5" s="17" t="n">
        <v>300</v>
      </c>
      <c r="F5" s="17" t="n">
        <v>450</v>
      </c>
      <c r="G5" s="18" t="n">
        <f aca="false">Parcerias!$B$5</f>
        <v>0.5</v>
      </c>
      <c r="H5" s="18" t="n">
        <f aca="false">Parcerias!$B$6</f>
        <v>0.3</v>
      </c>
      <c r="I5" s="19" t="n">
        <f aca="false">IF(OR(E5="",F5=""),"",E5*G5+F5*H5*Parcerias!$B$7)</f>
        <v>1770</v>
      </c>
      <c r="J5" s="16" t="s">
        <v>213</v>
      </c>
      <c r="K5" s="16" t="s">
        <v>214</v>
      </c>
      <c r="L5" s="16" t="s">
        <v>215</v>
      </c>
      <c r="M5" s="16" t="s">
        <v>216</v>
      </c>
    </row>
    <row r="6" customFormat="false" ht="23.85" hidden="false" customHeight="false" outlineLevel="0" collapsed="false">
      <c r="A6" s="16" t="s">
        <v>217</v>
      </c>
      <c r="B6" s="16"/>
      <c r="C6" s="16" t="s">
        <v>218</v>
      </c>
      <c r="D6" s="16"/>
      <c r="E6" s="17"/>
      <c r="F6" s="17"/>
      <c r="G6" s="18" t="n">
        <f aca="false">Parcerias!$B$5</f>
        <v>0.5</v>
      </c>
      <c r="H6" s="18" t="n">
        <f aca="false">Parcerias!$B$6</f>
        <v>0.3</v>
      </c>
      <c r="I6" s="19" t="str">
        <f aca="false">IF(OR(E6="",F6=""),"",E6*G6+F6*H6*Parcerias!$B$7)</f>
        <v/>
      </c>
      <c r="J6" s="16"/>
      <c r="K6" s="16"/>
      <c r="L6" s="16" t="s">
        <v>219</v>
      </c>
      <c r="M6" s="16" t="s">
        <v>220</v>
      </c>
    </row>
    <row r="7" customFormat="false" ht="15" hidden="false" customHeight="false" outlineLevel="0" collapsed="false">
      <c r="A7" s="16"/>
      <c r="B7" s="16"/>
      <c r="C7" s="16"/>
      <c r="D7" s="16"/>
      <c r="E7" s="17"/>
      <c r="F7" s="17"/>
      <c r="G7" s="18" t="n">
        <f aca="false">Parcerias!$B$5</f>
        <v>0.5</v>
      </c>
      <c r="H7" s="18" t="n">
        <f aca="false">Parcerias!$B$6</f>
        <v>0.3</v>
      </c>
      <c r="I7" s="19" t="str">
        <f aca="false">IF(OR(E7="",F7=""),"",E7*G7+F7*H7*Parcerias!$B$7)</f>
        <v/>
      </c>
      <c r="J7" s="16"/>
      <c r="K7" s="16"/>
      <c r="L7" s="16"/>
      <c r="M7" s="16"/>
    </row>
    <row r="8" customFormat="false" ht="15" hidden="false" customHeight="false" outlineLevel="0" collapsed="false">
      <c r="A8" s="16"/>
      <c r="B8" s="16"/>
      <c r="C8" s="16"/>
      <c r="D8" s="16"/>
      <c r="E8" s="17"/>
      <c r="F8" s="17"/>
      <c r="G8" s="18" t="n">
        <f aca="false">Parcerias!$B$5</f>
        <v>0.5</v>
      </c>
      <c r="H8" s="18" t="n">
        <f aca="false">Parcerias!$B$6</f>
        <v>0.3</v>
      </c>
      <c r="I8" s="19" t="str">
        <f aca="false">IF(OR(E8="",F8=""),"",E8*G8+F8*H8*Parcerias!$B$7)</f>
        <v/>
      </c>
      <c r="J8" s="16"/>
      <c r="K8" s="16"/>
      <c r="L8" s="16"/>
      <c r="M8" s="16"/>
    </row>
    <row r="9" customFormat="false" ht="15" hidden="false" customHeight="false" outlineLevel="0" collapsed="false">
      <c r="A9" s="16"/>
      <c r="B9" s="16"/>
      <c r="C9" s="16"/>
      <c r="D9" s="16"/>
      <c r="E9" s="17"/>
      <c r="F9" s="17"/>
      <c r="G9" s="18" t="n">
        <f aca="false">Parcerias!$B$5</f>
        <v>0.5</v>
      </c>
      <c r="H9" s="18" t="n">
        <f aca="false">Parcerias!$B$6</f>
        <v>0.3</v>
      </c>
      <c r="I9" s="19" t="str">
        <f aca="false">IF(OR(E9="",F9=""),"",E9*G9+F9*H9*Parcerias!$B$7)</f>
        <v/>
      </c>
      <c r="J9" s="16"/>
      <c r="K9" s="16"/>
      <c r="L9" s="16"/>
      <c r="M9" s="16"/>
    </row>
    <row r="10" customFormat="false" ht="15" hidden="false" customHeight="false" outlineLevel="0" collapsed="false">
      <c r="A10" s="16"/>
      <c r="B10" s="16"/>
      <c r="C10" s="16"/>
      <c r="D10" s="16"/>
      <c r="E10" s="17"/>
      <c r="F10" s="17"/>
      <c r="G10" s="18" t="n">
        <f aca="false">Parcerias!$B$5</f>
        <v>0.5</v>
      </c>
      <c r="H10" s="18" t="n">
        <f aca="false">Parcerias!$B$6</f>
        <v>0.3</v>
      </c>
      <c r="I10" s="19" t="str">
        <f aca="false">IF(OR(E10="",F10=""),"",E10*G10+F10*H10*Parcerias!$B$7)</f>
        <v/>
      </c>
      <c r="J10" s="16"/>
      <c r="K10" s="16"/>
      <c r="L10" s="16"/>
      <c r="M10" s="16"/>
    </row>
    <row r="11" customFormat="false" ht="15" hidden="false" customHeight="false" outlineLevel="0" collapsed="false">
      <c r="A11" s="16"/>
      <c r="B11" s="16"/>
      <c r="C11" s="16"/>
      <c r="D11" s="16"/>
      <c r="E11" s="17"/>
      <c r="F11" s="17"/>
      <c r="G11" s="18" t="n">
        <f aca="false">Parcerias!$B$5</f>
        <v>0.5</v>
      </c>
      <c r="H11" s="18" t="n">
        <f aca="false">Parcerias!$B$6</f>
        <v>0.3</v>
      </c>
      <c r="I11" s="19" t="str">
        <f aca="false">IF(OR(E11="",F11=""),"",E11*G11+F11*H11*Parcerias!$B$7)</f>
        <v/>
      </c>
      <c r="J11" s="16"/>
      <c r="K11" s="16"/>
      <c r="L11" s="16"/>
      <c r="M11" s="16"/>
    </row>
    <row r="12" customFormat="false" ht="15" hidden="false" customHeight="false" outlineLevel="0" collapsed="false">
      <c r="A12" s="16"/>
      <c r="B12" s="16"/>
      <c r="C12" s="16"/>
      <c r="D12" s="16"/>
      <c r="E12" s="17"/>
      <c r="F12" s="17"/>
      <c r="G12" s="18" t="n">
        <f aca="false">Parcerias!$B$5</f>
        <v>0.5</v>
      </c>
      <c r="H12" s="18" t="n">
        <f aca="false">Parcerias!$B$6</f>
        <v>0.3</v>
      </c>
      <c r="I12" s="19" t="str">
        <f aca="false">IF(OR(E12="",F12=""),"",E12*G12+F12*H12*Parcerias!$B$7)</f>
        <v/>
      </c>
      <c r="J12" s="16"/>
      <c r="K12" s="16"/>
      <c r="L12" s="16"/>
      <c r="M12" s="16"/>
    </row>
    <row r="13" customFormat="false" ht="15" hidden="false" customHeight="false" outlineLevel="0" collapsed="false">
      <c r="A13" s="16"/>
      <c r="B13" s="16"/>
      <c r="C13" s="16"/>
      <c r="D13" s="16"/>
      <c r="E13" s="17"/>
      <c r="F13" s="17"/>
      <c r="G13" s="18" t="n">
        <f aca="false">Parcerias!$B$5</f>
        <v>0.5</v>
      </c>
      <c r="H13" s="18" t="n">
        <f aca="false">Parcerias!$B$6</f>
        <v>0.3</v>
      </c>
      <c r="I13" s="19" t="str">
        <f aca="false">IF(OR(E13="",F13=""),"",E13*G13+F13*H13*Parcerias!$B$7)</f>
        <v/>
      </c>
      <c r="J13" s="16"/>
      <c r="K13" s="16"/>
      <c r="L13" s="16"/>
      <c r="M13" s="16"/>
    </row>
    <row r="14" customFormat="false" ht="15" hidden="false" customHeight="false" outlineLevel="0" collapsed="false">
      <c r="A14" s="16"/>
      <c r="B14" s="16"/>
      <c r="C14" s="16"/>
      <c r="D14" s="16"/>
      <c r="E14" s="17"/>
      <c r="F14" s="17"/>
      <c r="G14" s="18" t="n">
        <f aca="false">Parcerias!$B$5</f>
        <v>0.5</v>
      </c>
      <c r="H14" s="18" t="n">
        <f aca="false">Parcerias!$B$6</f>
        <v>0.3</v>
      </c>
      <c r="I14" s="19" t="str">
        <f aca="false">IF(OR(E14="",F14=""),"",E14*G14+F14*H14*Parcerias!$B$7)</f>
        <v/>
      </c>
      <c r="J14" s="16"/>
      <c r="K14" s="16"/>
      <c r="L14" s="16"/>
      <c r="M14" s="16"/>
    </row>
    <row r="15" customFormat="false" ht="15" hidden="false" customHeight="false" outlineLevel="0" collapsed="false">
      <c r="A15" s="16"/>
      <c r="B15" s="16"/>
      <c r="C15" s="16"/>
      <c r="D15" s="16"/>
      <c r="E15" s="17"/>
      <c r="F15" s="17"/>
      <c r="G15" s="18" t="n">
        <f aca="false">Parcerias!$B$5</f>
        <v>0.5</v>
      </c>
      <c r="H15" s="18" t="n">
        <f aca="false">Parcerias!$B$6</f>
        <v>0.3</v>
      </c>
      <c r="I15" s="19" t="str">
        <f aca="false">IF(OR(E15="",F15=""),"",E15*G15+F15*H15*Parcerias!$B$7)</f>
        <v/>
      </c>
      <c r="J15" s="16"/>
      <c r="K15" s="16"/>
      <c r="L15" s="16"/>
      <c r="M15" s="16"/>
    </row>
    <row r="16" customFormat="false" ht="15" hidden="false" customHeight="false" outlineLevel="0" collapsed="false">
      <c r="A16" s="16"/>
      <c r="B16" s="16"/>
      <c r="C16" s="16"/>
      <c r="D16" s="16"/>
      <c r="E16" s="17"/>
      <c r="F16" s="17"/>
      <c r="G16" s="18" t="n">
        <f aca="false">Parcerias!$B$5</f>
        <v>0.5</v>
      </c>
      <c r="H16" s="18" t="n">
        <f aca="false">Parcerias!$B$6</f>
        <v>0.3</v>
      </c>
      <c r="I16" s="19" t="str">
        <f aca="false">IF(OR(E16="",F16=""),"",E16*G16+F16*H16*Parcerias!$B$7)</f>
        <v/>
      </c>
      <c r="J16" s="16"/>
      <c r="K16" s="16"/>
      <c r="L16" s="16"/>
      <c r="M16" s="16"/>
    </row>
    <row r="17" customFormat="false" ht="15" hidden="false" customHeight="false" outlineLevel="0" collapsed="false">
      <c r="A17" s="16"/>
      <c r="B17" s="16"/>
      <c r="C17" s="16"/>
      <c r="D17" s="16"/>
      <c r="E17" s="17"/>
      <c r="F17" s="17"/>
      <c r="G17" s="18" t="n">
        <f aca="false">Parcerias!$B$5</f>
        <v>0.5</v>
      </c>
      <c r="H17" s="18" t="n">
        <f aca="false">Parcerias!$B$6</f>
        <v>0.3</v>
      </c>
      <c r="I17" s="19" t="str">
        <f aca="false">IF(OR(E17="",F17=""),"",E17*G17+F17*H17*Parcerias!$B$7)</f>
        <v/>
      </c>
      <c r="J17" s="16"/>
      <c r="K17" s="16"/>
      <c r="L17" s="16"/>
      <c r="M17" s="16"/>
    </row>
    <row r="18" customFormat="false" ht="15" hidden="false" customHeight="false" outlineLevel="0" collapsed="false">
      <c r="A18" s="16"/>
      <c r="B18" s="16"/>
      <c r="C18" s="16"/>
      <c r="D18" s="16"/>
      <c r="E18" s="17"/>
      <c r="F18" s="17"/>
      <c r="G18" s="18" t="n">
        <f aca="false">Parcerias!$B$5</f>
        <v>0.5</v>
      </c>
      <c r="H18" s="18" t="n">
        <f aca="false">Parcerias!$B$6</f>
        <v>0.3</v>
      </c>
      <c r="I18" s="19" t="str">
        <f aca="false">IF(OR(E18="",F18=""),"",E18*G18+F18*H18*Parcerias!$B$7)</f>
        <v/>
      </c>
      <c r="J18" s="16"/>
      <c r="K18" s="16"/>
      <c r="L18" s="16"/>
      <c r="M18" s="16"/>
    </row>
  </sheetData>
  <dataValidations count="3">
    <dataValidation allowBlank="true" errorStyle="stop" operator="between" showDropDown="false" showErrorMessage="false" showInputMessage="false" sqref="D5:D18" type="list">
      <formula1>"EAD,Presencial,Híbrido"</formula1>
      <formula2>0</formula2>
    </dataValidation>
    <dataValidation allowBlank="true" errorStyle="stop" operator="between" showDropDown="false" showErrorMessage="false" showInputMessage="false" sqref="L5:L18" type="list">
      <formula1>"Não contatada,Conversando,Proposta enviada,Fechada,Descartada"</formula1>
      <formula2>0</formula2>
    </dataValidation>
    <dataValidation allowBlank="true" errorStyle="stop" operator="between" showDropDown="false" showErrorMessage="false" showInputMessage="false" sqref="J5:J18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5309"/>
    <pageSetUpPr fitToPage="true"/>
  </sheetPr>
  <dimension ref="A1:M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8"/>
    <col collapsed="false" customWidth="true" hidden="false" outlineLevel="0" max="3" min="3" style="0" width="44"/>
    <col collapsed="false" customWidth="true" hidden="false" outlineLevel="0" max="5" min="4" style="0" width="14"/>
    <col collapsed="false" customWidth="true" hidden="false" outlineLevel="0" max="6" min="6" style="0" width="15"/>
    <col collapsed="false" customWidth="true" hidden="false" outlineLevel="0" max="9" min="7" style="0" width="14"/>
    <col collapsed="false" customWidth="true" hidden="false" outlineLevel="0" max="10" min="10" style="0" width="16"/>
    <col collapsed="false" customWidth="true" hidden="false" outlineLevel="0" max="11" min="11" style="0" width="26"/>
    <col collapsed="false" customWidth="true" hidden="false" outlineLevel="0" max="12" min="12" style="0" width="18"/>
    <col collapsed="false" customWidth="true" hidden="false" outlineLevel="0" max="13" min="13" style="0" width="40"/>
  </cols>
  <sheetData>
    <row r="1" customFormat="false" ht="17.35" hidden="false" customHeight="false" outlineLevel="0" collapsed="false">
      <c r="A1" s="1" t="s">
        <v>221</v>
      </c>
    </row>
    <row r="2" customFormat="false" ht="15" hidden="false" customHeight="false" outlineLevel="0" collapsed="false">
      <c r="A2" s="2" t="s">
        <v>222</v>
      </c>
    </row>
    <row r="4" customFormat="false" ht="45.75" hidden="false" customHeight="true" outlineLevel="0" collapsed="false">
      <c r="A4" s="8" t="s">
        <v>201</v>
      </c>
      <c r="B4" s="8" t="s">
        <v>202</v>
      </c>
      <c r="C4" s="8" t="s">
        <v>203</v>
      </c>
      <c r="D4" s="8" t="s">
        <v>204</v>
      </c>
      <c r="E4" s="8" t="s">
        <v>135</v>
      </c>
      <c r="F4" s="8" t="s">
        <v>137</v>
      </c>
      <c r="G4" s="8" t="s">
        <v>124</v>
      </c>
      <c r="H4" s="8" t="s">
        <v>205</v>
      </c>
      <c r="I4" s="8" t="s">
        <v>139</v>
      </c>
      <c r="J4" s="8" t="s">
        <v>206</v>
      </c>
      <c r="K4" s="8" t="s">
        <v>207</v>
      </c>
      <c r="L4" s="8" t="s">
        <v>208</v>
      </c>
      <c r="M4" s="8" t="s">
        <v>123</v>
      </c>
    </row>
    <row r="5" customFormat="false" ht="23.85" hidden="false" customHeight="false" outlineLevel="0" collapsed="false">
      <c r="A5" s="16" t="s">
        <v>223</v>
      </c>
      <c r="B5" s="16" t="s">
        <v>210</v>
      </c>
      <c r="C5" s="16" t="s">
        <v>224</v>
      </c>
      <c r="D5" s="16" t="s">
        <v>225</v>
      </c>
      <c r="E5" s="17" t="n">
        <v>250</v>
      </c>
      <c r="F5" s="17" t="n">
        <v>380</v>
      </c>
      <c r="G5" s="18" t="n">
        <f aca="false">Parcerias!$B$5</f>
        <v>0.5</v>
      </c>
      <c r="H5" s="18" t="n">
        <f aca="false">Parcerias!$B$6</f>
        <v>0.3</v>
      </c>
      <c r="I5" s="19" t="n">
        <f aca="false">IF(OR(E5="",F5=""),"",E5*G5+F5*H5*Parcerias!$B$7)</f>
        <v>1493</v>
      </c>
      <c r="J5" s="16" t="s">
        <v>213</v>
      </c>
      <c r="K5" s="16" t="s">
        <v>214</v>
      </c>
      <c r="L5" s="16" t="s">
        <v>226</v>
      </c>
      <c r="M5" s="16" t="s">
        <v>216</v>
      </c>
    </row>
    <row r="6" customFormat="false" ht="15" hidden="false" customHeight="false" outlineLevel="0" collapsed="false">
      <c r="A6" s="16"/>
      <c r="B6" s="16"/>
      <c r="C6" s="16"/>
      <c r="D6" s="16"/>
      <c r="E6" s="17"/>
      <c r="F6" s="17"/>
      <c r="G6" s="18" t="n">
        <f aca="false">Parcerias!$B$5</f>
        <v>0.5</v>
      </c>
      <c r="H6" s="18" t="n">
        <f aca="false">Parcerias!$B$6</f>
        <v>0.3</v>
      </c>
      <c r="I6" s="19" t="str">
        <f aca="false">IF(OR(E6="",F6=""),"",E6*G6+F6*H6*Parcerias!$B$7)</f>
        <v/>
      </c>
      <c r="J6" s="16"/>
      <c r="K6" s="16"/>
      <c r="L6" s="16"/>
      <c r="M6" s="16"/>
    </row>
    <row r="7" customFormat="false" ht="15" hidden="false" customHeight="false" outlineLevel="0" collapsed="false">
      <c r="A7" s="16"/>
      <c r="B7" s="16"/>
      <c r="C7" s="16"/>
      <c r="D7" s="16"/>
      <c r="E7" s="17"/>
      <c r="F7" s="17"/>
      <c r="G7" s="18" t="n">
        <f aca="false">Parcerias!$B$5</f>
        <v>0.5</v>
      </c>
      <c r="H7" s="18" t="n">
        <f aca="false">Parcerias!$B$6</f>
        <v>0.3</v>
      </c>
      <c r="I7" s="19" t="str">
        <f aca="false">IF(OR(E7="",F7=""),"",E7*G7+F7*H7*Parcerias!$B$7)</f>
        <v/>
      </c>
      <c r="J7" s="16"/>
      <c r="K7" s="16"/>
      <c r="L7" s="16"/>
      <c r="M7" s="16"/>
    </row>
    <row r="8" customFormat="false" ht="15" hidden="false" customHeight="false" outlineLevel="0" collapsed="false">
      <c r="A8" s="16"/>
      <c r="B8" s="16"/>
      <c r="C8" s="16"/>
      <c r="D8" s="16"/>
      <c r="E8" s="17"/>
      <c r="F8" s="17"/>
      <c r="G8" s="18" t="n">
        <f aca="false">Parcerias!$B$5</f>
        <v>0.5</v>
      </c>
      <c r="H8" s="18" t="n">
        <f aca="false">Parcerias!$B$6</f>
        <v>0.3</v>
      </c>
      <c r="I8" s="19" t="str">
        <f aca="false">IF(OR(E8="",F8=""),"",E8*G8+F8*H8*Parcerias!$B$7)</f>
        <v/>
      </c>
      <c r="J8" s="16"/>
      <c r="K8" s="16"/>
      <c r="L8" s="16"/>
      <c r="M8" s="16"/>
    </row>
    <row r="9" customFormat="false" ht="15" hidden="false" customHeight="false" outlineLevel="0" collapsed="false">
      <c r="A9" s="16"/>
      <c r="B9" s="16"/>
      <c r="C9" s="16"/>
      <c r="D9" s="16"/>
      <c r="E9" s="17"/>
      <c r="F9" s="17"/>
      <c r="G9" s="18" t="n">
        <f aca="false">Parcerias!$B$5</f>
        <v>0.5</v>
      </c>
      <c r="H9" s="18" t="n">
        <f aca="false">Parcerias!$B$6</f>
        <v>0.3</v>
      </c>
      <c r="I9" s="19" t="str">
        <f aca="false">IF(OR(E9="",F9=""),"",E9*G9+F9*H9*Parcerias!$B$7)</f>
        <v/>
      </c>
      <c r="J9" s="16"/>
      <c r="K9" s="16"/>
      <c r="L9" s="16"/>
      <c r="M9" s="16"/>
    </row>
    <row r="10" customFormat="false" ht="15" hidden="false" customHeight="false" outlineLevel="0" collapsed="false">
      <c r="A10" s="16"/>
      <c r="B10" s="16"/>
      <c r="C10" s="16"/>
      <c r="D10" s="16"/>
      <c r="E10" s="17"/>
      <c r="F10" s="17"/>
      <c r="G10" s="18" t="n">
        <f aca="false">Parcerias!$B$5</f>
        <v>0.5</v>
      </c>
      <c r="H10" s="18" t="n">
        <f aca="false">Parcerias!$B$6</f>
        <v>0.3</v>
      </c>
      <c r="I10" s="19" t="str">
        <f aca="false">IF(OR(E10="",F10=""),"",E10*G10+F10*H10*Parcerias!$B$7)</f>
        <v/>
      </c>
      <c r="J10" s="16"/>
      <c r="K10" s="16"/>
      <c r="L10" s="16"/>
      <c r="M10" s="16"/>
    </row>
    <row r="11" customFormat="false" ht="15" hidden="false" customHeight="false" outlineLevel="0" collapsed="false">
      <c r="A11" s="16"/>
      <c r="B11" s="16"/>
      <c r="C11" s="16"/>
      <c r="D11" s="16"/>
      <c r="E11" s="17"/>
      <c r="F11" s="17"/>
      <c r="G11" s="18" t="n">
        <f aca="false">Parcerias!$B$5</f>
        <v>0.5</v>
      </c>
      <c r="H11" s="18" t="n">
        <f aca="false">Parcerias!$B$6</f>
        <v>0.3</v>
      </c>
      <c r="I11" s="19" t="str">
        <f aca="false">IF(OR(E11="",F11=""),"",E11*G11+F11*H11*Parcerias!$B$7)</f>
        <v/>
      </c>
      <c r="J11" s="16"/>
      <c r="K11" s="16"/>
      <c r="L11" s="16"/>
      <c r="M11" s="16"/>
    </row>
    <row r="12" customFormat="false" ht="15" hidden="false" customHeight="false" outlineLevel="0" collapsed="false">
      <c r="A12" s="16"/>
      <c r="B12" s="16"/>
      <c r="C12" s="16"/>
      <c r="D12" s="16"/>
      <c r="E12" s="17"/>
      <c r="F12" s="17"/>
      <c r="G12" s="18" t="n">
        <f aca="false">Parcerias!$B$5</f>
        <v>0.5</v>
      </c>
      <c r="H12" s="18" t="n">
        <f aca="false">Parcerias!$B$6</f>
        <v>0.3</v>
      </c>
      <c r="I12" s="19" t="str">
        <f aca="false">IF(OR(E12="",F12=""),"",E12*G12+F12*H12*Parcerias!$B$7)</f>
        <v/>
      </c>
      <c r="J12" s="16"/>
      <c r="K12" s="16"/>
      <c r="L12" s="16"/>
      <c r="M12" s="16"/>
    </row>
    <row r="13" customFormat="false" ht="15" hidden="false" customHeight="false" outlineLevel="0" collapsed="false">
      <c r="A13" s="16"/>
      <c r="B13" s="16"/>
      <c r="C13" s="16"/>
      <c r="D13" s="16"/>
      <c r="E13" s="17"/>
      <c r="F13" s="17"/>
      <c r="G13" s="18" t="n">
        <f aca="false">Parcerias!$B$5</f>
        <v>0.5</v>
      </c>
      <c r="H13" s="18" t="n">
        <f aca="false">Parcerias!$B$6</f>
        <v>0.3</v>
      </c>
      <c r="I13" s="19" t="str">
        <f aca="false">IF(OR(E13="",F13=""),"",E13*G13+F13*H13*Parcerias!$B$7)</f>
        <v/>
      </c>
      <c r="J13" s="16"/>
      <c r="K13" s="16"/>
      <c r="L13" s="16"/>
      <c r="M13" s="16"/>
    </row>
    <row r="14" customFormat="false" ht="15" hidden="false" customHeight="false" outlineLevel="0" collapsed="false">
      <c r="A14" s="16"/>
      <c r="B14" s="16"/>
      <c r="C14" s="16"/>
      <c r="D14" s="16"/>
      <c r="E14" s="17"/>
      <c r="F14" s="17"/>
      <c r="G14" s="18" t="n">
        <f aca="false">Parcerias!$B$5</f>
        <v>0.5</v>
      </c>
      <c r="H14" s="18" t="n">
        <f aca="false">Parcerias!$B$6</f>
        <v>0.3</v>
      </c>
      <c r="I14" s="19" t="str">
        <f aca="false">IF(OR(E14="",F14=""),"",E14*G14+F14*H14*Parcerias!$B$7)</f>
        <v/>
      </c>
      <c r="J14" s="16"/>
      <c r="K14" s="16"/>
      <c r="L14" s="16"/>
      <c r="M14" s="16"/>
    </row>
    <row r="15" customFormat="false" ht="15" hidden="false" customHeight="false" outlineLevel="0" collapsed="false">
      <c r="A15" s="16"/>
      <c r="B15" s="16"/>
      <c r="C15" s="16"/>
      <c r="D15" s="16"/>
      <c r="E15" s="17"/>
      <c r="F15" s="17"/>
      <c r="G15" s="18" t="n">
        <f aca="false">Parcerias!$B$5</f>
        <v>0.5</v>
      </c>
      <c r="H15" s="18" t="n">
        <f aca="false">Parcerias!$B$6</f>
        <v>0.3</v>
      </c>
      <c r="I15" s="19" t="str">
        <f aca="false">IF(OR(E15="",F15=""),"",E15*G15+F15*H15*Parcerias!$B$7)</f>
        <v/>
      </c>
      <c r="J15" s="16"/>
      <c r="K15" s="16"/>
      <c r="L15" s="16"/>
      <c r="M15" s="16"/>
    </row>
    <row r="16" customFormat="false" ht="15" hidden="false" customHeight="false" outlineLevel="0" collapsed="false">
      <c r="A16" s="16"/>
      <c r="B16" s="16"/>
      <c r="C16" s="16"/>
      <c r="D16" s="16"/>
      <c r="E16" s="17"/>
      <c r="F16" s="17"/>
      <c r="G16" s="18" t="n">
        <f aca="false">Parcerias!$B$5</f>
        <v>0.5</v>
      </c>
      <c r="H16" s="18" t="n">
        <f aca="false">Parcerias!$B$6</f>
        <v>0.3</v>
      </c>
      <c r="I16" s="19" t="str">
        <f aca="false">IF(OR(E16="",F16=""),"",E16*G16+F16*H16*Parcerias!$B$7)</f>
        <v/>
      </c>
      <c r="J16" s="16"/>
      <c r="K16" s="16"/>
      <c r="L16" s="16"/>
      <c r="M16" s="16"/>
    </row>
    <row r="17" customFormat="false" ht="15" hidden="false" customHeight="false" outlineLevel="0" collapsed="false">
      <c r="A17" s="16"/>
      <c r="B17" s="16"/>
      <c r="C17" s="16"/>
      <c r="D17" s="16"/>
      <c r="E17" s="17"/>
      <c r="F17" s="17"/>
      <c r="G17" s="18" t="n">
        <f aca="false">Parcerias!$B$5</f>
        <v>0.5</v>
      </c>
      <c r="H17" s="18" t="n">
        <f aca="false">Parcerias!$B$6</f>
        <v>0.3</v>
      </c>
      <c r="I17" s="19" t="str">
        <f aca="false">IF(OR(E17="",F17=""),"",E17*G17+F17*H17*Parcerias!$B$7)</f>
        <v/>
      </c>
      <c r="J17" s="16"/>
      <c r="K17" s="16"/>
      <c r="L17" s="16"/>
      <c r="M17" s="16"/>
    </row>
  </sheetData>
  <dataValidations count="3">
    <dataValidation allowBlank="true" errorStyle="stop" operator="between" showDropDown="false" showErrorMessage="false" showInputMessage="false" sqref="D5:D17" type="list">
      <formula1>"EAD,Presencial,Híbrido"</formula1>
      <formula2>0</formula2>
    </dataValidation>
    <dataValidation allowBlank="true" errorStyle="stop" operator="between" showDropDown="false" showErrorMessage="false" showInputMessage="false" sqref="L5:L17" type="list">
      <formula1>"Não contatada,Conversando,Proposta enviada,Fechada,Descartada"</formula1>
      <formula2>0</formula2>
    </dataValidation>
    <dataValidation allowBlank="true" errorStyle="stop" operator="between" showDropDown="false" showErrorMessage="false" showInputMessage="false" sqref="J5:J17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5309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50"/>
    <col collapsed="false" customWidth="true" hidden="false" outlineLevel="0" max="4" min="4" style="0" width="38"/>
    <col collapsed="false" customWidth="true" hidden="false" outlineLevel="0" max="5" min="5" style="0" width="11"/>
    <col collapsed="false" customWidth="true" hidden="false" outlineLevel="0" max="6" min="6" style="0" width="46"/>
    <col collapsed="false" customWidth="true" hidden="false" outlineLevel="0" max="7" min="7" style="0" width="30"/>
    <col collapsed="false" customWidth="true" hidden="false" outlineLevel="0" max="8" min="8" style="0" width="18"/>
  </cols>
  <sheetData>
    <row r="1" customFormat="false" ht="17.35" hidden="false" customHeight="false" outlineLevel="0" collapsed="false">
      <c r="A1" s="1" t="s">
        <v>227</v>
      </c>
    </row>
    <row r="2" customFormat="false" ht="15" hidden="false" customHeight="false" outlineLevel="0" collapsed="false">
      <c r="A2" s="2" t="s">
        <v>228</v>
      </c>
    </row>
    <row r="4" customFormat="false" ht="31.5" hidden="false" customHeight="true" outlineLevel="0" collapsed="false">
      <c r="A4" s="8" t="s">
        <v>229</v>
      </c>
      <c r="B4" s="8" t="s">
        <v>230</v>
      </c>
      <c r="C4" s="8" t="s">
        <v>203</v>
      </c>
      <c r="D4" s="8" t="s">
        <v>231</v>
      </c>
      <c r="E4" s="8" t="s">
        <v>232</v>
      </c>
      <c r="F4" s="8" t="s">
        <v>233</v>
      </c>
      <c r="G4" s="8" t="s">
        <v>234</v>
      </c>
      <c r="H4" s="8" t="s">
        <v>208</v>
      </c>
    </row>
    <row r="5" customFormat="false" ht="15" hidden="false" customHeight="false" outlineLevel="0" collapsed="false">
      <c r="A5" s="13" t="n">
        <v>1</v>
      </c>
      <c r="B5" s="7" t="s">
        <v>235</v>
      </c>
      <c r="C5" s="7" t="s">
        <v>236</v>
      </c>
      <c r="D5" s="7" t="s">
        <v>237</v>
      </c>
      <c r="E5" s="13" t="n">
        <v>10</v>
      </c>
      <c r="F5" s="7" t="s">
        <v>238</v>
      </c>
      <c r="G5" s="16"/>
      <c r="H5" s="12" t="s">
        <v>239</v>
      </c>
    </row>
    <row r="6" customFormat="false" ht="15" hidden="false" customHeight="false" outlineLevel="0" collapsed="false">
      <c r="A6" s="13" t="n">
        <v>2</v>
      </c>
      <c r="B6" s="7" t="s">
        <v>240</v>
      </c>
      <c r="C6" s="7" t="s">
        <v>241</v>
      </c>
      <c r="D6" s="7" t="s">
        <v>237</v>
      </c>
      <c r="E6" s="13" t="n">
        <v>20</v>
      </c>
      <c r="F6" s="7" t="s">
        <v>238</v>
      </c>
      <c r="G6" s="16"/>
      <c r="H6" s="12" t="s">
        <v>239</v>
      </c>
    </row>
    <row r="7" customFormat="false" ht="15" hidden="false" customHeight="false" outlineLevel="0" collapsed="false">
      <c r="A7" s="13" t="n">
        <v>3</v>
      </c>
      <c r="B7" s="7" t="s">
        <v>240</v>
      </c>
      <c r="C7" s="7" t="s">
        <v>242</v>
      </c>
      <c r="D7" s="7" t="s">
        <v>237</v>
      </c>
      <c r="E7" s="13" t="n">
        <v>8</v>
      </c>
      <c r="F7" s="7" t="s">
        <v>238</v>
      </c>
      <c r="G7" s="16"/>
      <c r="H7" s="12" t="s">
        <v>239</v>
      </c>
    </row>
    <row r="8" customFormat="false" ht="15" hidden="false" customHeight="false" outlineLevel="0" collapsed="false">
      <c r="A8" s="13" t="n">
        <v>4</v>
      </c>
      <c r="B8" s="7" t="s">
        <v>240</v>
      </c>
      <c r="C8" s="7" t="s">
        <v>243</v>
      </c>
      <c r="D8" s="7" t="s">
        <v>237</v>
      </c>
      <c r="E8" s="13" t="n">
        <v>20</v>
      </c>
      <c r="F8" s="7" t="s">
        <v>238</v>
      </c>
      <c r="G8" s="16"/>
      <c r="H8" s="12" t="s">
        <v>239</v>
      </c>
    </row>
    <row r="9" customFormat="false" ht="15" hidden="false" customHeight="false" outlineLevel="0" collapsed="false">
      <c r="A9" s="13" t="n">
        <v>5</v>
      </c>
      <c r="B9" s="7" t="s">
        <v>240</v>
      </c>
      <c r="C9" s="7" t="s">
        <v>244</v>
      </c>
      <c r="D9" s="7" t="s">
        <v>237</v>
      </c>
      <c r="E9" s="13" t="n">
        <v>20</v>
      </c>
      <c r="F9" s="7" t="s">
        <v>238</v>
      </c>
      <c r="G9" s="16"/>
      <c r="H9" s="12" t="s">
        <v>239</v>
      </c>
    </row>
    <row r="10" customFormat="false" ht="15" hidden="false" customHeight="false" outlineLevel="0" collapsed="false">
      <c r="A10" s="13" t="n">
        <v>6</v>
      </c>
      <c r="B10" s="7" t="s">
        <v>240</v>
      </c>
      <c r="C10" s="7" t="s">
        <v>245</v>
      </c>
      <c r="D10" s="7" t="s">
        <v>237</v>
      </c>
      <c r="E10" s="13" t="n">
        <v>12</v>
      </c>
      <c r="F10" s="7" t="s">
        <v>238</v>
      </c>
      <c r="G10" s="16"/>
      <c r="H10" s="12" t="s">
        <v>239</v>
      </c>
    </row>
    <row r="11" customFormat="false" ht="15" hidden="false" customHeight="false" outlineLevel="0" collapsed="false">
      <c r="A11" s="13" t="n">
        <v>7</v>
      </c>
      <c r="B11" s="7" t="s">
        <v>246</v>
      </c>
      <c r="C11" s="7" t="s">
        <v>247</v>
      </c>
      <c r="D11" s="7" t="s">
        <v>237</v>
      </c>
      <c r="E11" s="13" t="n">
        <v>10</v>
      </c>
      <c r="F11" s="7" t="s">
        <v>238</v>
      </c>
      <c r="G11" s="16"/>
      <c r="H11" s="12" t="s">
        <v>239</v>
      </c>
    </row>
    <row r="12" customFormat="false" ht="15" hidden="false" customHeight="false" outlineLevel="0" collapsed="false">
      <c r="A12" s="13" t="n">
        <v>8</v>
      </c>
      <c r="B12" s="7" t="s">
        <v>246</v>
      </c>
      <c r="C12" s="7" t="s">
        <v>248</v>
      </c>
      <c r="D12" s="7" t="s">
        <v>249</v>
      </c>
      <c r="E12" s="13" t="n">
        <v>40</v>
      </c>
      <c r="F12" s="7" t="s">
        <v>250</v>
      </c>
      <c r="G12" s="16"/>
      <c r="H12" s="12" t="s">
        <v>239</v>
      </c>
    </row>
    <row r="13" customFormat="false" ht="23.85" hidden="false" customHeight="false" outlineLevel="0" collapsed="false">
      <c r="A13" s="13" t="n">
        <v>9</v>
      </c>
      <c r="B13" s="7" t="s">
        <v>246</v>
      </c>
      <c r="C13" s="7" t="s">
        <v>251</v>
      </c>
      <c r="D13" s="7" t="s">
        <v>249</v>
      </c>
      <c r="E13" s="13" t="s">
        <v>252</v>
      </c>
      <c r="F13" s="7" t="s">
        <v>250</v>
      </c>
      <c r="G13" s="16"/>
      <c r="H13" s="12" t="s">
        <v>239</v>
      </c>
    </row>
    <row r="14" customFormat="false" ht="23.85" hidden="false" customHeight="false" outlineLevel="0" collapsed="false">
      <c r="A14" s="13" t="n">
        <v>10</v>
      </c>
      <c r="B14" s="7" t="s">
        <v>246</v>
      </c>
      <c r="C14" s="7" t="s">
        <v>253</v>
      </c>
      <c r="D14" s="7" t="s">
        <v>249</v>
      </c>
      <c r="E14" s="13" t="s">
        <v>252</v>
      </c>
      <c r="F14" s="7" t="s">
        <v>250</v>
      </c>
      <c r="G14" s="16"/>
      <c r="H14" s="12" t="s">
        <v>239</v>
      </c>
    </row>
    <row r="15" customFormat="false" ht="23.85" hidden="false" customHeight="false" outlineLevel="0" collapsed="false">
      <c r="A15" s="13" t="n">
        <v>11</v>
      </c>
      <c r="B15" s="7" t="s">
        <v>246</v>
      </c>
      <c r="C15" s="7" t="s">
        <v>254</v>
      </c>
      <c r="D15" s="7" t="s">
        <v>249</v>
      </c>
      <c r="E15" s="13" t="s">
        <v>252</v>
      </c>
      <c r="F15" s="7" t="s">
        <v>250</v>
      </c>
      <c r="G15" s="16"/>
      <c r="H15" s="12" t="s">
        <v>239</v>
      </c>
    </row>
    <row r="16" customFormat="false" ht="23.85" hidden="false" customHeight="false" outlineLevel="0" collapsed="false">
      <c r="A16" s="13" t="n">
        <v>12</v>
      </c>
      <c r="B16" s="7" t="s">
        <v>246</v>
      </c>
      <c r="C16" s="7" t="s">
        <v>255</v>
      </c>
      <c r="D16" s="7" t="s">
        <v>249</v>
      </c>
      <c r="E16" s="13" t="s">
        <v>252</v>
      </c>
      <c r="F16" s="7" t="s">
        <v>250</v>
      </c>
      <c r="G16" s="16"/>
      <c r="H16" s="12" t="s">
        <v>239</v>
      </c>
    </row>
    <row r="17" customFormat="false" ht="23.85" hidden="false" customHeight="false" outlineLevel="0" collapsed="false">
      <c r="A17" s="13" t="n">
        <v>13</v>
      </c>
      <c r="B17" s="7" t="s">
        <v>246</v>
      </c>
      <c r="C17" s="7" t="s">
        <v>256</v>
      </c>
      <c r="D17" s="7" t="s">
        <v>249</v>
      </c>
      <c r="E17" s="13" t="s">
        <v>252</v>
      </c>
      <c r="F17" s="7" t="s">
        <v>250</v>
      </c>
      <c r="G17" s="16"/>
      <c r="H17" s="12" t="s">
        <v>239</v>
      </c>
    </row>
    <row r="18" customFormat="false" ht="23.85" hidden="false" customHeight="false" outlineLevel="0" collapsed="false">
      <c r="A18" s="13" t="n">
        <v>14</v>
      </c>
      <c r="B18" s="7" t="s">
        <v>246</v>
      </c>
      <c r="C18" s="7" t="s">
        <v>257</v>
      </c>
      <c r="D18" s="7" t="s">
        <v>249</v>
      </c>
      <c r="E18" s="13" t="s">
        <v>252</v>
      </c>
      <c r="F18" s="7" t="s">
        <v>250</v>
      </c>
      <c r="G18" s="16"/>
      <c r="H18" s="12" t="s">
        <v>239</v>
      </c>
    </row>
    <row r="19" customFormat="false" ht="23.85" hidden="false" customHeight="false" outlineLevel="0" collapsed="false">
      <c r="A19" s="13" t="n">
        <v>15</v>
      </c>
      <c r="B19" s="7" t="s">
        <v>246</v>
      </c>
      <c r="C19" s="7" t="s">
        <v>258</v>
      </c>
      <c r="D19" s="7" t="s">
        <v>249</v>
      </c>
      <c r="E19" s="13" t="s">
        <v>252</v>
      </c>
      <c r="F19" s="7" t="s">
        <v>250</v>
      </c>
      <c r="G19" s="16"/>
      <c r="H19" s="12" t="s">
        <v>239</v>
      </c>
    </row>
    <row r="20" customFormat="false" ht="15" hidden="false" customHeight="false" outlineLevel="0" collapsed="false">
      <c r="A20" s="13" t="n">
        <v>16</v>
      </c>
      <c r="B20" s="7" t="s">
        <v>246</v>
      </c>
      <c r="C20" s="7" t="s">
        <v>259</v>
      </c>
      <c r="D20" s="7" t="s">
        <v>237</v>
      </c>
      <c r="E20" s="13" t="n">
        <v>30</v>
      </c>
      <c r="F20" s="7" t="s">
        <v>238</v>
      </c>
      <c r="G20" s="16"/>
      <c r="H20" s="12" t="s">
        <v>239</v>
      </c>
    </row>
    <row r="21" customFormat="false" ht="23.85" hidden="false" customHeight="false" outlineLevel="0" collapsed="false">
      <c r="A21" s="13" t="n">
        <v>17</v>
      </c>
      <c r="B21" s="7" t="s">
        <v>260</v>
      </c>
      <c r="C21" s="7" t="s">
        <v>261</v>
      </c>
      <c r="D21" s="7" t="s">
        <v>249</v>
      </c>
      <c r="E21" s="13" t="s">
        <v>252</v>
      </c>
      <c r="F21" s="7" t="s">
        <v>250</v>
      </c>
      <c r="G21" s="16"/>
      <c r="H21" s="12" t="s">
        <v>239</v>
      </c>
    </row>
    <row r="22" customFormat="false" ht="23.85" hidden="false" customHeight="false" outlineLevel="0" collapsed="false">
      <c r="A22" s="13" t="n">
        <v>18</v>
      </c>
      <c r="B22" s="7" t="s">
        <v>260</v>
      </c>
      <c r="C22" s="7" t="s">
        <v>262</v>
      </c>
      <c r="D22" s="7" t="s">
        <v>249</v>
      </c>
      <c r="E22" s="13" t="s">
        <v>252</v>
      </c>
      <c r="F22" s="7" t="s">
        <v>250</v>
      </c>
      <c r="G22" s="16"/>
      <c r="H22" s="12" t="s">
        <v>239</v>
      </c>
    </row>
    <row r="23" customFormat="false" ht="23.85" hidden="false" customHeight="false" outlineLevel="0" collapsed="false">
      <c r="A23" s="13" t="n">
        <v>19</v>
      </c>
      <c r="B23" s="7" t="s">
        <v>260</v>
      </c>
      <c r="C23" s="7" t="s">
        <v>263</v>
      </c>
      <c r="D23" s="7" t="s">
        <v>249</v>
      </c>
      <c r="E23" s="13" t="s">
        <v>252</v>
      </c>
      <c r="F23" s="7" t="s">
        <v>250</v>
      </c>
      <c r="G23" s="16"/>
      <c r="H23" s="12" t="s">
        <v>239</v>
      </c>
    </row>
    <row r="24" customFormat="false" ht="15" hidden="false" customHeight="false" outlineLevel="0" collapsed="false">
      <c r="A24" s="13" t="n">
        <v>20</v>
      </c>
      <c r="B24" s="7" t="s">
        <v>260</v>
      </c>
      <c r="C24" s="7" t="s">
        <v>264</v>
      </c>
      <c r="D24" s="7" t="s">
        <v>237</v>
      </c>
      <c r="E24" s="13" t="n">
        <v>40</v>
      </c>
      <c r="F24" s="7" t="s">
        <v>238</v>
      </c>
      <c r="G24" s="16"/>
      <c r="H24" s="12" t="s">
        <v>239</v>
      </c>
    </row>
    <row r="25" customFormat="false" ht="15" hidden="false" customHeight="false" outlineLevel="0" collapsed="false">
      <c r="A25" s="13" t="n">
        <v>21</v>
      </c>
      <c r="B25" s="7" t="s">
        <v>260</v>
      </c>
      <c r="C25" s="7" t="s">
        <v>265</v>
      </c>
      <c r="D25" s="7" t="s">
        <v>237</v>
      </c>
      <c r="E25" s="13" t="n">
        <v>8</v>
      </c>
      <c r="F25" s="7" t="s">
        <v>238</v>
      </c>
      <c r="G25" s="16"/>
      <c r="H25" s="12" t="s">
        <v>239</v>
      </c>
    </row>
    <row r="26" customFormat="false" ht="15" hidden="false" customHeight="false" outlineLevel="0" collapsed="false">
      <c r="A26" s="13" t="n">
        <v>22</v>
      </c>
      <c r="B26" s="7" t="s">
        <v>266</v>
      </c>
      <c r="C26" s="7" t="s">
        <v>267</v>
      </c>
      <c r="D26" s="7" t="s">
        <v>237</v>
      </c>
      <c r="E26" s="13" t="n">
        <v>12</v>
      </c>
      <c r="F26" s="7" t="s">
        <v>238</v>
      </c>
      <c r="G26" s="16"/>
      <c r="H26" s="12" t="s">
        <v>239</v>
      </c>
    </row>
    <row r="27" customFormat="false" ht="15" hidden="false" customHeight="false" outlineLevel="0" collapsed="false">
      <c r="A27" s="13" t="n">
        <v>23</v>
      </c>
      <c r="B27" s="7" t="s">
        <v>266</v>
      </c>
      <c r="C27" s="7" t="s">
        <v>268</v>
      </c>
      <c r="D27" s="7" t="s">
        <v>237</v>
      </c>
      <c r="E27" s="13" t="n">
        <v>12</v>
      </c>
      <c r="F27" s="7" t="s">
        <v>238</v>
      </c>
      <c r="G27" s="16"/>
      <c r="H27" s="12" t="s">
        <v>239</v>
      </c>
    </row>
    <row r="28" customFormat="false" ht="15" hidden="false" customHeight="false" outlineLevel="0" collapsed="false">
      <c r="A28" s="13" t="n">
        <v>24</v>
      </c>
      <c r="B28" s="7" t="s">
        <v>266</v>
      </c>
      <c r="C28" s="7" t="s">
        <v>269</v>
      </c>
      <c r="D28" s="7" t="s">
        <v>237</v>
      </c>
      <c r="E28" s="13" t="n">
        <v>12</v>
      </c>
      <c r="F28" s="7" t="s">
        <v>238</v>
      </c>
      <c r="G28" s="16"/>
      <c r="H28" s="12" t="s">
        <v>239</v>
      </c>
    </row>
    <row r="29" customFormat="false" ht="23.85" hidden="false" customHeight="false" outlineLevel="0" collapsed="false">
      <c r="A29" s="13" t="n">
        <v>25</v>
      </c>
      <c r="B29" s="7" t="s">
        <v>266</v>
      </c>
      <c r="C29" s="7" t="s">
        <v>270</v>
      </c>
      <c r="D29" s="7" t="s">
        <v>249</v>
      </c>
      <c r="E29" s="13" t="s">
        <v>252</v>
      </c>
      <c r="F29" s="7" t="s">
        <v>250</v>
      </c>
      <c r="G29" s="16"/>
      <c r="H29" s="12" t="s">
        <v>239</v>
      </c>
    </row>
    <row r="30" customFormat="false" ht="15" hidden="false" customHeight="false" outlineLevel="0" collapsed="false">
      <c r="A30" s="13" t="n">
        <v>26</v>
      </c>
      <c r="B30" s="7" t="s">
        <v>271</v>
      </c>
      <c r="C30" s="7" t="s">
        <v>272</v>
      </c>
      <c r="D30" s="7" t="s">
        <v>237</v>
      </c>
      <c r="E30" s="13" t="n">
        <v>12</v>
      </c>
      <c r="F30" s="7" t="s">
        <v>238</v>
      </c>
      <c r="G30" s="16"/>
      <c r="H30" s="12" t="s">
        <v>239</v>
      </c>
    </row>
    <row r="31" customFormat="false" ht="15" hidden="false" customHeight="false" outlineLevel="0" collapsed="false">
      <c r="A31" s="13" t="n">
        <v>27</v>
      </c>
      <c r="B31" s="7" t="s">
        <v>271</v>
      </c>
      <c r="C31" s="7" t="s">
        <v>273</v>
      </c>
      <c r="D31" s="7" t="s">
        <v>237</v>
      </c>
      <c r="E31" s="13" t="n">
        <v>20</v>
      </c>
      <c r="F31" s="7" t="s">
        <v>238</v>
      </c>
      <c r="G31" s="16"/>
      <c r="H31" s="12" t="s">
        <v>239</v>
      </c>
    </row>
    <row r="32" customFormat="false" ht="23.85" hidden="false" customHeight="false" outlineLevel="0" collapsed="false">
      <c r="A32" s="13" t="n">
        <v>28</v>
      </c>
      <c r="B32" s="7" t="s">
        <v>271</v>
      </c>
      <c r="C32" s="7" t="s">
        <v>274</v>
      </c>
      <c r="D32" s="7" t="s">
        <v>249</v>
      </c>
      <c r="E32" s="13" t="s">
        <v>252</v>
      </c>
      <c r="F32" s="7" t="s">
        <v>250</v>
      </c>
      <c r="G32" s="16"/>
      <c r="H32" s="12" t="s">
        <v>239</v>
      </c>
    </row>
    <row r="33" customFormat="false" ht="15" hidden="false" customHeight="false" outlineLevel="0" collapsed="false">
      <c r="A33" s="13" t="n">
        <v>29</v>
      </c>
      <c r="B33" s="7" t="s">
        <v>271</v>
      </c>
      <c r="C33" s="7" t="s">
        <v>275</v>
      </c>
      <c r="D33" s="7" t="s">
        <v>237</v>
      </c>
      <c r="E33" s="13" t="n">
        <v>40</v>
      </c>
      <c r="F33" s="7" t="s">
        <v>238</v>
      </c>
      <c r="G33" s="16"/>
      <c r="H33" s="12" t="s">
        <v>239</v>
      </c>
    </row>
    <row r="34" customFormat="false" ht="15" hidden="false" customHeight="false" outlineLevel="0" collapsed="false">
      <c r="A34" s="13" t="n">
        <v>30</v>
      </c>
      <c r="B34" s="7" t="s">
        <v>276</v>
      </c>
      <c r="C34" s="7" t="s">
        <v>277</v>
      </c>
      <c r="D34" s="7" t="s">
        <v>237</v>
      </c>
      <c r="E34" s="13" t="n">
        <v>20</v>
      </c>
      <c r="F34" s="7" t="s">
        <v>238</v>
      </c>
      <c r="G34" s="16"/>
      <c r="H34" s="12" t="s">
        <v>239</v>
      </c>
    </row>
    <row r="35" customFormat="false" ht="23.85" hidden="false" customHeight="false" outlineLevel="0" collapsed="false">
      <c r="A35" s="13" t="n">
        <v>31</v>
      </c>
      <c r="B35" s="7" t="s">
        <v>276</v>
      </c>
      <c r="C35" s="7" t="s">
        <v>278</v>
      </c>
      <c r="D35" s="7" t="s">
        <v>249</v>
      </c>
      <c r="E35" s="13" t="s">
        <v>252</v>
      </c>
      <c r="F35" s="7" t="s">
        <v>250</v>
      </c>
      <c r="G35" s="16"/>
      <c r="H35" s="12" t="s">
        <v>239</v>
      </c>
    </row>
  </sheetData>
  <autoFilter ref="A4:H35"/>
  <dataValidations count="1">
    <dataValidation allowBlank="true" errorStyle="stop" operator="between" showDropDown="false" showErrorMessage="false" showInputMessage="false" sqref="H5:H35" type="list">
      <formula1>"Sem parceiro,Conversando,Fechado"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6B3C"/>
    <pageSetUpPr fitToPage="true"/>
  </sheetPr>
  <dimension ref="A1:J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50"/>
    <col collapsed="false" customWidth="true" hidden="false" outlineLevel="0" max="4" min="4" style="0" width="11"/>
    <col collapsed="false" customWidth="true" hidden="false" outlineLevel="0" max="5" min="5" style="0" width="50"/>
    <col collapsed="false" customWidth="true" hidden="false" outlineLevel="0" max="7" min="6" style="0" width="11"/>
    <col collapsed="false" customWidth="true" hidden="false" outlineLevel="0" max="8" min="8" style="0" width="13"/>
    <col collapsed="false" customWidth="true" hidden="false" outlineLevel="0" max="10" min="9" style="0" width="11"/>
  </cols>
  <sheetData>
    <row r="1" customFormat="false" ht="17.35" hidden="false" customHeight="false" outlineLevel="0" collapsed="false">
      <c r="A1" s="1" t="s">
        <v>279</v>
      </c>
    </row>
    <row r="2" customFormat="false" ht="15" hidden="false" customHeight="false" outlineLevel="0" collapsed="false">
      <c r="A2" s="2" t="s">
        <v>280</v>
      </c>
    </row>
    <row r="3" customFormat="false" ht="15" hidden="false" customHeight="false" outlineLevel="0" collapsed="false">
      <c r="B3" s="20" t="s">
        <v>281</v>
      </c>
      <c r="C3" s="21" t="n">
        <f aca="false">COUNTA(C8:C300)</f>
        <v>71</v>
      </c>
    </row>
    <row r="4" customFormat="false" ht="23.85" hidden="false" customHeight="false" outlineLevel="0" collapsed="false">
      <c r="B4" s="20" t="s">
        <v>282</v>
      </c>
      <c r="C4" s="21" t="n">
        <f aca="false">'Catálogo por região'!C3</f>
        <v>200</v>
      </c>
    </row>
    <row r="5" customFormat="false" ht="57.45" hidden="false" customHeight="false" outlineLevel="0" collapsed="false">
      <c r="B5" s="22" t="s">
        <v>283</v>
      </c>
    </row>
    <row r="7" customFormat="false" ht="31.5" hidden="false" customHeight="true" outlineLevel="0" collapsed="false">
      <c r="A7" s="8" t="s">
        <v>229</v>
      </c>
      <c r="B7" s="8" t="s">
        <v>230</v>
      </c>
      <c r="C7" s="8" t="s">
        <v>203</v>
      </c>
      <c r="D7" s="8" t="s">
        <v>232</v>
      </c>
      <c r="E7" s="8" t="s">
        <v>284</v>
      </c>
      <c r="F7" s="8" t="s">
        <v>285</v>
      </c>
      <c r="G7" s="8" t="s">
        <v>286</v>
      </c>
      <c r="H7" s="8" t="s">
        <v>287</v>
      </c>
      <c r="I7" s="8" t="s">
        <v>288</v>
      </c>
      <c r="J7" s="8" t="s">
        <v>289</v>
      </c>
    </row>
    <row r="8" customFormat="false" ht="15" hidden="false" customHeight="false" outlineLevel="0" collapsed="false">
      <c r="A8" s="13" t="n">
        <v>1</v>
      </c>
      <c r="B8" s="7" t="s">
        <v>290</v>
      </c>
      <c r="C8" s="7" t="s">
        <v>291</v>
      </c>
      <c r="D8" s="13" t="n">
        <v>6</v>
      </c>
      <c r="E8" s="7" t="s">
        <v>292</v>
      </c>
      <c r="F8" s="13" t="str">
        <f aca="false">INDEX(Prioridade!$B$5:$J$9,MATCH(F$7,Prioridade!$A$5:$A$9,0),MATCH($B8,Prioridade!$B$4:$J$4,0))</f>
        <v>Média</v>
      </c>
      <c r="G8" s="13" t="str">
        <f aca="false">INDEX(Prioridade!$B$5:$J$9,MATCH(G$7,Prioridade!$A$5:$A$9,0),MATCH($B8,Prioridade!$B$4:$J$4,0))</f>
        <v>Alta</v>
      </c>
      <c r="H8" s="13" t="str">
        <f aca="false">INDEX(Prioridade!$B$5:$J$9,MATCH(H$7,Prioridade!$A$5:$A$9,0),MATCH($B8,Prioridade!$B$4:$J$4,0))</f>
        <v>Média</v>
      </c>
      <c r="I8" s="13" t="str">
        <f aca="false">INDEX(Prioridade!$B$5:$J$9,MATCH(I$7,Prioridade!$A$5:$A$9,0),MATCH($B8,Prioridade!$B$4:$J$4,0))</f>
        <v>Alta</v>
      </c>
      <c r="J8" s="13" t="str">
        <f aca="false">INDEX(Prioridade!$B$5:$J$9,MATCH(J$7,Prioridade!$A$5:$A$9,0),MATCH($B8,Prioridade!$B$4:$J$4,0))</f>
        <v>Média</v>
      </c>
    </row>
    <row r="9" customFormat="false" ht="15" hidden="false" customHeight="false" outlineLevel="0" collapsed="false">
      <c r="A9" s="13" t="n">
        <v>2</v>
      </c>
      <c r="B9" s="7" t="s">
        <v>290</v>
      </c>
      <c r="C9" s="7" t="s">
        <v>293</v>
      </c>
      <c r="D9" s="13" t="n">
        <v>8</v>
      </c>
      <c r="E9" s="7" t="s">
        <v>294</v>
      </c>
      <c r="F9" s="13" t="str">
        <f aca="false">INDEX(Prioridade!$B$5:$J$9,MATCH(F$7,Prioridade!$A$5:$A$9,0),MATCH($B9,Prioridade!$B$4:$J$4,0))</f>
        <v>Média</v>
      </c>
      <c r="G9" s="13" t="str">
        <f aca="false">INDEX(Prioridade!$B$5:$J$9,MATCH(G$7,Prioridade!$A$5:$A$9,0),MATCH($B9,Prioridade!$B$4:$J$4,0))</f>
        <v>Alta</v>
      </c>
      <c r="H9" s="13" t="str">
        <f aca="false">INDEX(Prioridade!$B$5:$J$9,MATCH(H$7,Prioridade!$A$5:$A$9,0),MATCH($B9,Prioridade!$B$4:$J$4,0))</f>
        <v>Média</v>
      </c>
      <c r="I9" s="13" t="str">
        <f aca="false">INDEX(Prioridade!$B$5:$J$9,MATCH(I$7,Prioridade!$A$5:$A$9,0),MATCH($B9,Prioridade!$B$4:$J$4,0))</f>
        <v>Alta</v>
      </c>
      <c r="J9" s="13" t="str">
        <f aca="false">INDEX(Prioridade!$B$5:$J$9,MATCH(J$7,Prioridade!$A$5:$A$9,0),MATCH($B9,Prioridade!$B$4:$J$4,0))</f>
        <v>Média</v>
      </c>
    </row>
    <row r="10" customFormat="false" ht="15" hidden="false" customHeight="false" outlineLevel="0" collapsed="false">
      <c r="A10" s="13" t="n">
        <v>3</v>
      </c>
      <c r="B10" s="7" t="s">
        <v>290</v>
      </c>
      <c r="C10" s="7" t="s">
        <v>295</v>
      </c>
      <c r="D10" s="13" t="n">
        <v>4</v>
      </c>
      <c r="E10" s="7" t="s">
        <v>296</v>
      </c>
      <c r="F10" s="13" t="str">
        <f aca="false">INDEX(Prioridade!$B$5:$J$9,MATCH(F$7,Prioridade!$A$5:$A$9,0),MATCH($B10,Prioridade!$B$4:$J$4,0))</f>
        <v>Média</v>
      </c>
      <c r="G10" s="13" t="str">
        <f aca="false">INDEX(Prioridade!$B$5:$J$9,MATCH(G$7,Prioridade!$A$5:$A$9,0),MATCH($B10,Prioridade!$B$4:$J$4,0))</f>
        <v>Alta</v>
      </c>
      <c r="H10" s="13" t="str">
        <f aca="false">INDEX(Prioridade!$B$5:$J$9,MATCH(H$7,Prioridade!$A$5:$A$9,0),MATCH($B10,Prioridade!$B$4:$J$4,0))</f>
        <v>Média</v>
      </c>
      <c r="I10" s="13" t="str">
        <f aca="false">INDEX(Prioridade!$B$5:$J$9,MATCH(I$7,Prioridade!$A$5:$A$9,0),MATCH($B10,Prioridade!$B$4:$J$4,0))</f>
        <v>Alta</v>
      </c>
      <c r="J10" s="13" t="str">
        <f aca="false">INDEX(Prioridade!$B$5:$J$9,MATCH(J$7,Prioridade!$A$5:$A$9,0),MATCH($B10,Prioridade!$B$4:$J$4,0))</f>
        <v>Média</v>
      </c>
    </row>
    <row r="11" customFormat="false" ht="15" hidden="false" customHeight="false" outlineLevel="0" collapsed="false">
      <c r="A11" s="13" t="n">
        <v>4</v>
      </c>
      <c r="B11" s="7" t="s">
        <v>290</v>
      </c>
      <c r="C11" s="7" t="s">
        <v>297</v>
      </c>
      <c r="D11" s="13" t="n">
        <v>8</v>
      </c>
      <c r="E11" s="7" t="s">
        <v>298</v>
      </c>
      <c r="F11" s="13" t="str">
        <f aca="false">INDEX(Prioridade!$B$5:$J$9,MATCH(F$7,Prioridade!$A$5:$A$9,0),MATCH($B11,Prioridade!$B$4:$J$4,0))</f>
        <v>Média</v>
      </c>
      <c r="G11" s="13" t="str">
        <f aca="false">INDEX(Prioridade!$B$5:$J$9,MATCH(G$7,Prioridade!$A$5:$A$9,0),MATCH($B11,Prioridade!$B$4:$J$4,0))</f>
        <v>Alta</v>
      </c>
      <c r="H11" s="13" t="str">
        <f aca="false">INDEX(Prioridade!$B$5:$J$9,MATCH(H$7,Prioridade!$A$5:$A$9,0),MATCH($B11,Prioridade!$B$4:$J$4,0))</f>
        <v>Média</v>
      </c>
      <c r="I11" s="13" t="str">
        <f aca="false">INDEX(Prioridade!$B$5:$J$9,MATCH(I$7,Prioridade!$A$5:$A$9,0),MATCH($B11,Prioridade!$B$4:$J$4,0))</f>
        <v>Alta</v>
      </c>
      <c r="J11" s="13" t="str">
        <f aca="false">INDEX(Prioridade!$B$5:$J$9,MATCH(J$7,Prioridade!$A$5:$A$9,0),MATCH($B11,Prioridade!$B$4:$J$4,0))</f>
        <v>Média</v>
      </c>
    </row>
    <row r="12" customFormat="false" ht="15" hidden="false" customHeight="false" outlineLevel="0" collapsed="false">
      <c r="A12" s="13" t="n">
        <v>5</v>
      </c>
      <c r="B12" s="7" t="s">
        <v>290</v>
      </c>
      <c r="C12" s="7" t="s">
        <v>299</v>
      </c>
      <c r="D12" s="13" t="n">
        <v>4</v>
      </c>
      <c r="E12" s="7" t="s">
        <v>300</v>
      </c>
      <c r="F12" s="13" t="str">
        <f aca="false">INDEX(Prioridade!$B$5:$J$9,MATCH(F$7,Prioridade!$A$5:$A$9,0),MATCH($B12,Prioridade!$B$4:$J$4,0))</f>
        <v>Média</v>
      </c>
      <c r="G12" s="13" t="str">
        <f aca="false">INDEX(Prioridade!$B$5:$J$9,MATCH(G$7,Prioridade!$A$5:$A$9,0),MATCH($B12,Prioridade!$B$4:$J$4,0))</f>
        <v>Alta</v>
      </c>
      <c r="H12" s="13" t="str">
        <f aca="false">INDEX(Prioridade!$B$5:$J$9,MATCH(H$7,Prioridade!$A$5:$A$9,0),MATCH($B12,Prioridade!$B$4:$J$4,0))</f>
        <v>Média</v>
      </c>
      <c r="I12" s="13" t="str">
        <f aca="false">INDEX(Prioridade!$B$5:$J$9,MATCH(I$7,Prioridade!$A$5:$A$9,0),MATCH($B12,Prioridade!$B$4:$J$4,0))</f>
        <v>Alta</v>
      </c>
      <c r="J12" s="13" t="str">
        <f aca="false">INDEX(Prioridade!$B$5:$J$9,MATCH(J$7,Prioridade!$A$5:$A$9,0),MATCH($B12,Prioridade!$B$4:$J$4,0))</f>
        <v>Média</v>
      </c>
    </row>
    <row r="13" customFormat="false" ht="15" hidden="false" customHeight="false" outlineLevel="0" collapsed="false">
      <c r="A13" s="13" t="n">
        <v>6</v>
      </c>
      <c r="B13" s="7" t="s">
        <v>290</v>
      </c>
      <c r="C13" s="7" t="s">
        <v>301</v>
      </c>
      <c r="D13" s="13" t="n">
        <v>3</v>
      </c>
      <c r="E13" s="7" t="s">
        <v>302</v>
      </c>
      <c r="F13" s="13" t="str">
        <f aca="false">INDEX(Prioridade!$B$5:$J$9,MATCH(F$7,Prioridade!$A$5:$A$9,0),MATCH($B13,Prioridade!$B$4:$J$4,0))</f>
        <v>Média</v>
      </c>
      <c r="G13" s="13" t="str">
        <f aca="false">INDEX(Prioridade!$B$5:$J$9,MATCH(G$7,Prioridade!$A$5:$A$9,0),MATCH($B13,Prioridade!$B$4:$J$4,0))</f>
        <v>Alta</v>
      </c>
      <c r="H13" s="13" t="str">
        <f aca="false">INDEX(Prioridade!$B$5:$J$9,MATCH(H$7,Prioridade!$A$5:$A$9,0),MATCH($B13,Prioridade!$B$4:$J$4,0))</f>
        <v>Média</v>
      </c>
      <c r="I13" s="13" t="str">
        <f aca="false">INDEX(Prioridade!$B$5:$J$9,MATCH(I$7,Prioridade!$A$5:$A$9,0),MATCH($B13,Prioridade!$B$4:$J$4,0))</f>
        <v>Alta</v>
      </c>
      <c r="J13" s="13" t="str">
        <f aca="false">INDEX(Prioridade!$B$5:$J$9,MATCH(J$7,Prioridade!$A$5:$A$9,0),MATCH($B13,Prioridade!$B$4:$J$4,0))</f>
        <v>Média</v>
      </c>
    </row>
    <row r="14" customFormat="false" ht="15" hidden="false" customHeight="false" outlineLevel="0" collapsed="false">
      <c r="A14" s="13" t="n">
        <v>7</v>
      </c>
      <c r="B14" s="7" t="s">
        <v>290</v>
      </c>
      <c r="C14" s="7" t="s">
        <v>303</v>
      </c>
      <c r="D14" s="13" t="n">
        <v>5</v>
      </c>
      <c r="E14" s="7" t="s">
        <v>304</v>
      </c>
      <c r="F14" s="13" t="str">
        <f aca="false">INDEX(Prioridade!$B$5:$J$9,MATCH(F$7,Prioridade!$A$5:$A$9,0),MATCH($B14,Prioridade!$B$4:$J$4,0))</f>
        <v>Média</v>
      </c>
      <c r="G14" s="13" t="str">
        <f aca="false">INDEX(Prioridade!$B$5:$J$9,MATCH(G$7,Prioridade!$A$5:$A$9,0),MATCH($B14,Prioridade!$B$4:$J$4,0))</f>
        <v>Alta</v>
      </c>
      <c r="H14" s="13" t="str">
        <f aca="false">INDEX(Prioridade!$B$5:$J$9,MATCH(H$7,Prioridade!$A$5:$A$9,0),MATCH($B14,Prioridade!$B$4:$J$4,0))</f>
        <v>Média</v>
      </c>
      <c r="I14" s="13" t="str">
        <f aca="false">INDEX(Prioridade!$B$5:$J$9,MATCH(I$7,Prioridade!$A$5:$A$9,0),MATCH($B14,Prioridade!$B$4:$J$4,0))</f>
        <v>Alta</v>
      </c>
      <c r="J14" s="13" t="str">
        <f aca="false">INDEX(Prioridade!$B$5:$J$9,MATCH(J$7,Prioridade!$A$5:$A$9,0),MATCH($B14,Prioridade!$B$4:$J$4,0))</f>
        <v>Média</v>
      </c>
    </row>
    <row r="15" customFormat="false" ht="15" hidden="false" customHeight="false" outlineLevel="0" collapsed="false">
      <c r="A15" s="13" t="n">
        <v>8</v>
      </c>
      <c r="B15" s="7" t="s">
        <v>290</v>
      </c>
      <c r="C15" s="7" t="s">
        <v>305</v>
      </c>
      <c r="D15" s="13" t="n">
        <v>6</v>
      </c>
      <c r="E15" s="7" t="s">
        <v>306</v>
      </c>
      <c r="F15" s="13" t="str">
        <f aca="false">INDEX(Prioridade!$B$5:$J$9,MATCH(F$7,Prioridade!$A$5:$A$9,0),MATCH($B15,Prioridade!$B$4:$J$4,0))</f>
        <v>Média</v>
      </c>
      <c r="G15" s="13" t="str">
        <f aca="false">INDEX(Prioridade!$B$5:$J$9,MATCH(G$7,Prioridade!$A$5:$A$9,0),MATCH($B15,Prioridade!$B$4:$J$4,0))</f>
        <v>Alta</v>
      </c>
      <c r="H15" s="13" t="str">
        <f aca="false">INDEX(Prioridade!$B$5:$J$9,MATCH(H$7,Prioridade!$A$5:$A$9,0),MATCH($B15,Prioridade!$B$4:$J$4,0))</f>
        <v>Média</v>
      </c>
      <c r="I15" s="13" t="str">
        <f aca="false">INDEX(Prioridade!$B$5:$J$9,MATCH(I$7,Prioridade!$A$5:$A$9,0),MATCH($B15,Prioridade!$B$4:$J$4,0))</f>
        <v>Alta</v>
      </c>
      <c r="J15" s="13" t="str">
        <f aca="false">INDEX(Prioridade!$B$5:$J$9,MATCH(J$7,Prioridade!$A$5:$A$9,0),MATCH($B15,Prioridade!$B$4:$J$4,0))</f>
        <v>Média</v>
      </c>
    </row>
    <row r="16" customFormat="false" ht="15" hidden="false" customHeight="false" outlineLevel="0" collapsed="false">
      <c r="A16" s="13" t="n">
        <v>9</v>
      </c>
      <c r="B16" s="7" t="s">
        <v>290</v>
      </c>
      <c r="C16" s="7" t="s">
        <v>307</v>
      </c>
      <c r="D16" s="13" t="n">
        <v>6</v>
      </c>
      <c r="E16" s="7" t="s">
        <v>308</v>
      </c>
      <c r="F16" s="13" t="str">
        <f aca="false">INDEX(Prioridade!$B$5:$J$9,MATCH(F$7,Prioridade!$A$5:$A$9,0),MATCH($B16,Prioridade!$B$4:$J$4,0))</f>
        <v>Média</v>
      </c>
      <c r="G16" s="13" t="str">
        <f aca="false">INDEX(Prioridade!$B$5:$J$9,MATCH(G$7,Prioridade!$A$5:$A$9,0),MATCH($B16,Prioridade!$B$4:$J$4,0))</f>
        <v>Alta</v>
      </c>
      <c r="H16" s="13" t="str">
        <f aca="false">INDEX(Prioridade!$B$5:$J$9,MATCH(H$7,Prioridade!$A$5:$A$9,0),MATCH($B16,Prioridade!$B$4:$J$4,0))</f>
        <v>Média</v>
      </c>
      <c r="I16" s="13" t="str">
        <f aca="false">INDEX(Prioridade!$B$5:$J$9,MATCH(I$7,Prioridade!$A$5:$A$9,0),MATCH($B16,Prioridade!$B$4:$J$4,0))</f>
        <v>Alta</v>
      </c>
      <c r="J16" s="13" t="str">
        <f aca="false">INDEX(Prioridade!$B$5:$J$9,MATCH(J$7,Prioridade!$A$5:$A$9,0),MATCH($B16,Prioridade!$B$4:$J$4,0))</f>
        <v>Média</v>
      </c>
    </row>
    <row r="17" customFormat="false" ht="15" hidden="false" customHeight="false" outlineLevel="0" collapsed="false">
      <c r="A17" s="13" t="n">
        <v>10</v>
      </c>
      <c r="B17" s="7" t="s">
        <v>290</v>
      </c>
      <c r="C17" s="7" t="s">
        <v>309</v>
      </c>
      <c r="D17" s="13" t="n">
        <v>4</v>
      </c>
      <c r="E17" s="7" t="s">
        <v>310</v>
      </c>
      <c r="F17" s="13" t="str">
        <f aca="false">INDEX(Prioridade!$B$5:$J$9,MATCH(F$7,Prioridade!$A$5:$A$9,0),MATCH($B17,Prioridade!$B$4:$J$4,0))</f>
        <v>Média</v>
      </c>
      <c r="G17" s="13" t="str">
        <f aca="false">INDEX(Prioridade!$B$5:$J$9,MATCH(G$7,Prioridade!$A$5:$A$9,0),MATCH($B17,Prioridade!$B$4:$J$4,0))</f>
        <v>Alta</v>
      </c>
      <c r="H17" s="13" t="str">
        <f aca="false">INDEX(Prioridade!$B$5:$J$9,MATCH(H$7,Prioridade!$A$5:$A$9,0),MATCH($B17,Prioridade!$B$4:$J$4,0))</f>
        <v>Média</v>
      </c>
      <c r="I17" s="13" t="str">
        <f aca="false">INDEX(Prioridade!$B$5:$J$9,MATCH(I$7,Prioridade!$A$5:$A$9,0),MATCH($B17,Prioridade!$B$4:$J$4,0))</f>
        <v>Alta</v>
      </c>
      <c r="J17" s="13" t="str">
        <f aca="false">INDEX(Prioridade!$B$5:$J$9,MATCH(J$7,Prioridade!$A$5:$A$9,0),MATCH($B17,Prioridade!$B$4:$J$4,0))</f>
        <v>Média</v>
      </c>
    </row>
    <row r="18" customFormat="false" ht="15" hidden="false" customHeight="false" outlineLevel="0" collapsed="false">
      <c r="A18" s="13" t="n">
        <v>11</v>
      </c>
      <c r="B18" s="7" t="s">
        <v>290</v>
      </c>
      <c r="C18" s="7" t="s">
        <v>311</v>
      </c>
      <c r="D18" s="13" t="n">
        <v>10</v>
      </c>
      <c r="E18" s="7" t="s">
        <v>312</v>
      </c>
      <c r="F18" s="13" t="str">
        <f aca="false">INDEX(Prioridade!$B$5:$J$9,MATCH(F$7,Prioridade!$A$5:$A$9,0),MATCH($B18,Prioridade!$B$4:$J$4,0))</f>
        <v>Média</v>
      </c>
      <c r="G18" s="13" t="str">
        <f aca="false">INDEX(Prioridade!$B$5:$J$9,MATCH(G$7,Prioridade!$A$5:$A$9,0),MATCH($B18,Prioridade!$B$4:$J$4,0))</f>
        <v>Alta</v>
      </c>
      <c r="H18" s="13" t="str">
        <f aca="false">INDEX(Prioridade!$B$5:$J$9,MATCH(H$7,Prioridade!$A$5:$A$9,0),MATCH($B18,Prioridade!$B$4:$J$4,0))</f>
        <v>Média</v>
      </c>
      <c r="I18" s="13" t="str">
        <f aca="false">INDEX(Prioridade!$B$5:$J$9,MATCH(I$7,Prioridade!$A$5:$A$9,0),MATCH($B18,Prioridade!$B$4:$J$4,0))</f>
        <v>Alta</v>
      </c>
      <c r="J18" s="13" t="str">
        <f aca="false">INDEX(Prioridade!$B$5:$J$9,MATCH(J$7,Prioridade!$A$5:$A$9,0),MATCH($B18,Prioridade!$B$4:$J$4,0))</f>
        <v>Média</v>
      </c>
    </row>
    <row r="19" customFormat="false" ht="15" hidden="false" customHeight="false" outlineLevel="0" collapsed="false">
      <c r="A19" s="13" t="n">
        <v>12</v>
      </c>
      <c r="B19" s="7" t="s">
        <v>290</v>
      </c>
      <c r="C19" s="7" t="s">
        <v>313</v>
      </c>
      <c r="D19" s="13" t="n">
        <v>6</v>
      </c>
      <c r="E19" s="7" t="s">
        <v>314</v>
      </c>
      <c r="F19" s="13" t="str">
        <f aca="false">INDEX(Prioridade!$B$5:$J$9,MATCH(F$7,Prioridade!$A$5:$A$9,0),MATCH($B19,Prioridade!$B$4:$J$4,0))</f>
        <v>Média</v>
      </c>
      <c r="G19" s="13" t="str">
        <f aca="false">INDEX(Prioridade!$B$5:$J$9,MATCH(G$7,Prioridade!$A$5:$A$9,0),MATCH($B19,Prioridade!$B$4:$J$4,0))</f>
        <v>Alta</v>
      </c>
      <c r="H19" s="13" t="str">
        <f aca="false">INDEX(Prioridade!$B$5:$J$9,MATCH(H$7,Prioridade!$A$5:$A$9,0),MATCH($B19,Prioridade!$B$4:$J$4,0))</f>
        <v>Média</v>
      </c>
      <c r="I19" s="13" t="str">
        <f aca="false">INDEX(Prioridade!$B$5:$J$9,MATCH(I$7,Prioridade!$A$5:$A$9,0),MATCH($B19,Prioridade!$B$4:$J$4,0))</f>
        <v>Alta</v>
      </c>
      <c r="J19" s="13" t="str">
        <f aca="false">INDEX(Prioridade!$B$5:$J$9,MATCH(J$7,Prioridade!$A$5:$A$9,0),MATCH($B19,Prioridade!$B$4:$J$4,0))</f>
        <v>Média</v>
      </c>
    </row>
    <row r="20" customFormat="false" ht="15" hidden="false" customHeight="false" outlineLevel="0" collapsed="false">
      <c r="A20" s="13" t="n">
        <v>13</v>
      </c>
      <c r="B20" s="7" t="s">
        <v>290</v>
      </c>
      <c r="C20" s="7" t="s">
        <v>315</v>
      </c>
      <c r="D20" s="13" t="n">
        <v>4</v>
      </c>
      <c r="E20" s="7" t="s">
        <v>316</v>
      </c>
      <c r="F20" s="13" t="str">
        <f aca="false">INDEX(Prioridade!$B$5:$J$9,MATCH(F$7,Prioridade!$A$5:$A$9,0),MATCH($B20,Prioridade!$B$4:$J$4,0))</f>
        <v>Média</v>
      </c>
      <c r="G20" s="13" t="str">
        <f aca="false">INDEX(Prioridade!$B$5:$J$9,MATCH(G$7,Prioridade!$A$5:$A$9,0),MATCH($B20,Prioridade!$B$4:$J$4,0))</f>
        <v>Alta</v>
      </c>
      <c r="H20" s="13" t="str">
        <f aca="false">INDEX(Prioridade!$B$5:$J$9,MATCH(H$7,Prioridade!$A$5:$A$9,0),MATCH($B20,Prioridade!$B$4:$J$4,0))</f>
        <v>Média</v>
      </c>
      <c r="I20" s="13" t="str">
        <f aca="false">INDEX(Prioridade!$B$5:$J$9,MATCH(I$7,Prioridade!$A$5:$A$9,0),MATCH($B20,Prioridade!$B$4:$J$4,0))</f>
        <v>Alta</v>
      </c>
      <c r="J20" s="13" t="str">
        <f aca="false">INDEX(Prioridade!$B$5:$J$9,MATCH(J$7,Prioridade!$A$5:$A$9,0),MATCH($B20,Prioridade!$B$4:$J$4,0))</f>
        <v>Média</v>
      </c>
    </row>
    <row r="21" customFormat="false" ht="15" hidden="false" customHeight="false" outlineLevel="0" collapsed="false">
      <c r="A21" s="13" t="n">
        <v>14</v>
      </c>
      <c r="B21" s="7" t="s">
        <v>290</v>
      </c>
      <c r="C21" s="7" t="s">
        <v>317</v>
      </c>
      <c r="D21" s="13" t="n">
        <v>4</v>
      </c>
      <c r="E21" s="7" t="s">
        <v>318</v>
      </c>
      <c r="F21" s="13" t="str">
        <f aca="false">INDEX(Prioridade!$B$5:$J$9,MATCH(F$7,Prioridade!$A$5:$A$9,0),MATCH($B21,Prioridade!$B$4:$J$4,0))</f>
        <v>Média</v>
      </c>
      <c r="G21" s="13" t="str">
        <f aca="false">INDEX(Prioridade!$B$5:$J$9,MATCH(G$7,Prioridade!$A$5:$A$9,0),MATCH($B21,Prioridade!$B$4:$J$4,0))</f>
        <v>Alta</v>
      </c>
      <c r="H21" s="13" t="str">
        <f aca="false">INDEX(Prioridade!$B$5:$J$9,MATCH(H$7,Prioridade!$A$5:$A$9,0),MATCH($B21,Prioridade!$B$4:$J$4,0))</f>
        <v>Média</v>
      </c>
      <c r="I21" s="13" t="str">
        <f aca="false">INDEX(Prioridade!$B$5:$J$9,MATCH(I$7,Prioridade!$A$5:$A$9,0),MATCH($B21,Prioridade!$B$4:$J$4,0))</f>
        <v>Alta</v>
      </c>
      <c r="J21" s="13" t="str">
        <f aca="false">INDEX(Prioridade!$B$5:$J$9,MATCH(J$7,Prioridade!$A$5:$A$9,0),MATCH($B21,Prioridade!$B$4:$J$4,0))</f>
        <v>Média</v>
      </c>
    </row>
    <row r="22" customFormat="false" ht="15" hidden="false" customHeight="false" outlineLevel="0" collapsed="false">
      <c r="A22" s="13" t="n">
        <v>15</v>
      </c>
      <c r="B22" s="7" t="s">
        <v>290</v>
      </c>
      <c r="C22" s="7" t="s">
        <v>319</v>
      </c>
      <c r="D22" s="13" t="n">
        <v>3</v>
      </c>
      <c r="E22" s="7" t="s">
        <v>320</v>
      </c>
      <c r="F22" s="13" t="str">
        <f aca="false">INDEX(Prioridade!$B$5:$J$9,MATCH(F$7,Prioridade!$A$5:$A$9,0),MATCH($B22,Prioridade!$B$4:$J$4,0))</f>
        <v>Média</v>
      </c>
      <c r="G22" s="13" t="str">
        <f aca="false">INDEX(Prioridade!$B$5:$J$9,MATCH(G$7,Prioridade!$A$5:$A$9,0),MATCH($B22,Prioridade!$B$4:$J$4,0))</f>
        <v>Alta</v>
      </c>
      <c r="H22" s="13" t="str">
        <f aca="false">INDEX(Prioridade!$B$5:$J$9,MATCH(H$7,Prioridade!$A$5:$A$9,0),MATCH($B22,Prioridade!$B$4:$J$4,0))</f>
        <v>Média</v>
      </c>
      <c r="I22" s="13" t="str">
        <f aca="false">INDEX(Prioridade!$B$5:$J$9,MATCH(I$7,Prioridade!$A$5:$A$9,0),MATCH($B22,Prioridade!$B$4:$J$4,0))</f>
        <v>Alta</v>
      </c>
      <c r="J22" s="13" t="str">
        <f aca="false">INDEX(Prioridade!$B$5:$J$9,MATCH(J$7,Prioridade!$A$5:$A$9,0),MATCH($B22,Prioridade!$B$4:$J$4,0))</f>
        <v>Média</v>
      </c>
    </row>
    <row r="23" customFormat="false" ht="15" hidden="false" customHeight="false" outlineLevel="0" collapsed="false">
      <c r="A23" s="13" t="n">
        <v>16</v>
      </c>
      <c r="B23" s="7" t="s">
        <v>290</v>
      </c>
      <c r="C23" s="7" t="s">
        <v>321</v>
      </c>
      <c r="D23" s="13" t="n">
        <v>4</v>
      </c>
      <c r="E23" s="7" t="s">
        <v>322</v>
      </c>
      <c r="F23" s="13" t="str">
        <f aca="false">INDEX(Prioridade!$B$5:$J$9,MATCH(F$7,Prioridade!$A$5:$A$9,0),MATCH($B23,Prioridade!$B$4:$J$4,0))</f>
        <v>Média</v>
      </c>
      <c r="G23" s="13" t="str">
        <f aca="false">INDEX(Prioridade!$B$5:$J$9,MATCH(G$7,Prioridade!$A$5:$A$9,0),MATCH($B23,Prioridade!$B$4:$J$4,0))</f>
        <v>Alta</v>
      </c>
      <c r="H23" s="13" t="str">
        <f aca="false">INDEX(Prioridade!$B$5:$J$9,MATCH(H$7,Prioridade!$A$5:$A$9,0),MATCH($B23,Prioridade!$B$4:$J$4,0))</f>
        <v>Média</v>
      </c>
      <c r="I23" s="13" t="str">
        <f aca="false">INDEX(Prioridade!$B$5:$J$9,MATCH(I$7,Prioridade!$A$5:$A$9,0),MATCH($B23,Prioridade!$B$4:$J$4,0))</f>
        <v>Alta</v>
      </c>
      <c r="J23" s="13" t="str">
        <f aca="false">INDEX(Prioridade!$B$5:$J$9,MATCH(J$7,Prioridade!$A$5:$A$9,0),MATCH($B23,Prioridade!$B$4:$J$4,0))</f>
        <v>Média</v>
      </c>
    </row>
    <row r="24" customFormat="false" ht="15" hidden="false" customHeight="false" outlineLevel="0" collapsed="false">
      <c r="A24" s="13" t="n">
        <v>17</v>
      </c>
      <c r="B24" s="7" t="s">
        <v>290</v>
      </c>
      <c r="C24" s="7" t="s">
        <v>323</v>
      </c>
      <c r="D24" s="13" t="n">
        <v>6</v>
      </c>
      <c r="E24" s="7" t="s">
        <v>324</v>
      </c>
      <c r="F24" s="13" t="str">
        <f aca="false">INDEX(Prioridade!$B$5:$J$9,MATCH(F$7,Prioridade!$A$5:$A$9,0),MATCH($B24,Prioridade!$B$4:$J$4,0))</f>
        <v>Média</v>
      </c>
      <c r="G24" s="13" t="str">
        <f aca="false">INDEX(Prioridade!$B$5:$J$9,MATCH(G$7,Prioridade!$A$5:$A$9,0),MATCH($B24,Prioridade!$B$4:$J$4,0))</f>
        <v>Alta</v>
      </c>
      <c r="H24" s="13" t="str">
        <f aca="false">INDEX(Prioridade!$B$5:$J$9,MATCH(H$7,Prioridade!$A$5:$A$9,0),MATCH($B24,Prioridade!$B$4:$J$4,0))</f>
        <v>Média</v>
      </c>
      <c r="I24" s="13" t="str">
        <f aca="false">INDEX(Prioridade!$B$5:$J$9,MATCH(I$7,Prioridade!$A$5:$A$9,0),MATCH($B24,Prioridade!$B$4:$J$4,0))</f>
        <v>Alta</v>
      </c>
      <c r="J24" s="13" t="str">
        <f aca="false">INDEX(Prioridade!$B$5:$J$9,MATCH(J$7,Prioridade!$A$5:$A$9,0),MATCH($B24,Prioridade!$B$4:$J$4,0))</f>
        <v>Média</v>
      </c>
    </row>
    <row r="25" customFormat="false" ht="15" hidden="false" customHeight="false" outlineLevel="0" collapsed="false">
      <c r="A25" s="13" t="n">
        <v>18</v>
      </c>
      <c r="B25" s="7" t="s">
        <v>290</v>
      </c>
      <c r="C25" s="7" t="s">
        <v>325</v>
      </c>
      <c r="D25" s="13" t="n">
        <v>6</v>
      </c>
      <c r="E25" s="7" t="s">
        <v>326</v>
      </c>
      <c r="F25" s="13" t="str">
        <f aca="false">INDEX(Prioridade!$B$5:$J$9,MATCH(F$7,Prioridade!$A$5:$A$9,0),MATCH($B25,Prioridade!$B$4:$J$4,0))</f>
        <v>Média</v>
      </c>
      <c r="G25" s="13" t="str">
        <f aca="false">INDEX(Prioridade!$B$5:$J$9,MATCH(G$7,Prioridade!$A$5:$A$9,0),MATCH($B25,Prioridade!$B$4:$J$4,0))</f>
        <v>Alta</v>
      </c>
      <c r="H25" s="13" t="str">
        <f aca="false">INDEX(Prioridade!$B$5:$J$9,MATCH(H$7,Prioridade!$A$5:$A$9,0),MATCH($B25,Prioridade!$B$4:$J$4,0))</f>
        <v>Média</v>
      </c>
      <c r="I25" s="13" t="str">
        <f aca="false">INDEX(Prioridade!$B$5:$J$9,MATCH(I$7,Prioridade!$A$5:$A$9,0),MATCH($B25,Prioridade!$B$4:$J$4,0))</f>
        <v>Alta</v>
      </c>
      <c r="J25" s="13" t="str">
        <f aca="false">INDEX(Prioridade!$B$5:$J$9,MATCH(J$7,Prioridade!$A$5:$A$9,0),MATCH($B25,Prioridade!$B$4:$J$4,0))</f>
        <v>Média</v>
      </c>
    </row>
    <row r="26" customFormat="false" ht="15" hidden="false" customHeight="false" outlineLevel="0" collapsed="false">
      <c r="A26" s="13" t="n">
        <v>19</v>
      </c>
      <c r="B26" s="7" t="s">
        <v>290</v>
      </c>
      <c r="C26" s="7" t="s">
        <v>327</v>
      </c>
      <c r="D26" s="13" t="n">
        <v>5</v>
      </c>
      <c r="E26" s="7" t="s">
        <v>328</v>
      </c>
      <c r="F26" s="13" t="str">
        <f aca="false">INDEX(Prioridade!$B$5:$J$9,MATCH(F$7,Prioridade!$A$5:$A$9,0),MATCH($B26,Prioridade!$B$4:$J$4,0))</f>
        <v>Média</v>
      </c>
      <c r="G26" s="13" t="str">
        <f aca="false">INDEX(Prioridade!$B$5:$J$9,MATCH(G$7,Prioridade!$A$5:$A$9,0),MATCH($B26,Prioridade!$B$4:$J$4,0))</f>
        <v>Alta</v>
      </c>
      <c r="H26" s="13" t="str">
        <f aca="false">INDEX(Prioridade!$B$5:$J$9,MATCH(H$7,Prioridade!$A$5:$A$9,0),MATCH($B26,Prioridade!$B$4:$J$4,0))</f>
        <v>Média</v>
      </c>
      <c r="I26" s="13" t="str">
        <f aca="false">INDEX(Prioridade!$B$5:$J$9,MATCH(I$7,Prioridade!$A$5:$A$9,0),MATCH($B26,Prioridade!$B$4:$J$4,0))</f>
        <v>Alta</v>
      </c>
      <c r="J26" s="13" t="str">
        <f aca="false">INDEX(Prioridade!$B$5:$J$9,MATCH(J$7,Prioridade!$A$5:$A$9,0),MATCH($B26,Prioridade!$B$4:$J$4,0))</f>
        <v>Média</v>
      </c>
    </row>
    <row r="27" customFormat="false" ht="15" hidden="false" customHeight="false" outlineLevel="0" collapsed="false">
      <c r="A27" s="13" t="n">
        <v>20</v>
      </c>
      <c r="B27" s="7" t="s">
        <v>290</v>
      </c>
      <c r="C27" s="7" t="s">
        <v>329</v>
      </c>
      <c r="D27" s="13" t="n">
        <v>6</v>
      </c>
      <c r="E27" s="7" t="s">
        <v>330</v>
      </c>
      <c r="F27" s="13" t="str">
        <f aca="false">INDEX(Prioridade!$B$5:$J$9,MATCH(F$7,Prioridade!$A$5:$A$9,0),MATCH($B27,Prioridade!$B$4:$J$4,0))</f>
        <v>Média</v>
      </c>
      <c r="G27" s="13" t="str">
        <f aca="false">INDEX(Prioridade!$B$5:$J$9,MATCH(G$7,Prioridade!$A$5:$A$9,0),MATCH($B27,Prioridade!$B$4:$J$4,0))</f>
        <v>Alta</v>
      </c>
      <c r="H27" s="13" t="str">
        <f aca="false">INDEX(Prioridade!$B$5:$J$9,MATCH(H$7,Prioridade!$A$5:$A$9,0),MATCH($B27,Prioridade!$B$4:$J$4,0))</f>
        <v>Média</v>
      </c>
      <c r="I27" s="13" t="str">
        <f aca="false">INDEX(Prioridade!$B$5:$J$9,MATCH(I$7,Prioridade!$A$5:$A$9,0),MATCH($B27,Prioridade!$B$4:$J$4,0))</f>
        <v>Alta</v>
      </c>
      <c r="J27" s="13" t="str">
        <f aca="false">INDEX(Prioridade!$B$5:$J$9,MATCH(J$7,Prioridade!$A$5:$A$9,0),MATCH($B27,Prioridade!$B$4:$J$4,0))</f>
        <v>Média</v>
      </c>
    </row>
    <row r="28" customFormat="false" ht="15" hidden="false" customHeight="false" outlineLevel="0" collapsed="false">
      <c r="A28" s="13" t="n">
        <v>21</v>
      </c>
      <c r="B28" s="7" t="s">
        <v>235</v>
      </c>
      <c r="C28" s="7" t="s">
        <v>331</v>
      </c>
      <c r="D28" s="13" t="n">
        <v>2</v>
      </c>
      <c r="E28" s="7" t="s">
        <v>332</v>
      </c>
      <c r="F28" s="13" t="str">
        <f aca="false">INDEX(Prioridade!$B$5:$J$9,MATCH(F$7,Prioridade!$A$5:$A$9,0),MATCH($B28,Prioridade!$B$4:$J$4,0))</f>
        <v>Alta</v>
      </c>
      <c r="G28" s="13" t="str">
        <f aca="false">INDEX(Prioridade!$B$5:$J$9,MATCH(G$7,Prioridade!$A$5:$A$9,0),MATCH($B28,Prioridade!$B$4:$J$4,0))</f>
        <v>Alta</v>
      </c>
      <c r="H28" s="13" t="str">
        <f aca="false">INDEX(Prioridade!$B$5:$J$9,MATCH(H$7,Prioridade!$A$5:$A$9,0),MATCH($B28,Prioridade!$B$4:$J$4,0))</f>
        <v>Alta</v>
      </c>
      <c r="I28" s="13" t="str">
        <f aca="false">INDEX(Prioridade!$B$5:$J$9,MATCH(I$7,Prioridade!$A$5:$A$9,0),MATCH($B28,Prioridade!$B$4:$J$4,0))</f>
        <v>Alta</v>
      </c>
      <c r="J28" s="13" t="str">
        <f aca="false">INDEX(Prioridade!$B$5:$J$9,MATCH(J$7,Prioridade!$A$5:$A$9,0),MATCH($B28,Prioridade!$B$4:$J$4,0))</f>
        <v>Alta</v>
      </c>
    </row>
    <row r="29" customFormat="false" ht="15" hidden="false" customHeight="false" outlineLevel="0" collapsed="false">
      <c r="A29" s="13" t="n">
        <v>22</v>
      </c>
      <c r="B29" s="7" t="s">
        <v>235</v>
      </c>
      <c r="C29" s="7" t="s">
        <v>333</v>
      </c>
      <c r="D29" s="13" t="n">
        <v>3</v>
      </c>
      <c r="E29" s="7" t="s">
        <v>334</v>
      </c>
      <c r="F29" s="13" t="str">
        <f aca="false">INDEX(Prioridade!$B$5:$J$9,MATCH(F$7,Prioridade!$A$5:$A$9,0),MATCH($B29,Prioridade!$B$4:$J$4,0))</f>
        <v>Alta</v>
      </c>
      <c r="G29" s="13" t="str">
        <f aca="false">INDEX(Prioridade!$B$5:$J$9,MATCH(G$7,Prioridade!$A$5:$A$9,0),MATCH($B29,Prioridade!$B$4:$J$4,0))</f>
        <v>Alta</v>
      </c>
      <c r="H29" s="13" t="str">
        <f aca="false">INDEX(Prioridade!$B$5:$J$9,MATCH(H$7,Prioridade!$A$5:$A$9,0),MATCH($B29,Prioridade!$B$4:$J$4,0))</f>
        <v>Alta</v>
      </c>
      <c r="I29" s="13" t="str">
        <f aca="false">INDEX(Prioridade!$B$5:$J$9,MATCH(I$7,Prioridade!$A$5:$A$9,0),MATCH($B29,Prioridade!$B$4:$J$4,0))</f>
        <v>Alta</v>
      </c>
      <c r="J29" s="13" t="str">
        <f aca="false">INDEX(Prioridade!$B$5:$J$9,MATCH(J$7,Prioridade!$A$5:$A$9,0),MATCH($B29,Prioridade!$B$4:$J$4,0))</f>
        <v>Alta</v>
      </c>
    </row>
    <row r="30" customFormat="false" ht="15" hidden="false" customHeight="false" outlineLevel="0" collapsed="false">
      <c r="A30" s="13" t="n">
        <v>23</v>
      </c>
      <c r="B30" s="7" t="s">
        <v>235</v>
      </c>
      <c r="C30" s="7" t="s">
        <v>335</v>
      </c>
      <c r="D30" s="13" t="n">
        <v>6</v>
      </c>
      <c r="E30" s="7" t="s">
        <v>336</v>
      </c>
      <c r="F30" s="13" t="str">
        <f aca="false">INDEX(Prioridade!$B$5:$J$9,MATCH(F$7,Prioridade!$A$5:$A$9,0),MATCH($B30,Prioridade!$B$4:$J$4,0))</f>
        <v>Alta</v>
      </c>
      <c r="G30" s="13" t="str">
        <f aca="false">INDEX(Prioridade!$B$5:$J$9,MATCH(G$7,Prioridade!$A$5:$A$9,0),MATCH($B30,Prioridade!$B$4:$J$4,0))</f>
        <v>Alta</v>
      </c>
      <c r="H30" s="13" t="str">
        <f aca="false">INDEX(Prioridade!$B$5:$J$9,MATCH(H$7,Prioridade!$A$5:$A$9,0),MATCH($B30,Prioridade!$B$4:$J$4,0))</f>
        <v>Alta</v>
      </c>
      <c r="I30" s="13" t="str">
        <f aca="false">INDEX(Prioridade!$B$5:$J$9,MATCH(I$7,Prioridade!$A$5:$A$9,0),MATCH($B30,Prioridade!$B$4:$J$4,0))</f>
        <v>Alta</v>
      </c>
      <c r="J30" s="13" t="str">
        <f aca="false">INDEX(Prioridade!$B$5:$J$9,MATCH(J$7,Prioridade!$A$5:$A$9,0),MATCH($B30,Prioridade!$B$4:$J$4,0))</f>
        <v>Alta</v>
      </c>
    </row>
    <row r="31" customFormat="false" ht="15" hidden="false" customHeight="false" outlineLevel="0" collapsed="false">
      <c r="A31" s="13" t="n">
        <v>24</v>
      </c>
      <c r="B31" s="7" t="s">
        <v>235</v>
      </c>
      <c r="C31" s="7" t="s">
        <v>337</v>
      </c>
      <c r="D31" s="13" t="n">
        <v>4</v>
      </c>
      <c r="E31" s="7" t="s">
        <v>338</v>
      </c>
      <c r="F31" s="13" t="str">
        <f aca="false">INDEX(Prioridade!$B$5:$J$9,MATCH(F$7,Prioridade!$A$5:$A$9,0),MATCH($B31,Prioridade!$B$4:$J$4,0))</f>
        <v>Alta</v>
      </c>
      <c r="G31" s="13" t="str">
        <f aca="false">INDEX(Prioridade!$B$5:$J$9,MATCH(G$7,Prioridade!$A$5:$A$9,0),MATCH($B31,Prioridade!$B$4:$J$4,0))</f>
        <v>Alta</v>
      </c>
      <c r="H31" s="13" t="str">
        <f aca="false">INDEX(Prioridade!$B$5:$J$9,MATCH(H$7,Prioridade!$A$5:$A$9,0),MATCH($B31,Prioridade!$B$4:$J$4,0))</f>
        <v>Alta</v>
      </c>
      <c r="I31" s="13" t="str">
        <f aca="false">INDEX(Prioridade!$B$5:$J$9,MATCH(I$7,Prioridade!$A$5:$A$9,0),MATCH($B31,Prioridade!$B$4:$J$4,0))</f>
        <v>Alta</v>
      </c>
      <c r="J31" s="13" t="str">
        <f aca="false">INDEX(Prioridade!$B$5:$J$9,MATCH(J$7,Prioridade!$A$5:$A$9,0),MATCH($B31,Prioridade!$B$4:$J$4,0))</f>
        <v>Alta</v>
      </c>
    </row>
    <row r="32" customFormat="false" ht="15" hidden="false" customHeight="false" outlineLevel="0" collapsed="false">
      <c r="A32" s="13" t="n">
        <v>25</v>
      </c>
      <c r="B32" s="7" t="s">
        <v>235</v>
      </c>
      <c r="C32" s="7" t="s">
        <v>339</v>
      </c>
      <c r="D32" s="13" t="n">
        <v>8</v>
      </c>
      <c r="E32" s="7" t="s">
        <v>340</v>
      </c>
      <c r="F32" s="13" t="str">
        <f aca="false">INDEX(Prioridade!$B$5:$J$9,MATCH(F$7,Prioridade!$A$5:$A$9,0),MATCH($B32,Prioridade!$B$4:$J$4,0))</f>
        <v>Alta</v>
      </c>
      <c r="G32" s="13" t="str">
        <f aca="false">INDEX(Prioridade!$B$5:$J$9,MATCH(G$7,Prioridade!$A$5:$A$9,0),MATCH($B32,Prioridade!$B$4:$J$4,0))</f>
        <v>Alta</v>
      </c>
      <c r="H32" s="13" t="str">
        <f aca="false">INDEX(Prioridade!$B$5:$J$9,MATCH(H$7,Prioridade!$A$5:$A$9,0),MATCH($B32,Prioridade!$B$4:$J$4,0))</f>
        <v>Alta</v>
      </c>
      <c r="I32" s="13" t="str">
        <f aca="false">INDEX(Prioridade!$B$5:$J$9,MATCH(I$7,Prioridade!$A$5:$A$9,0),MATCH($B32,Prioridade!$B$4:$J$4,0))</f>
        <v>Alta</v>
      </c>
      <c r="J32" s="13" t="str">
        <f aca="false">INDEX(Prioridade!$B$5:$J$9,MATCH(J$7,Prioridade!$A$5:$A$9,0),MATCH($B32,Prioridade!$B$4:$J$4,0))</f>
        <v>Alta</v>
      </c>
    </row>
    <row r="33" customFormat="false" ht="15" hidden="false" customHeight="false" outlineLevel="0" collapsed="false">
      <c r="A33" s="13" t="n">
        <v>26</v>
      </c>
      <c r="B33" s="7" t="s">
        <v>235</v>
      </c>
      <c r="C33" s="7" t="s">
        <v>341</v>
      </c>
      <c r="D33" s="13" t="n">
        <v>10</v>
      </c>
      <c r="E33" s="7" t="s">
        <v>342</v>
      </c>
      <c r="F33" s="13" t="str">
        <f aca="false">INDEX(Prioridade!$B$5:$J$9,MATCH(F$7,Prioridade!$A$5:$A$9,0),MATCH($B33,Prioridade!$B$4:$J$4,0))</f>
        <v>Alta</v>
      </c>
      <c r="G33" s="13" t="str">
        <f aca="false">INDEX(Prioridade!$B$5:$J$9,MATCH(G$7,Prioridade!$A$5:$A$9,0),MATCH($B33,Prioridade!$B$4:$J$4,0))</f>
        <v>Alta</v>
      </c>
      <c r="H33" s="13" t="str">
        <f aca="false">INDEX(Prioridade!$B$5:$J$9,MATCH(H$7,Prioridade!$A$5:$A$9,0),MATCH($B33,Prioridade!$B$4:$J$4,0))</f>
        <v>Alta</v>
      </c>
      <c r="I33" s="13" t="str">
        <f aca="false">INDEX(Prioridade!$B$5:$J$9,MATCH(I$7,Prioridade!$A$5:$A$9,0),MATCH($B33,Prioridade!$B$4:$J$4,0))</f>
        <v>Alta</v>
      </c>
      <c r="J33" s="13" t="str">
        <f aca="false">INDEX(Prioridade!$B$5:$J$9,MATCH(J$7,Prioridade!$A$5:$A$9,0),MATCH($B33,Prioridade!$B$4:$J$4,0))</f>
        <v>Alta</v>
      </c>
    </row>
    <row r="34" customFormat="false" ht="15" hidden="false" customHeight="false" outlineLevel="0" collapsed="false">
      <c r="A34" s="13" t="n">
        <v>27</v>
      </c>
      <c r="B34" s="7" t="s">
        <v>235</v>
      </c>
      <c r="C34" s="7" t="s">
        <v>343</v>
      </c>
      <c r="D34" s="13" t="n">
        <v>6</v>
      </c>
      <c r="E34" s="7" t="s">
        <v>344</v>
      </c>
      <c r="F34" s="13" t="str">
        <f aca="false">INDEX(Prioridade!$B$5:$J$9,MATCH(F$7,Prioridade!$A$5:$A$9,0),MATCH($B34,Prioridade!$B$4:$J$4,0))</f>
        <v>Alta</v>
      </c>
      <c r="G34" s="13" t="str">
        <f aca="false">INDEX(Prioridade!$B$5:$J$9,MATCH(G$7,Prioridade!$A$5:$A$9,0),MATCH($B34,Prioridade!$B$4:$J$4,0))</f>
        <v>Alta</v>
      </c>
      <c r="H34" s="13" t="str">
        <f aca="false">INDEX(Prioridade!$B$5:$J$9,MATCH(H$7,Prioridade!$A$5:$A$9,0),MATCH($B34,Prioridade!$B$4:$J$4,0))</f>
        <v>Alta</v>
      </c>
      <c r="I34" s="13" t="str">
        <f aca="false">INDEX(Prioridade!$B$5:$J$9,MATCH(I$7,Prioridade!$A$5:$A$9,0),MATCH($B34,Prioridade!$B$4:$J$4,0))</f>
        <v>Alta</v>
      </c>
      <c r="J34" s="13" t="str">
        <f aca="false">INDEX(Prioridade!$B$5:$J$9,MATCH(J$7,Prioridade!$A$5:$A$9,0),MATCH($B34,Prioridade!$B$4:$J$4,0))</f>
        <v>Alta</v>
      </c>
    </row>
    <row r="35" customFormat="false" ht="15" hidden="false" customHeight="false" outlineLevel="0" collapsed="false">
      <c r="A35" s="13" t="n">
        <v>28</v>
      </c>
      <c r="B35" s="7" t="s">
        <v>235</v>
      </c>
      <c r="C35" s="7" t="s">
        <v>345</v>
      </c>
      <c r="D35" s="13" t="n">
        <v>4</v>
      </c>
      <c r="E35" s="7" t="s">
        <v>346</v>
      </c>
      <c r="F35" s="13" t="str">
        <f aca="false">INDEX(Prioridade!$B$5:$J$9,MATCH(F$7,Prioridade!$A$5:$A$9,0),MATCH($B35,Prioridade!$B$4:$J$4,0))</f>
        <v>Alta</v>
      </c>
      <c r="G35" s="13" t="str">
        <f aca="false">INDEX(Prioridade!$B$5:$J$9,MATCH(G$7,Prioridade!$A$5:$A$9,0),MATCH($B35,Prioridade!$B$4:$J$4,0))</f>
        <v>Alta</v>
      </c>
      <c r="H35" s="13" t="str">
        <f aca="false">INDEX(Prioridade!$B$5:$J$9,MATCH(H$7,Prioridade!$A$5:$A$9,0),MATCH($B35,Prioridade!$B$4:$J$4,0))</f>
        <v>Alta</v>
      </c>
      <c r="I35" s="13" t="str">
        <f aca="false">INDEX(Prioridade!$B$5:$J$9,MATCH(I$7,Prioridade!$A$5:$A$9,0),MATCH($B35,Prioridade!$B$4:$J$4,0))</f>
        <v>Alta</v>
      </c>
      <c r="J35" s="13" t="str">
        <f aca="false">INDEX(Prioridade!$B$5:$J$9,MATCH(J$7,Prioridade!$A$5:$A$9,0),MATCH($B35,Prioridade!$B$4:$J$4,0))</f>
        <v>Alta</v>
      </c>
    </row>
    <row r="36" customFormat="false" ht="15" hidden="false" customHeight="false" outlineLevel="0" collapsed="false">
      <c r="A36" s="13" t="n">
        <v>29</v>
      </c>
      <c r="B36" s="7" t="s">
        <v>235</v>
      </c>
      <c r="C36" s="7" t="s">
        <v>347</v>
      </c>
      <c r="D36" s="13" t="n">
        <v>3</v>
      </c>
      <c r="E36" s="7" t="s">
        <v>348</v>
      </c>
      <c r="F36" s="13" t="str">
        <f aca="false">INDEX(Prioridade!$B$5:$J$9,MATCH(F$7,Prioridade!$A$5:$A$9,0),MATCH($B36,Prioridade!$B$4:$J$4,0))</f>
        <v>Alta</v>
      </c>
      <c r="G36" s="13" t="str">
        <f aca="false">INDEX(Prioridade!$B$5:$J$9,MATCH(G$7,Prioridade!$A$5:$A$9,0),MATCH($B36,Prioridade!$B$4:$J$4,0))</f>
        <v>Alta</v>
      </c>
      <c r="H36" s="13" t="str">
        <f aca="false">INDEX(Prioridade!$B$5:$J$9,MATCH(H$7,Prioridade!$A$5:$A$9,0),MATCH($B36,Prioridade!$B$4:$J$4,0))</f>
        <v>Alta</v>
      </c>
      <c r="I36" s="13" t="str">
        <f aca="false">INDEX(Prioridade!$B$5:$J$9,MATCH(I$7,Prioridade!$A$5:$A$9,0),MATCH($B36,Prioridade!$B$4:$J$4,0))</f>
        <v>Alta</v>
      </c>
      <c r="J36" s="13" t="str">
        <f aca="false">INDEX(Prioridade!$B$5:$J$9,MATCH(J$7,Prioridade!$A$5:$A$9,0),MATCH($B36,Prioridade!$B$4:$J$4,0))</f>
        <v>Alta</v>
      </c>
    </row>
    <row r="37" customFormat="false" ht="15" hidden="false" customHeight="false" outlineLevel="0" collapsed="false">
      <c r="A37" s="13" t="n">
        <v>30</v>
      </c>
      <c r="B37" s="7" t="s">
        <v>235</v>
      </c>
      <c r="C37" s="7" t="s">
        <v>349</v>
      </c>
      <c r="D37" s="13" t="n">
        <v>3</v>
      </c>
      <c r="E37" s="7" t="s">
        <v>350</v>
      </c>
      <c r="F37" s="13" t="str">
        <f aca="false">INDEX(Prioridade!$B$5:$J$9,MATCH(F$7,Prioridade!$A$5:$A$9,0),MATCH($B37,Prioridade!$B$4:$J$4,0))</f>
        <v>Alta</v>
      </c>
      <c r="G37" s="13" t="str">
        <f aca="false">INDEX(Prioridade!$B$5:$J$9,MATCH(G$7,Prioridade!$A$5:$A$9,0),MATCH($B37,Prioridade!$B$4:$J$4,0))</f>
        <v>Alta</v>
      </c>
      <c r="H37" s="13" t="str">
        <f aca="false">INDEX(Prioridade!$B$5:$J$9,MATCH(H$7,Prioridade!$A$5:$A$9,0),MATCH($B37,Prioridade!$B$4:$J$4,0))</f>
        <v>Alta</v>
      </c>
      <c r="I37" s="13" t="str">
        <f aca="false">INDEX(Prioridade!$B$5:$J$9,MATCH(I$7,Prioridade!$A$5:$A$9,0),MATCH($B37,Prioridade!$B$4:$J$4,0))</f>
        <v>Alta</v>
      </c>
      <c r="J37" s="13" t="str">
        <f aca="false">INDEX(Prioridade!$B$5:$J$9,MATCH(J$7,Prioridade!$A$5:$A$9,0),MATCH($B37,Prioridade!$B$4:$J$4,0))</f>
        <v>Alta</v>
      </c>
    </row>
    <row r="38" customFormat="false" ht="15" hidden="false" customHeight="false" outlineLevel="0" collapsed="false">
      <c r="A38" s="13" t="n">
        <v>31</v>
      </c>
      <c r="B38" s="7" t="s">
        <v>235</v>
      </c>
      <c r="C38" s="7" t="s">
        <v>351</v>
      </c>
      <c r="D38" s="13" t="n">
        <v>6</v>
      </c>
      <c r="E38" s="7" t="s">
        <v>352</v>
      </c>
      <c r="F38" s="13" t="str">
        <f aca="false">INDEX(Prioridade!$B$5:$J$9,MATCH(F$7,Prioridade!$A$5:$A$9,0),MATCH($B38,Prioridade!$B$4:$J$4,0))</f>
        <v>Alta</v>
      </c>
      <c r="G38" s="13" t="str">
        <f aca="false">INDEX(Prioridade!$B$5:$J$9,MATCH(G$7,Prioridade!$A$5:$A$9,0),MATCH($B38,Prioridade!$B$4:$J$4,0))</f>
        <v>Alta</v>
      </c>
      <c r="H38" s="13" t="str">
        <f aca="false">INDEX(Prioridade!$B$5:$J$9,MATCH(H$7,Prioridade!$A$5:$A$9,0),MATCH($B38,Prioridade!$B$4:$J$4,0))</f>
        <v>Alta</v>
      </c>
      <c r="I38" s="13" t="str">
        <f aca="false">INDEX(Prioridade!$B$5:$J$9,MATCH(I$7,Prioridade!$A$5:$A$9,0),MATCH($B38,Prioridade!$B$4:$J$4,0))</f>
        <v>Alta</v>
      </c>
      <c r="J38" s="13" t="str">
        <f aca="false">INDEX(Prioridade!$B$5:$J$9,MATCH(J$7,Prioridade!$A$5:$A$9,0),MATCH($B38,Prioridade!$B$4:$J$4,0))</f>
        <v>Alta</v>
      </c>
    </row>
    <row r="39" customFormat="false" ht="15" hidden="false" customHeight="false" outlineLevel="0" collapsed="false">
      <c r="A39" s="13" t="n">
        <v>32</v>
      </c>
      <c r="B39" s="7" t="s">
        <v>235</v>
      </c>
      <c r="C39" s="7" t="s">
        <v>353</v>
      </c>
      <c r="D39" s="13" t="n">
        <v>4</v>
      </c>
      <c r="E39" s="7" t="s">
        <v>354</v>
      </c>
      <c r="F39" s="13" t="str">
        <f aca="false">INDEX(Prioridade!$B$5:$J$9,MATCH(F$7,Prioridade!$A$5:$A$9,0),MATCH($B39,Prioridade!$B$4:$J$4,0))</f>
        <v>Alta</v>
      </c>
      <c r="G39" s="13" t="str">
        <f aca="false">INDEX(Prioridade!$B$5:$J$9,MATCH(G$7,Prioridade!$A$5:$A$9,0),MATCH($B39,Prioridade!$B$4:$J$4,0))</f>
        <v>Alta</v>
      </c>
      <c r="H39" s="13" t="str">
        <f aca="false">INDEX(Prioridade!$B$5:$J$9,MATCH(H$7,Prioridade!$A$5:$A$9,0),MATCH($B39,Prioridade!$B$4:$J$4,0))</f>
        <v>Alta</v>
      </c>
      <c r="I39" s="13" t="str">
        <f aca="false">INDEX(Prioridade!$B$5:$J$9,MATCH(I$7,Prioridade!$A$5:$A$9,0),MATCH($B39,Prioridade!$B$4:$J$4,0))</f>
        <v>Alta</v>
      </c>
      <c r="J39" s="13" t="str">
        <f aca="false">INDEX(Prioridade!$B$5:$J$9,MATCH(J$7,Prioridade!$A$5:$A$9,0),MATCH($B39,Prioridade!$B$4:$J$4,0))</f>
        <v>Alta</v>
      </c>
    </row>
    <row r="40" customFormat="false" ht="15" hidden="false" customHeight="false" outlineLevel="0" collapsed="false">
      <c r="A40" s="13" t="n">
        <v>33</v>
      </c>
      <c r="B40" s="7" t="s">
        <v>235</v>
      </c>
      <c r="C40" s="7" t="s">
        <v>355</v>
      </c>
      <c r="D40" s="13" t="n">
        <v>5</v>
      </c>
      <c r="E40" s="7" t="s">
        <v>356</v>
      </c>
      <c r="F40" s="13" t="str">
        <f aca="false">INDEX(Prioridade!$B$5:$J$9,MATCH(F$7,Prioridade!$A$5:$A$9,0),MATCH($B40,Prioridade!$B$4:$J$4,0))</f>
        <v>Alta</v>
      </c>
      <c r="G40" s="13" t="str">
        <f aca="false">INDEX(Prioridade!$B$5:$J$9,MATCH(G$7,Prioridade!$A$5:$A$9,0),MATCH($B40,Prioridade!$B$4:$J$4,0))</f>
        <v>Alta</v>
      </c>
      <c r="H40" s="13" t="str">
        <f aca="false">INDEX(Prioridade!$B$5:$J$9,MATCH(H$7,Prioridade!$A$5:$A$9,0),MATCH($B40,Prioridade!$B$4:$J$4,0))</f>
        <v>Alta</v>
      </c>
      <c r="I40" s="13" t="str">
        <f aca="false">INDEX(Prioridade!$B$5:$J$9,MATCH(I$7,Prioridade!$A$5:$A$9,0),MATCH($B40,Prioridade!$B$4:$J$4,0))</f>
        <v>Alta</v>
      </c>
      <c r="J40" s="13" t="str">
        <f aca="false">INDEX(Prioridade!$B$5:$J$9,MATCH(J$7,Prioridade!$A$5:$A$9,0),MATCH($B40,Prioridade!$B$4:$J$4,0))</f>
        <v>Alta</v>
      </c>
    </row>
    <row r="41" customFormat="false" ht="15" hidden="false" customHeight="false" outlineLevel="0" collapsed="false">
      <c r="A41" s="13" t="n">
        <v>34</v>
      </c>
      <c r="B41" s="7" t="s">
        <v>235</v>
      </c>
      <c r="C41" s="7" t="s">
        <v>357</v>
      </c>
      <c r="D41" s="13" t="n">
        <v>3</v>
      </c>
      <c r="E41" s="7" t="s">
        <v>358</v>
      </c>
      <c r="F41" s="13" t="str">
        <f aca="false">INDEX(Prioridade!$B$5:$J$9,MATCH(F$7,Prioridade!$A$5:$A$9,0),MATCH($B41,Prioridade!$B$4:$J$4,0))</f>
        <v>Alta</v>
      </c>
      <c r="G41" s="13" t="str">
        <f aca="false">INDEX(Prioridade!$B$5:$J$9,MATCH(G$7,Prioridade!$A$5:$A$9,0),MATCH($B41,Prioridade!$B$4:$J$4,0))</f>
        <v>Alta</v>
      </c>
      <c r="H41" s="13" t="str">
        <f aca="false">INDEX(Prioridade!$B$5:$J$9,MATCH(H$7,Prioridade!$A$5:$A$9,0),MATCH($B41,Prioridade!$B$4:$J$4,0))</f>
        <v>Alta</v>
      </c>
      <c r="I41" s="13" t="str">
        <f aca="false">INDEX(Prioridade!$B$5:$J$9,MATCH(I$7,Prioridade!$A$5:$A$9,0),MATCH($B41,Prioridade!$B$4:$J$4,0))</f>
        <v>Alta</v>
      </c>
      <c r="J41" s="13" t="str">
        <f aca="false">INDEX(Prioridade!$B$5:$J$9,MATCH(J$7,Prioridade!$A$5:$A$9,0),MATCH($B41,Prioridade!$B$4:$J$4,0))</f>
        <v>Alta</v>
      </c>
    </row>
    <row r="42" customFormat="false" ht="15" hidden="false" customHeight="false" outlineLevel="0" collapsed="false">
      <c r="A42" s="13" t="n">
        <v>35</v>
      </c>
      <c r="B42" s="7" t="s">
        <v>235</v>
      </c>
      <c r="C42" s="7" t="s">
        <v>359</v>
      </c>
      <c r="D42" s="13" t="n">
        <v>8</v>
      </c>
      <c r="E42" s="7" t="s">
        <v>360</v>
      </c>
      <c r="F42" s="13" t="str">
        <f aca="false">INDEX(Prioridade!$B$5:$J$9,MATCH(F$7,Prioridade!$A$5:$A$9,0),MATCH($B42,Prioridade!$B$4:$J$4,0))</f>
        <v>Alta</v>
      </c>
      <c r="G42" s="13" t="str">
        <f aca="false">INDEX(Prioridade!$B$5:$J$9,MATCH(G$7,Prioridade!$A$5:$A$9,0),MATCH($B42,Prioridade!$B$4:$J$4,0))</f>
        <v>Alta</v>
      </c>
      <c r="H42" s="13" t="str">
        <f aca="false">INDEX(Prioridade!$B$5:$J$9,MATCH(H$7,Prioridade!$A$5:$A$9,0),MATCH($B42,Prioridade!$B$4:$J$4,0))</f>
        <v>Alta</v>
      </c>
      <c r="I42" s="13" t="str">
        <f aca="false">INDEX(Prioridade!$B$5:$J$9,MATCH(I$7,Prioridade!$A$5:$A$9,0),MATCH($B42,Prioridade!$B$4:$J$4,0))</f>
        <v>Alta</v>
      </c>
      <c r="J42" s="13" t="str">
        <f aca="false">INDEX(Prioridade!$B$5:$J$9,MATCH(J$7,Prioridade!$A$5:$A$9,0),MATCH($B42,Prioridade!$B$4:$J$4,0))</f>
        <v>Alta</v>
      </c>
    </row>
    <row r="43" customFormat="false" ht="15" hidden="false" customHeight="false" outlineLevel="0" collapsed="false">
      <c r="A43" s="13" t="n">
        <v>36</v>
      </c>
      <c r="B43" s="7" t="s">
        <v>235</v>
      </c>
      <c r="C43" s="7" t="s">
        <v>361</v>
      </c>
      <c r="D43" s="13" t="n">
        <v>8</v>
      </c>
      <c r="E43" s="7" t="s">
        <v>362</v>
      </c>
      <c r="F43" s="13" t="str">
        <f aca="false">INDEX(Prioridade!$B$5:$J$9,MATCH(F$7,Prioridade!$A$5:$A$9,0),MATCH($B43,Prioridade!$B$4:$J$4,0))</f>
        <v>Alta</v>
      </c>
      <c r="G43" s="13" t="str">
        <f aca="false">INDEX(Prioridade!$B$5:$J$9,MATCH(G$7,Prioridade!$A$5:$A$9,0),MATCH($B43,Prioridade!$B$4:$J$4,0))</f>
        <v>Alta</v>
      </c>
      <c r="H43" s="13" t="str">
        <f aca="false">INDEX(Prioridade!$B$5:$J$9,MATCH(H$7,Prioridade!$A$5:$A$9,0),MATCH($B43,Prioridade!$B$4:$J$4,0))</f>
        <v>Alta</v>
      </c>
      <c r="I43" s="13" t="str">
        <f aca="false">INDEX(Prioridade!$B$5:$J$9,MATCH(I$7,Prioridade!$A$5:$A$9,0),MATCH($B43,Prioridade!$B$4:$J$4,0))</f>
        <v>Alta</v>
      </c>
      <c r="J43" s="13" t="str">
        <f aca="false">INDEX(Prioridade!$B$5:$J$9,MATCH(J$7,Prioridade!$A$5:$A$9,0),MATCH($B43,Prioridade!$B$4:$J$4,0))</f>
        <v>Alta</v>
      </c>
    </row>
    <row r="44" customFormat="false" ht="15" hidden="false" customHeight="false" outlineLevel="0" collapsed="false">
      <c r="A44" s="13" t="n">
        <v>37</v>
      </c>
      <c r="B44" s="7" t="s">
        <v>235</v>
      </c>
      <c r="C44" s="7" t="s">
        <v>363</v>
      </c>
      <c r="D44" s="13" t="n">
        <v>10</v>
      </c>
      <c r="E44" s="7" t="s">
        <v>364</v>
      </c>
      <c r="F44" s="13" t="str">
        <f aca="false">INDEX(Prioridade!$B$5:$J$9,MATCH(F$7,Prioridade!$A$5:$A$9,0),MATCH($B44,Prioridade!$B$4:$J$4,0))</f>
        <v>Alta</v>
      </c>
      <c r="G44" s="13" t="str">
        <f aca="false">INDEX(Prioridade!$B$5:$J$9,MATCH(G$7,Prioridade!$A$5:$A$9,0),MATCH($B44,Prioridade!$B$4:$J$4,0))</f>
        <v>Alta</v>
      </c>
      <c r="H44" s="13" t="str">
        <f aca="false">INDEX(Prioridade!$B$5:$J$9,MATCH(H$7,Prioridade!$A$5:$A$9,0),MATCH($B44,Prioridade!$B$4:$J$4,0))</f>
        <v>Alta</v>
      </c>
      <c r="I44" s="13" t="str">
        <f aca="false">INDEX(Prioridade!$B$5:$J$9,MATCH(I$7,Prioridade!$A$5:$A$9,0),MATCH($B44,Prioridade!$B$4:$J$4,0))</f>
        <v>Alta</v>
      </c>
      <c r="J44" s="13" t="str">
        <f aca="false">INDEX(Prioridade!$B$5:$J$9,MATCH(J$7,Prioridade!$A$5:$A$9,0),MATCH($B44,Prioridade!$B$4:$J$4,0))</f>
        <v>Alta</v>
      </c>
    </row>
    <row r="45" customFormat="false" ht="15" hidden="false" customHeight="false" outlineLevel="0" collapsed="false">
      <c r="A45" s="13" t="n">
        <v>38</v>
      </c>
      <c r="B45" s="7" t="s">
        <v>235</v>
      </c>
      <c r="C45" s="7" t="s">
        <v>365</v>
      </c>
      <c r="D45" s="13" t="n">
        <v>10</v>
      </c>
      <c r="E45" s="7" t="s">
        <v>364</v>
      </c>
      <c r="F45" s="13" t="str">
        <f aca="false">INDEX(Prioridade!$B$5:$J$9,MATCH(F$7,Prioridade!$A$5:$A$9,0),MATCH($B45,Prioridade!$B$4:$J$4,0))</f>
        <v>Alta</v>
      </c>
      <c r="G45" s="13" t="str">
        <f aca="false">INDEX(Prioridade!$B$5:$J$9,MATCH(G$7,Prioridade!$A$5:$A$9,0),MATCH($B45,Prioridade!$B$4:$J$4,0))</f>
        <v>Alta</v>
      </c>
      <c r="H45" s="13" t="str">
        <f aca="false">INDEX(Prioridade!$B$5:$J$9,MATCH(H$7,Prioridade!$A$5:$A$9,0),MATCH($B45,Prioridade!$B$4:$J$4,0))</f>
        <v>Alta</v>
      </c>
      <c r="I45" s="13" t="str">
        <f aca="false">INDEX(Prioridade!$B$5:$J$9,MATCH(I$7,Prioridade!$A$5:$A$9,0),MATCH($B45,Prioridade!$B$4:$J$4,0))</f>
        <v>Alta</v>
      </c>
      <c r="J45" s="13" t="str">
        <f aca="false">INDEX(Prioridade!$B$5:$J$9,MATCH(J$7,Prioridade!$A$5:$A$9,0),MATCH($B45,Prioridade!$B$4:$J$4,0))</f>
        <v>Alta</v>
      </c>
    </row>
    <row r="46" customFormat="false" ht="15" hidden="false" customHeight="false" outlineLevel="0" collapsed="false">
      <c r="A46" s="13" t="n">
        <v>39</v>
      </c>
      <c r="B46" s="7" t="s">
        <v>240</v>
      </c>
      <c r="C46" s="7" t="s">
        <v>366</v>
      </c>
      <c r="D46" s="13" t="n">
        <v>8</v>
      </c>
      <c r="E46" s="7" t="s">
        <v>367</v>
      </c>
      <c r="F46" s="13" t="str">
        <f aca="false">INDEX(Prioridade!$B$5:$J$9,MATCH(F$7,Prioridade!$A$5:$A$9,0),MATCH($B46,Prioridade!$B$4:$J$4,0))</f>
        <v>Média</v>
      </c>
      <c r="G46" s="13" t="str">
        <f aca="false">INDEX(Prioridade!$B$5:$J$9,MATCH(G$7,Prioridade!$A$5:$A$9,0),MATCH($B46,Prioridade!$B$4:$J$4,0))</f>
        <v>Alta</v>
      </c>
      <c r="H46" s="13" t="str">
        <f aca="false">INDEX(Prioridade!$B$5:$J$9,MATCH(H$7,Prioridade!$A$5:$A$9,0),MATCH($B46,Prioridade!$B$4:$J$4,0))</f>
        <v>Média</v>
      </c>
      <c r="I46" s="13" t="str">
        <f aca="false">INDEX(Prioridade!$B$5:$J$9,MATCH(I$7,Prioridade!$A$5:$A$9,0),MATCH($B46,Prioridade!$B$4:$J$4,0))</f>
        <v>Média</v>
      </c>
      <c r="J46" s="13" t="str">
        <f aca="false">INDEX(Prioridade!$B$5:$J$9,MATCH(J$7,Prioridade!$A$5:$A$9,0),MATCH($B46,Prioridade!$B$4:$J$4,0))</f>
        <v>Média</v>
      </c>
    </row>
    <row r="47" customFormat="false" ht="15" hidden="false" customHeight="false" outlineLevel="0" collapsed="false">
      <c r="A47" s="13" t="n">
        <v>40</v>
      </c>
      <c r="B47" s="7" t="s">
        <v>240</v>
      </c>
      <c r="C47" s="7" t="s">
        <v>368</v>
      </c>
      <c r="D47" s="13" t="n">
        <v>6</v>
      </c>
      <c r="E47" s="7" t="s">
        <v>369</v>
      </c>
      <c r="F47" s="13" t="str">
        <f aca="false">INDEX(Prioridade!$B$5:$J$9,MATCH(F$7,Prioridade!$A$5:$A$9,0),MATCH($B47,Prioridade!$B$4:$J$4,0))</f>
        <v>Média</v>
      </c>
      <c r="G47" s="13" t="str">
        <f aca="false">INDEX(Prioridade!$B$5:$J$9,MATCH(G$7,Prioridade!$A$5:$A$9,0),MATCH($B47,Prioridade!$B$4:$J$4,0))</f>
        <v>Alta</v>
      </c>
      <c r="H47" s="13" t="str">
        <f aca="false">INDEX(Prioridade!$B$5:$J$9,MATCH(H$7,Prioridade!$A$5:$A$9,0),MATCH($B47,Prioridade!$B$4:$J$4,0))</f>
        <v>Média</v>
      </c>
      <c r="I47" s="13" t="str">
        <f aca="false">INDEX(Prioridade!$B$5:$J$9,MATCH(I$7,Prioridade!$A$5:$A$9,0),MATCH($B47,Prioridade!$B$4:$J$4,0))</f>
        <v>Média</v>
      </c>
      <c r="J47" s="13" t="str">
        <f aca="false">INDEX(Prioridade!$B$5:$J$9,MATCH(J$7,Prioridade!$A$5:$A$9,0),MATCH($B47,Prioridade!$B$4:$J$4,0))</f>
        <v>Média</v>
      </c>
    </row>
    <row r="48" customFormat="false" ht="15" hidden="false" customHeight="false" outlineLevel="0" collapsed="false">
      <c r="A48" s="13" t="n">
        <v>41</v>
      </c>
      <c r="B48" s="7" t="s">
        <v>240</v>
      </c>
      <c r="C48" s="7" t="s">
        <v>370</v>
      </c>
      <c r="D48" s="13" t="n">
        <v>6</v>
      </c>
      <c r="E48" s="7" t="s">
        <v>371</v>
      </c>
      <c r="F48" s="13" t="str">
        <f aca="false">INDEX(Prioridade!$B$5:$J$9,MATCH(F$7,Prioridade!$A$5:$A$9,0),MATCH($B48,Prioridade!$B$4:$J$4,0))</f>
        <v>Média</v>
      </c>
      <c r="G48" s="13" t="str">
        <f aca="false">INDEX(Prioridade!$B$5:$J$9,MATCH(G$7,Prioridade!$A$5:$A$9,0),MATCH($B48,Prioridade!$B$4:$J$4,0))</f>
        <v>Alta</v>
      </c>
      <c r="H48" s="13" t="str">
        <f aca="false">INDEX(Prioridade!$B$5:$J$9,MATCH(H$7,Prioridade!$A$5:$A$9,0),MATCH($B48,Prioridade!$B$4:$J$4,0))</f>
        <v>Média</v>
      </c>
      <c r="I48" s="13" t="str">
        <f aca="false">INDEX(Prioridade!$B$5:$J$9,MATCH(I$7,Prioridade!$A$5:$A$9,0),MATCH($B48,Prioridade!$B$4:$J$4,0))</f>
        <v>Média</v>
      </c>
      <c r="J48" s="13" t="str">
        <f aca="false">INDEX(Prioridade!$B$5:$J$9,MATCH(J$7,Prioridade!$A$5:$A$9,0),MATCH($B48,Prioridade!$B$4:$J$4,0))</f>
        <v>Média</v>
      </c>
    </row>
    <row r="49" customFormat="false" ht="15" hidden="false" customHeight="false" outlineLevel="0" collapsed="false">
      <c r="A49" s="13" t="n">
        <v>42</v>
      </c>
      <c r="B49" s="7" t="s">
        <v>240</v>
      </c>
      <c r="C49" s="7" t="s">
        <v>372</v>
      </c>
      <c r="D49" s="13" t="n">
        <v>6</v>
      </c>
      <c r="E49" s="7" t="s">
        <v>373</v>
      </c>
      <c r="F49" s="13" t="str">
        <f aca="false">INDEX(Prioridade!$B$5:$J$9,MATCH(F$7,Prioridade!$A$5:$A$9,0),MATCH($B49,Prioridade!$B$4:$J$4,0))</f>
        <v>Média</v>
      </c>
      <c r="G49" s="13" t="str">
        <f aca="false">INDEX(Prioridade!$B$5:$J$9,MATCH(G$7,Prioridade!$A$5:$A$9,0),MATCH($B49,Prioridade!$B$4:$J$4,0))</f>
        <v>Alta</v>
      </c>
      <c r="H49" s="13" t="str">
        <f aca="false">INDEX(Prioridade!$B$5:$J$9,MATCH(H$7,Prioridade!$A$5:$A$9,0),MATCH($B49,Prioridade!$B$4:$J$4,0))</f>
        <v>Média</v>
      </c>
      <c r="I49" s="13" t="str">
        <f aca="false">INDEX(Prioridade!$B$5:$J$9,MATCH(I$7,Prioridade!$A$5:$A$9,0),MATCH($B49,Prioridade!$B$4:$J$4,0))</f>
        <v>Média</v>
      </c>
      <c r="J49" s="13" t="str">
        <f aca="false">INDEX(Prioridade!$B$5:$J$9,MATCH(J$7,Prioridade!$A$5:$A$9,0),MATCH($B49,Prioridade!$B$4:$J$4,0))</f>
        <v>Média</v>
      </c>
    </row>
    <row r="50" customFormat="false" ht="15" hidden="false" customHeight="false" outlineLevel="0" collapsed="false">
      <c r="A50" s="13" t="n">
        <v>43</v>
      </c>
      <c r="B50" s="7" t="s">
        <v>240</v>
      </c>
      <c r="C50" s="7" t="s">
        <v>374</v>
      </c>
      <c r="D50" s="13" t="n">
        <v>8</v>
      </c>
      <c r="E50" s="7" t="s">
        <v>375</v>
      </c>
      <c r="F50" s="13" t="str">
        <f aca="false">INDEX(Prioridade!$B$5:$J$9,MATCH(F$7,Prioridade!$A$5:$A$9,0),MATCH($B50,Prioridade!$B$4:$J$4,0))</f>
        <v>Média</v>
      </c>
      <c r="G50" s="13" t="str">
        <f aca="false">INDEX(Prioridade!$B$5:$J$9,MATCH(G$7,Prioridade!$A$5:$A$9,0),MATCH($B50,Prioridade!$B$4:$J$4,0))</f>
        <v>Alta</v>
      </c>
      <c r="H50" s="13" t="str">
        <f aca="false">INDEX(Prioridade!$B$5:$J$9,MATCH(H$7,Prioridade!$A$5:$A$9,0),MATCH($B50,Prioridade!$B$4:$J$4,0))</f>
        <v>Média</v>
      </c>
      <c r="I50" s="13" t="str">
        <f aca="false">INDEX(Prioridade!$B$5:$J$9,MATCH(I$7,Prioridade!$A$5:$A$9,0),MATCH($B50,Prioridade!$B$4:$J$4,0))</f>
        <v>Média</v>
      </c>
      <c r="J50" s="13" t="str">
        <f aca="false">INDEX(Prioridade!$B$5:$J$9,MATCH(J$7,Prioridade!$A$5:$A$9,0),MATCH($B50,Prioridade!$B$4:$J$4,0))</f>
        <v>Média</v>
      </c>
    </row>
    <row r="51" customFormat="false" ht="15" hidden="false" customHeight="false" outlineLevel="0" collapsed="false">
      <c r="A51" s="13" t="n">
        <v>44</v>
      </c>
      <c r="B51" s="7" t="s">
        <v>240</v>
      </c>
      <c r="C51" s="7" t="s">
        <v>376</v>
      </c>
      <c r="D51" s="13" t="n">
        <v>4</v>
      </c>
      <c r="E51" s="7" t="s">
        <v>377</v>
      </c>
      <c r="F51" s="13" t="str">
        <f aca="false">INDEX(Prioridade!$B$5:$J$9,MATCH(F$7,Prioridade!$A$5:$A$9,0),MATCH($B51,Prioridade!$B$4:$J$4,0))</f>
        <v>Média</v>
      </c>
      <c r="G51" s="13" t="str">
        <f aca="false">INDEX(Prioridade!$B$5:$J$9,MATCH(G$7,Prioridade!$A$5:$A$9,0),MATCH($B51,Prioridade!$B$4:$J$4,0))</f>
        <v>Alta</v>
      </c>
      <c r="H51" s="13" t="str">
        <f aca="false">INDEX(Prioridade!$B$5:$J$9,MATCH(H$7,Prioridade!$A$5:$A$9,0),MATCH($B51,Prioridade!$B$4:$J$4,0))</f>
        <v>Média</v>
      </c>
      <c r="I51" s="13" t="str">
        <f aca="false">INDEX(Prioridade!$B$5:$J$9,MATCH(I$7,Prioridade!$A$5:$A$9,0),MATCH($B51,Prioridade!$B$4:$J$4,0))</f>
        <v>Média</v>
      </c>
      <c r="J51" s="13" t="str">
        <f aca="false">INDEX(Prioridade!$B$5:$J$9,MATCH(J$7,Prioridade!$A$5:$A$9,0),MATCH($B51,Prioridade!$B$4:$J$4,0))</f>
        <v>Média</v>
      </c>
    </row>
    <row r="52" customFormat="false" ht="15" hidden="false" customHeight="false" outlineLevel="0" collapsed="false">
      <c r="A52" s="13" t="n">
        <v>45</v>
      </c>
      <c r="B52" s="7" t="s">
        <v>240</v>
      </c>
      <c r="C52" s="7" t="s">
        <v>378</v>
      </c>
      <c r="D52" s="13" t="n">
        <v>6</v>
      </c>
      <c r="E52" s="7" t="s">
        <v>379</v>
      </c>
      <c r="F52" s="13" t="str">
        <f aca="false">INDEX(Prioridade!$B$5:$J$9,MATCH(F$7,Prioridade!$A$5:$A$9,0),MATCH($B52,Prioridade!$B$4:$J$4,0))</f>
        <v>Média</v>
      </c>
      <c r="G52" s="13" t="str">
        <f aca="false">INDEX(Prioridade!$B$5:$J$9,MATCH(G$7,Prioridade!$A$5:$A$9,0),MATCH($B52,Prioridade!$B$4:$J$4,0))</f>
        <v>Alta</v>
      </c>
      <c r="H52" s="13" t="str">
        <f aca="false">INDEX(Prioridade!$B$5:$J$9,MATCH(H$7,Prioridade!$A$5:$A$9,0),MATCH($B52,Prioridade!$B$4:$J$4,0))</f>
        <v>Média</v>
      </c>
      <c r="I52" s="13" t="str">
        <f aca="false">INDEX(Prioridade!$B$5:$J$9,MATCH(I$7,Prioridade!$A$5:$A$9,0),MATCH($B52,Prioridade!$B$4:$J$4,0))</f>
        <v>Média</v>
      </c>
      <c r="J52" s="13" t="str">
        <f aca="false">INDEX(Prioridade!$B$5:$J$9,MATCH(J$7,Prioridade!$A$5:$A$9,0),MATCH($B52,Prioridade!$B$4:$J$4,0))</f>
        <v>Média</v>
      </c>
    </row>
    <row r="53" customFormat="false" ht="15" hidden="false" customHeight="false" outlineLevel="0" collapsed="false">
      <c r="A53" s="13" t="n">
        <v>46</v>
      </c>
      <c r="B53" s="7" t="s">
        <v>240</v>
      </c>
      <c r="C53" s="7" t="s">
        <v>380</v>
      </c>
      <c r="D53" s="13" t="n">
        <v>8</v>
      </c>
      <c r="E53" s="7" t="s">
        <v>381</v>
      </c>
      <c r="F53" s="13" t="str">
        <f aca="false">INDEX(Prioridade!$B$5:$J$9,MATCH(F$7,Prioridade!$A$5:$A$9,0),MATCH($B53,Prioridade!$B$4:$J$4,0))</f>
        <v>Média</v>
      </c>
      <c r="G53" s="13" t="str">
        <f aca="false">INDEX(Prioridade!$B$5:$J$9,MATCH(G$7,Prioridade!$A$5:$A$9,0),MATCH($B53,Prioridade!$B$4:$J$4,0))</f>
        <v>Alta</v>
      </c>
      <c r="H53" s="13" t="str">
        <f aca="false">INDEX(Prioridade!$B$5:$J$9,MATCH(H$7,Prioridade!$A$5:$A$9,0),MATCH($B53,Prioridade!$B$4:$J$4,0))</f>
        <v>Média</v>
      </c>
      <c r="I53" s="13" t="str">
        <f aca="false">INDEX(Prioridade!$B$5:$J$9,MATCH(I$7,Prioridade!$A$5:$A$9,0),MATCH($B53,Prioridade!$B$4:$J$4,0))</f>
        <v>Média</v>
      </c>
      <c r="J53" s="13" t="str">
        <f aca="false">INDEX(Prioridade!$B$5:$J$9,MATCH(J$7,Prioridade!$A$5:$A$9,0),MATCH($B53,Prioridade!$B$4:$J$4,0))</f>
        <v>Média</v>
      </c>
    </row>
    <row r="54" customFormat="false" ht="15" hidden="false" customHeight="false" outlineLevel="0" collapsed="false">
      <c r="A54" s="13" t="n">
        <v>47</v>
      </c>
      <c r="B54" s="7" t="s">
        <v>246</v>
      </c>
      <c r="C54" s="7" t="s">
        <v>382</v>
      </c>
      <c r="D54" s="13" t="n">
        <v>4</v>
      </c>
      <c r="E54" s="7" t="s">
        <v>383</v>
      </c>
      <c r="F54" s="13" t="str">
        <f aca="false">INDEX(Prioridade!$B$5:$J$9,MATCH(F$7,Prioridade!$A$5:$A$9,0),MATCH($B54,Prioridade!$B$4:$J$4,0))</f>
        <v>Alta</v>
      </c>
      <c r="G54" s="13" t="str">
        <f aca="false">INDEX(Prioridade!$B$5:$J$9,MATCH(G$7,Prioridade!$A$5:$A$9,0),MATCH($B54,Prioridade!$B$4:$J$4,0))</f>
        <v>Média</v>
      </c>
      <c r="H54" s="13" t="str">
        <f aca="false">INDEX(Prioridade!$B$5:$J$9,MATCH(H$7,Prioridade!$A$5:$A$9,0),MATCH($B54,Prioridade!$B$4:$J$4,0))</f>
        <v>Média</v>
      </c>
      <c r="I54" s="13" t="str">
        <f aca="false">INDEX(Prioridade!$B$5:$J$9,MATCH(I$7,Prioridade!$A$5:$A$9,0),MATCH($B54,Prioridade!$B$4:$J$4,0))</f>
        <v>Alta</v>
      </c>
      <c r="J54" s="13" t="str">
        <f aca="false">INDEX(Prioridade!$B$5:$J$9,MATCH(J$7,Prioridade!$A$5:$A$9,0),MATCH($B54,Prioridade!$B$4:$J$4,0))</f>
        <v>Alta</v>
      </c>
    </row>
    <row r="55" customFormat="false" ht="15" hidden="false" customHeight="false" outlineLevel="0" collapsed="false">
      <c r="A55" s="13" t="n">
        <v>48</v>
      </c>
      <c r="B55" s="7" t="s">
        <v>246</v>
      </c>
      <c r="C55" s="7" t="s">
        <v>384</v>
      </c>
      <c r="D55" s="13" t="n">
        <v>4</v>
      </c>
      <c r="E55" s="7" t="s">
        <v>385</v>
      </c>
      <c r="F55" s="13" t="str">
        <f aca="false">INDEX(Prioridade!$B$5:$J$9,MATCH(F$7,Prioridade!$A$5:$A$9,0),MATCH($B55,Prioridade!$B$4:$J$4,0))</f>
        <v>Alta</v>
      </c>
      <c r="G55" s="13" t="str">
        <f aca="false">INDEX(Prioridade!$B$5:$J$9,MATCH(G$7,Prioridade!$A$5:$A$9,0),MATCH($B55,Prioridade!$B$4:$J$4,0))</f>
        <v>Média</v>
      </c>
      <c r="H55" s="13" t="str">
        <f aca="false">INDEX(Prioridade!$B$5:$J$9,MATCH(H$7,Prioridade!$A$5:$A$9,0),MATCH($B55,Prioridade!$B$4:$J$4,0))</f>
        <v>Média</v>
      </c>
      <c r="I55" s="13" t="str">
        <f aca="false">INDEX(Prioridade!$B$5:$J$9,MATCH(I$7,Prioridade!$A$5:$A$9,0),MATCH($B55,Prioridade!$B$4:$J$4,0))</f>
        <v>Alta</v>
      </c>
      <c r="J55" s="13" t="str">
        <f aca="false">INDEX(Prioridade!$B$5:$J$9,MATCH(J$7,Prioridade!$A$5:$A$9,0),MATCH($B55,Prioridade!$B$4:$J$4,0))</f>
        <v>Alta</v>
      </c>
    </row>
    <row r="56" customFormat="false" ht="15" hidden="false" customHeight="false" outlineLevel="0" collapsed="false">
      <c r="A56" s="13" t="n">
        <v>49</v>
      </c>
      <c r="B56" s="7" t="s">
        <v>246</v>
      </c>
      <c r="C56" s="7" t="s">
        <v>386</v>
      </c>
      <c r="D56" s="13" t="n">
        <v>10</v>
      </c>
      <c r="E56" s="7" t="s">
        <v>387</v>
      </c>
      <c r="F56" s="13" t="str">
        <f aca="false">INDEX(Prioridade!$B$5:$J$9,MATCH(F$7,Prioridade!$A$5:$A$9,0),MATCH($B56,Prioridade!$B$4:$J$4,0))</f>
        <v>Alta</v>
      </c>
      <c r="G56" s="13" t="str">
        <f aca="false">INDEX(Prioridade!$B$5:$J$9,MATCH(G$7,Prioridade!$A$5:$A$9,0),MATCH($B56,Prioridade!$B$4:$J$4,0))</f>
        <v>Média</v>
      </c>
      <c r="H56" s="13" t="str">
        <f aca="false">INDEX(Prioridade!$B$5:$J$9,MATCH(H$7,Prioridade!$A$5:$A$9,0),MATCH($B56,Prioridade!$B$4:$J$4,0))</f>
        <v>Média</v>
      </c>
      <c r="I56" s="13" t="str">
        <f aca="false">INDEX(Prioridade!$B$5:$J$9,MATCH(I$7,Prioridade!$A$5:$A$9,0),MATCH($B56,Prioridade!$B$4:$J$4,0))</f>
        <v>Alta</v>
      </c>
      <c r="J56" s="13" t="str">
        <f aca="false">INDEX(Prioridade!$B$5:$J$9,MATCH(J$7,Prioridade!$A$5:$A$9,0),MATCH($B56,Prioridade!$B$4:$J$4,0))</f>
        <v>Alta</v>
      </c>
    </row>
    <row r="57" customFormat="false" ht="15" hidden="false" customHeight="false" outlineLevel="0" collapsed="false">
      <c r="A57" s="13" t="n">
        <v>50</v>
      </c>
      <c r="B57" s="7" t="s">
        <v>246</v>
      </c>
      <c r="C57" s="7" t="s">
        <v>388</v>
      </c>
      <c r="D57" s="13" t="n">
        <v>6</v>
      </c>
      <c r="E57" s="7" t="s">
        <v>389</v>
      </c>
      <c r="F57" s="13" t="str">
        <f aca="false">INDEX(Prioridade!$B$5:$J$9,MATCH(F$7,Prioridade!$A$5:$A$9,0),MATCH($B57,Prioridade!$B$4:$J$4,0))</f>
        <v>Alta</v>
      </c>
      <c r="G57" s="13" t="str">
        <f aca="false">INDEX(Prioridade!$B$5:$J$9,MATCH(G$7,Prioridade!$A$5:$A$9,0),MATCH($B57,Prioridade!$B$4:$J$4,0))</f>
        <v>Média</v>
      </c>
      <c r="H57" s="13" t="str">
        <f aca="false">INDEX(Prioridade!$B$5:$J$9,MATCH(H$7,Prioridade!$A$5:$A$9,0),MATCH($B57,Prioridade!$B$4:$J$4,0))</f>
        <v>Média</v>
      </c>
      <c r="I57" s="13" t="str">
        <f aca="false">INDEX(Prioridade!$B$5:$J$9,MATCH(I$7,Prioridade!$A$5:$A$9,0),MATCH($B57,Prioridade!$B$4:$J$4,0))</f>
        <v>Alta</v>
      </c>
      <c r="J57" s="13" t="str">
        <f aca="false">INDEX(Prioridade!$B$5:$J$9,MATCH(J$7,Prioridade!$A$5:$A$9,0),MATCH($B57,Prioridade!$B$4:$J$4,0))</f>
        <v>Alta</v>
      </c>
    </row>
    <row r="58" customFormat="false" ht="15" hidden="false" customHeight="false" outlineLevel="0" collapsed="false">
      <c r="A58" s="13" t="n">
        <v>51</v>
      </c>
      <c r="B58" s="7" t="s">
        <v>246</v>
      </c>
      <c r="C58" s="7" t="s">
        <v>390</v>
      </c>
      <c r="D58" s="13" t="n">
        <v>6</v>
      </c>
      <c r="E58" s="7" t="s">
        <v>391</v>
      </c>
      <c r="F58" s="13" t="str">
        <f aca="false">INDEX(Prioridade!$B$5:$J$9,MATCH(F$7,Prioridade!$A$5:$A$9,0),MATCH($B58,Prioridade!$B$4:$J$4,0))</f>
        <v>Alta</v>
      </c>
      <c r="G58" s="13" t="str">
        <f aca="false">INDEX(Prioridade!$B$5:$J$9,MATCH(G$7,Prioridade!$A$5:$A$9,0),MATCH($B58,Prioridade!$B$4:$J$4,0))</f>
        <v>Média</v>
      </c>
      <c r="H58" s="13" t="str">
        <f aca="false">INDEX(Prioridade!$B$5:$J$9,MATCH(H$7,Prioridade!$A$5:$A$9,0),MATCH($B58,Prioridade!$B$4:$J$4,0))</f>
        <v>Média</v>
      </c>
      <c r="I58" s="13" t="str">
        <f aca="false">INDEX(Prioridade!$B$5:$J$9,MATCH(I$7,Prioridade!$A$5:$A$9,0),MATCH($B58,Prioridade!$B$4:$J$4,0))</f>
        <v>Alta</v>
      </c>
      <c r="J58" s="13" t="str">
        <f aca="false">INDEX(Prioridade!$B$5:$J$9,MATCH(J$7,Prioridade!$A$5:$A$9,0),MATCH($B58,Prioridade!$B$4:$J$4,0))</f>
        <v>Alta</v>
      </c>
    </row>
    <row r="59" customFormat="false" ht="15" hidden="false" customHeight="false" outlineLevel="0" collapsed="false">
      <c r="A59" s="13" t="n">
        <v>52</v>
      </c>
      <c r="B59" s="7" t="s">
        <v>246</v>
      </c>
      <c r="C59" s="7" t="s">
        <v>392</v>
      </c>
      <c r="D59" s="13" t="n">
        <v>6</v>
      </c>
      <c r="E59" s="7" t="s">
        <v>393</v>
      </c>
      <c r="F59" s="13" t="str">
        <f aca="false">INDEX(Prioridade!$B$5:$J$9,MATCH(F$7,Prioridade!$A$5:$A$9,0),MATCH($B59,Prioridade!$B$4:$J$4,0))</f>
        <v>Alta</v>
      </c>
      <c r="G59" s="13" t="str">
        <f aca="false">INDEX(Prioridade!$B$5:$J$9,MATCH(G$7,Prioridade!$A$5:$A$9,0),MATCH($B59,Prioridade!$B$4:$J$4,0))</f>
        <v>Média</v>
      </c>
      <c r="H59" s="13" t="str">
        <f aca="false">INDEX(Prioridade!$B$5:$J$9,MATCH(H$7,Prioridade!$A$5:$A$9,0),MATCH($B59,Prioridade!$B$4:$J$4,0))</f>
        <v>Média</v>
      </c>
      <c r="I59" s="13" t="str">
        <f aca="false">INDEX(Prioridade!$B$5:$J$9,MATCH(I$7,Prioridade!$A$5:$A$9,0),MATCH($B59,Prioridade!$B$4:$J$4,0))</f>
        <v>Alta</v>
      </c>
      <c r="J59" s="13" t="str">
        <f aca="false">INDEX(Prioridade!$B$5:$J$9,MATCH(J$7,Prioridade!$A$5:$A$9,0),MATCH($B59,Prioridade!$B$4:$J$4,0))</f>
        <v>Alta</v>
      </c>
    </row>
    <row r="60" customFormat="false" ht="15" hidden="false" customHeight="false" outlineLevel="0" collapsed="false">
      <c r="A60" s="13" t="n">
        <v>53</v>
      </c>
      <c r="B60" s="7" t="s">
        <v>394</v>
      </c>
      <c r="C60" s="7" t="s">
        <v>395</v>
      </c>
      <c r="D60" s="13" t="n">
        <v>8</v>
      </c>
      <c r="E60" s="7" t="s">
        <v>396</v>
      </c>
      <c r="F60" s="13" t="str">
        <f aca="false">INDEX(Prioridade!$B$5:$J$9,MATCH(F$7,Prioridade!$A$5:$A$9,0),MATCH($B60,Prioridade!$B$4:$J$4,0))</f>
        <v>Média</v>
      </c>
      <c r="G60" s="13" t="str">
        <f aca="false">INDEX(Prioridade!$B$5:$J$9,MATCH(G$7,Prioridade!$A$5:$A$9,0),MATCH($B60,Prioridade!$B$4:$J$4,0))</f>
        <v>Média</v>
      </c>
      <c r="H60" s="13" t="str">
        <f aca="false">INDEX(Prioridade!$B$5:$J$9,MATCH(H$7,Prioridade!$A$5:$A$9,0),MATCH($B60,Prioridade!$B$4:$J$4,0))</f>
        <v>Alta</v>
      </c>
      <c r="I60" s="13" t="str">
        <f aca="false">INDEX(Prioridade!$B$5:$J$9,MATCH(I$7,Prioridade!$A$5:$A$9,0),MATCH($B60,Prioridade!$B$4:$J$4,0))</f>
        <v>Alta</v>
      </c>
      <c r="J60" s="13" t="str">
        <f aca="false">INDEX(Prioridade!$B$5:$J$9,MATCH(J$7,Prioridade!$A$5:$A$9,0),MATCH($B60,Prioridade!$B$4:$J$4,0))</f>
        <v>Alta</v>
      </c>
    </row>
    <row r="61" customFormat="false" ht="15" hidden="false" customHeight="false" outlineLevel="0" collapsed="false">
      <c r="A61" s="13" t="n">
        <v>54</v>
      </c>
      <c r="B61" s="7" t="s">
        <v>394</v>
      </c>
      <c r="C61" s="7" t="s">
        <v>397</v>
      </c>
      <c r="D61" s="13" t="n">
        <v>4</v>
      </c>
      <c r="E61" s="7" t="s">
        <v>398</v>
      </c>
      <c r="F61" s="13" t="str">
        <f aca="false">INDEX(Prioridade!$B$5:$J$9,MATCH(F$7,Prioridade!$A$5:$A$9,0),MATCH($B61,Prioridade!$B$4:$J$4,0))</f>
        <v>Média</v>
      </c>
      <c r="G61" s="13" t="str">
        <f aca="false">INDEX(Prioridade!$B$5:$J$9,MATCH(G$7,Prioridade!$A$5:$A$9,0),MATCH($B61,Prioridade!$B$4:$J$4,0))</f>
        <v>Média</v>
      </c>
      <c r="H61" s="13" t="str">
        <f aca="false">INDEX(Prioridade!$B$5:$J$9,MATCH(H$7,Prioridade!$A$5:$A$9,0),MATCH($B61,Prioridade!$B$4:$J$4,0))</f>
        <v>Alta</v>
      </c>
      <c r="I61" s="13" t="str">
        <f aca="false">INDEX(Prioridade!$B$5:$J$9,MATCH(I$7,Prioridade!$A$5:$A$9,0),MATCH($B61,Prioridade!$B$4:$J$4,0))</f>
        <v>Alta</v>
      </c>
      <c r="J61" s="13" t="str">
        <f aca="false">INDEX(Prioridade!$B$5:$J$9,MATCH(J$7,Prioridade!$A$5:$A$9,0),MATCH($B61,Prioridade!$B$4:$J$4,0))</f>
        <v>Alta</v>
      </c>
    </row>
    <row r="62" customFormat="false" ht="15" hidden="false" customHeight="false" outlineLevel="0" collapsed="false">
      <c r="A62" s="13" t="n">
        <v>55</v>
      </c>
      <c r="B62" s="7" t="s">
        <v>394</v>
      </c>
      <c r="C62" s="7" t="s">
        <v>399</v>
      </c>
      <c r="D62" s="13" t="n">
        <v>4</v>
      </c>
      <c r="E62" s="7" t="s">
        <v>400</v>
      </c>
      <c r="F62" s="13" t="str">
        <f aca="false">INDEX(Prioridade!$B$5:$J$9,MATCH(F$7,Prioridade!$A$5:$A$9,0),MATCH($B62,Prioridade!$B$4:$J$4,0))</f>
        <v>Média</v>
      </c>
      <c r="G62" s="13" t="str">
        <f aca="false">INDEX(Prioridade!$B$5:$J$9,MATCH(G$7,Prioridade!$A$5:$A$9,0),MATCH($B62,Prioridade!$B$4:$J$4,0))</f>
        <v>Média</v>
      </c>
      <c r="H62" s="13" t="str">
        <f aca="false">INDEX(Prioridade!$B$5:$J$9,MATCH(H$7,Prioridade!$A$5:$A$9,0),MATCH($B62,Prioridade!$B$4:$J$4,0))</f>
        <v>Alta</v>
      </c>
      <c r="I62" s="13" t="str">
        <f aca="false">INDEX(Prioridade!$B$5:$J$9,MATCH(I$7,Prioridade!$A$5:$A$9,0),MATCH($B62,Prioridade!$B$4:$J$4,0))</f>
        <v>Alta</v>
      </c>
      <c r="J62" s="13" t="str">
        <f aca="false">INDEX(Prioridade!$B$5:$J$9,MATCH(J$7,Prioridade!$A$5:$A$9,0),MATCH($B62,Prioridade!$B$4:$J$4,0))</f>
        <v>Alta</v>
      </c>
    </row>
    <row r="63" customFormat="false" ht="15" hidden="false" customHeight="false" outlineLevel="0" collapsed="false">
      <c r="A63" s="13" t="n">
        <v>56</v>
      </c>
      <c r="B63" s="7" t="s">
        <v>394</v>
      </c>
      <c r="C63" s="7" t="s">
        <v>401</v>
      </c>
      <c r="D63" s="13" t="n">
        <v>5</v>
      </c>
      <c r="E63" s="7" t="s">
        <v>402</v>
      </c>
      <c r="F63" s="13" t="str">
        <f aca="false">INDEX(Prioridade!$B$5:$J$9,MATCH(F$7,Prioridade!$A$5:$A$9,0),MATCH($B63,Prioridade!$B$4:$J$4,0))</f>
        <v>Média</v>
      </c>
      <c r="G63" s="13" t="str">
        <f aca="false">INDEX(Prioridade!$B$5:$J$9,MATCH(G$7,Prioridade!$A$5:$A$9,0),MATCH($B63,Prioridade!$B$4:$J$4,0))</f>
        <v>Média</v>
      </c>
      <c r="H63" s="13" t="str">
        <f aca="false">INDEX(Prioridade!$B$5:$J$9,MATCH(H$7,Prioridade!$A$5:$A$9,0),MATCH($B63,Prioridade!$B$4:$J$4,0))</f>
        <v>Alta</v>
      </c>
      <c r="I63" s="13" t="str">
        <f aca="false">INDEX(Prioridade!$B$5:$J$9,MATCH(I$7,Prioridade!$A$5:$A$9,0),MATCH($B63,Prioridade!$B$4:$J$4,0))</f>
        <v>Alta</v>
      </c>
      <c r="J63" s="13" t="str">
        <f aca="false">INDEX(Prioridade!$B$5:$J$9,MATCH(J$7,Prioridade!$A$5:$A$9,0),MATCH($B63,Prioridade!$B$4:$J$4,0))</f>
        <v>Alta</v>
      </c>
    </row>
    <row r="64" customFormat="false" ht="15" hidden="false" customHeight="false" outlineLevel="0" collapsed="false">
      <c r="A64" s="13" t="n">
        <v>57</v>
      </c>
      <c r="B64" s="7" t="s">
        <v>394</v>
      </c>
      <c r="C64" s="7" t="s">
        <v>403</v>
      </c>
      <c r="D64" s="13" t="n">
        <v>8</v>
      </c>
      <c r="E64" s="7" t="s">
        <v>404</v>
      </c>
      <c r="F64" s="13" t="str">
        <f aca="false">INDEX(Prioridade!$B$5:$J$9,MATCH(F$7,Prioridade!$A$5:$A$9,0),MATCH($B64,Prioridade!$B$4:$J$4,0))</f>
        <v>Média</v>
      </c>
      <c r="G64" s="13" t="str">
        <f aca="false">INDEX(Prioridade!$B$5:$J$9,MATCH(G$7,Prioridade!$A$5:$A$9,0),MATCH($B64,Prioridade!$B$4:$J$4,0))</f>
        <v>Média</v>
      </c>
      <c r="H64" s="13" t="str">
        <f aca="false">INDEX(Prioridade!$B$5:$J$9,MATCH(H$7,Prioridade!$A$5:$A$9,0),MATCH($B64,Prioridade!$B$4:$J$4,0))</f>
        <v>Alta</v>
      </c>
      <c r="I64" s="13" t="str">
        <f aca="false">INDEX(Prioridade!$B$5:$J$9,MATCH(I$7,Prioridade!$A$5:$A$9,0),MATCH($B64,Prioridade!$B$4:$J$4,0))</f>
        <v>Alta</v>
      </c>
      <c r="J64" s="13" t="str">
        <f aca="false">INDEX(Prioridade!$B$5:$J$9,MATCH(J$7,Prioridade!$A$5:$A$9,0),MATCH($B64,Prioridade!$B$4:$J$4,0))</f>
        <v>Alta</v>
      </c>
    </row>
    <row r="65" customFormat="false" ht="15" hidden="false" customHeight="false" outlineLevel="0" collapsed="false">
      <c r="A65" s="13" t="n">
        <v>58</v>
      </c>
      <c r="B65" s="7" t="s">
        <v>394</v>
      </c>
      <c r="C65" s="7" t="s">
        <v>405</v>
      </c>
      <c r="D65" s="13" t="n">
        <v>3</v>
      </c>
      <c r="E65" s="7" t="s">
        <v>406</v>
      </c>
      <c r="F65" s="13" t="str">
        <f aca="false">INDEX(Prioridade!$B$5:$J$9,MATCH(F$7,Prioridade!$A$5:$A$9,0),MATCH($B65,Prioridade!$B$4:$J$4,0))</f>
        <v>Média</v>
      </c>
      <c r="G65" s="13" t="str">
        <f aca="false">INDEX(Prioridade!$B$5:$J$9,MATCH(G$7,Prioridade!$A$5:$A$9,0),MATCH($B65,Prioridade!$B$4:$J$4,0))</f>
        <v>Média</v>
      </c>
      <c r="H65" s="13" t="str">
        <f aca="false">INDEX(Prioridade!$B$5:$J$9,MATCH(H$7,Prioridade!$A$5:$A$9,0),MATCH($B65,Prioridade!$B$4:$J$4,0))</f>
        <v>Alta</v>
      </c>
      <c r="I65" s="13" t="str">
        <f aca="false">INDEX(Prioridade!$B$5:$J$9,MATCH(I$7,Prioridade!$A$5:$A$9,0),MATCH($B65,Prioridade!$B$4:$J$4,0))</f>
        <v>Alta</v>
      </c>
      <c r="J65" s="13" t="str">
        <f aca="false">INDEX(Prioridade!$B$5:$J$9,MATCH(J$7,Prioridade!$A$5:$A$9,0),MATCH($B65,Prioridade!$B$4:$J$4,0))</f>
        <v>Alta</v>
      </c>
    </row>
    <row r="66" customFormat="false" ht="15" hidden="false" customHeight="false" outlineLevel="0" collapsed="false">
      <c r="A66" s="13" t="n">
        <v>59</v>
      </c>
      <c r="B66" s="7" t="s">
        <v>260</v>
      </c>
      <c r="C66" s="7" t="s">
        <v>407</v>
      </c>
      <c r="D66" s="13" t="n">
        <v>6</v>
      </c>
      <c r="E66" s="7" t="s">
        <v>408</v>
      </c>
      <c r="F66" s="13" t="str">
        <f aca="false">INDEX(Prioridade!$B$5:$J$9,MATCH(F$7,Prioridade!$A$5:$A$9,0),MATCH($B66,Prioridade!$B$4:$J$4,0))</f>
        <v>Média</v>
      </c>
      <c r="G66" s="13" t="str">
        <f aca="false">INDEX(Prioridade!$B$5:$J$9,MATCH(G$7,Prioridade!$A$5:$A$9,0),MATCH($B66,Prioridade!$B$4:$J$4,0))</f>
        <v>Média</v>
      </c>
      <c r="H66" s="13" t="str">
        <f aca="false">INDEX(Prioridade!$B$5:$J$9,MATCH(H$7,Prioridade!$A$5:$A$9,0),MATCH($B66,Prioridade!$B$4:$J$4,0))</f>
        <v>Média</v>
      </c>
      <c r="I66" s="13" t="str">
        <f aca="false">INDEX(Prioridade!$B$5:$J$9,MATCH(I$7,Prioridade!$A$5:$A$9,0),MATCH($B66,Prioridade!$B$4:$J$4,0))</f>
        <v>Média</v>
      </c>
      <c r="J66" s="13" t="str">
        <f aca="false">INDEX(Prioridade!$B$5:$J$9,MATCH(J$7,Prioridade!$A$5:$A$9,0),MATCH($B66,Prioridade!$B$4:$J$4,0))</f>
        <v>Média</v>
      </c>
    </row>
    <row r="67" customFormat="false" ht="15" hidden="false" customHeight="false" outlineLevel="0" collapsed="false">
      <c r="A67" s="13" t="n">
        <v>60</v>
      </c>
      <c r="B67" s="7" t="s">
        <v>260</v>
      </c>
      <c r="C67" s="7" t="s">
        <v>409</v>
      </c>
      <c r="D67" s="13" t="n">
        <v>4</v>
      </c>
      <c r="E67" s="7" t="s">
        <v>410</v>
      </c>
      <c r="F67" s="13" t="str">
        <f aca="false">INDEX(Prioridade!$B$5:$J$9,MATCH(F$7,Prioridade!$A$5:$A$9,0),MATCH($B67,Prioridade!$B$4:$J$4,0))</f>
        <v>Média</v>
      </c>
      <c r="G67" s="13" t="str">
        <f aca="false">INDEX(Prioridade!$B$5:$J$9,MATCH(G$7,Prioridade!$A$5:$A$9,0),MATCH($B67,Prioridade!$B$4:$J$4,0))</f>
        <v>Média</v>
      </c>
      <c r="H67" s="13" t="str">
        <f aca="false">INDEX(Prioridade!$B$5:$J$9,MATCH(H$7,Prioridade!$A$5:$A$9,0),MATCH($B67,Prioridade!$B$4:$J$4,0))</f>
        <v>Média</v>
      </c>
      <c r="I67" s="13" t="str">
        <f aca="false">INDEX(Prioridade!$B$5:$J$9,MATCH(I$7,Prioridade!$A$5:$A$9,0),MATCH($B67,Prioridade!$B$4:$J$4,0))</f>
        <v>Média</v>
      </c>
      <c r="J67" s="13" t="str">
        <f aca="false">INDEX(Prioridade!$B$5:$J$9,MATCH(J$7,Prioridade!$A$5:$A$9,0),MATCH($B67,Prioridade!$B$4:$J$4,0))</f>
        <v>Média</v>
      </c>
    </row>
    <row r="68" customFormat="false" ht="15" hidden="false" customHeight="false" outlineLevel="0" collapsed="false">
      <c r="A68" s="13" t="n">
        <v>61</v>
      </c>
      <c r="B68" s="7" t="s">
        <v>266</v>
      </c>
      <c r="C68" s="7" t="s">
        <v>411</v>
      </c>
      <c r="D68" s="13" t="n">
        <v>5</v>
      </c>
      <c r="E68" s="7" t="s">
        <v>412</v>
      </c>
      <c r="F68" s="13" t="str">
        <f aca="false">INDEX(Prioridade!$B$5:$J$9,MATCH(F$7,Prioridade!$A$5:$A$9,0),MATCH($B68,Prioridade!$B$4:$J$4,0))</f>
        <v>Média</v>
      </c>
      <c r="G68" s="13" t="str">
        <f aca="false">INDEX(Prioridade!$B$5:$J$9,MATCH(G$7,Prioridade!$A$5:$A$9,0),MATCH($B68,Prioridade!$B$4:$J$4,0))</f>
        <v>Alta</v>
      </c>
      <c r="H68" s="13" t="str">
        <f aca="false">INDEX(Prioridade!$B$5:$J$9,MATCH(H$7,Prioridade!$A$5:$A$9,0),MATCH($B68,Prioridade!$B$4:$J$4,0))</f>
        <v>Alta</v>
      </c>
      <c r="I68" s="13" t="str">
        <f aca="false">INDEX(Prioridade!$B$5:$J$9,MATCH(I$7,Prioridade!$A$5:$A$9,0),MATCH($B68,Prioridade!$B$4:$J$4,0))</f>
        <v>Média</v>
      </c>
      <c r="J68" s="13" t="str">
        <f aca="false">INDEX(Prioridade!$B$5:$J$9,MATCH(J$7,Prioridade!$A$5:$A$9,0),MATCH($B68,Prioridade!$B$4:$J$4,0))</f>
        <v>Alta</v>
      </c>
    </row>
    <row r="69" customFormat="false" ht="15" hidden="false" customHeight="false" outlineLevel="0" collapsed="false">
      <c r="A69" s="13" t="n">
        <v>62</v>
      </c>
      <c r="B69" s="7" t="s">
        <v>266</v>
      </c>
      <c r="C69" s="7" t="s">
        <v>413</v>
      </c>
      <c r="D69" s="13" t="n">
        <v>8</v>
      </c>
      <c r="E69" s="7" t="s">
        <v>414</v>
      </c>
      <c r="F69" s="13" t="str">
        <f aca="false">INDEX(Prioridade!$B$5:$J$9,MATCH(F$7,Prioridade!$A$5:$A$9,0),MATCH($B69,Prioridade!$B$4:$J$4,0))</f>
        <v>Média</v>
      </c>
      <c r="G69" s="13" t="str">
        <f aca="false">INDEX(Prioridade!$B$5:$J$9,MATCH(G$7,Prioridade!$A$5:$A$9,0),MATCH($B69,Prioridade!$B$4:$J$4,0))</f>
        <v>Alta</v>
      </c>
      <c r="H69" s="13" t="str">
        <f aca="false">INDEX(Prioridade!$B$5:$J$9,MATCH(H$7,Prioridade!$A$5:$A$9,0),MATCH($B69,Prioridade!$B$4:$J$4,0))</f>
        <v>Alta</v>
      </c>
      <c r="I69" s="13" t="str">
        <f aca="false">INDEX(Prioridade!$B$5:$J$9,MATCH(I$7,Prioridade!$A$5:$A$9,0),MATCH($B69,Prioridade!$B$4:$J$4,0))</f>
        <v>Média</v>
      </c>
      <c r="J69" s="13" t="str">
        <f aca="false">INDEX(Prioridade!$B$5:$J$9,MATCH(J$7,Prioridade!$A$5:$A$9,0),MATCH($B69,Prioridade!$B$4:$J$4,0))</f>
        <v>Alta</v>
      </c>
    </row>
    <row r="70" customFormat="false" ht="15" hidden="false" customHeight="false" outlineLevel="0" collapsed="false">
      <c r="A70" s="13" t="n">
        <v>63</v>
      </c>
      <c r="B70" s="7" t="s">
        <v>266</v>
      </c>
      <c r="C70" s="7" t="s">
        <v>415</v>
      </c>
      <c r="D70" s="13" t="n">
        <v>5</v>
      </c>
      <c r="E70" s="7" t="s">
        <v>416</v>
      </c>
      <c r="F70" s="13" t="str">
        <f aca="false">INDEX(Prioridade!$B$5:$J$9,MATCH(F$7,Prioridade!$A$5:$A$9,0),MATCH($B70,Prioridade!$B$4:$J$4,0))</f>
        <v>Média</v>
      </c>
      <c r="G70" s="13" t="str">
        <f aca="false">INDEX(Prioridade!$B$5:$J$9,MATCH(G$7,Prioridade!$A$5:$A$9,0),MATCH($B70,Prioridade!$B$4:$J$4,0))</f>
        <v>Alta</v>
      </c>
      <c r="H70" s="13" t="str">
        <f aca="false">INDEX(Prioridade!$B$5:$J$9,MATCH(H$7,Prioridade!$A$5:$A$9,0),MATCH($B70,Prioridade!$B$4:$J$4,0))</f>
        <v>Alta</v>
      </c>
      <c r="I70" s="13" t="str">
        <f aca="false">INDEX(Prioridade!$B$5:$J$9,MATCH(I$7,Prioridade!$A$5:$A$9,0),MATCH($B70,Prioridade!$B$4:$J$4,0))</f>
        <v>Média</v>
      </c>
      <c r="J70" s="13" t="str">
        <f aca="false">INDEX(Prioridade!$B$5:$J$9,MATCH(J$7,Prioridade!$A$5:$A$9,0),MATCH($B70,Prioridade!$B$4:$J$4,0))</f>
        <v>Alta</v>
      </c>
    </row>
    <row r="71" customFormat="false" ht="15" hidden="false" customHeight="false" outlineLevel="0" collapsed="false">
      <c r="A71" s="13" t="n">
        <v>64</v>
      </c>
      <c r="B71" s="7" t="s">
        <v>266</v>
      </c>
      <c r="C71" s="7" t="s">
        <v>417</v>
      </c>
      <c r="D71" s="13" t="n">
        <v>4</v>
      </c>
      <c r="E71" s="7" t="s">
        <v>418</v>
      </c>
      <c r="F71" s="13" t="str">
        <f aca="false">INDEX(Prioridade!$B$5:$J$9,MATCH(F$7,Prioridade!$A$5:$A$9,0),MATCH($B71,Prioridade!$B$4:$J$4,0))</f>
        <v>Média</v>
      </c>
      <c r="G71" s="13" t="str">
        <f aca="false">INDEX(Prioridade!$B$5:$J$9,MATCH(G$7,Prioridade!$A$5:$A$9,0),MATCH($B71,Prioridade!$B$4:$J$4,0))</f>
        <v>Alta</v>
      </c>
      <c r="H71" s="13" t="str">
        <f aca="false">INDEX(Prioridade!$B$5:$J$9,MATCH(H$7,Prioridade!$A$5:$A$9,0),MATCH($B71,Prioridade!$B$4:$J$4,0))</f>
        <v>Alta</v>
      </c>
      <c r="I71" s="13" t="str">
        <f aca="false">INDEX(Prioridade!$B$5:$J$9,MATCH(I$7,Prioridade!$A$5:$A$9,0),MATCH($B71,Prioridade!$B$4:$J$4,0))</f>
        <v>Média</v>
      </c>
      <c r="J71" s="13" t="str">
        <f aca="false">INDEX(Prioridade!$B$5:$J$9,MATCH(J$7,Prioridade!$A$5:$A$9,0),MATCH($B71,Prioridade!$B$4:$J$4,0))</f>
        <v>Alta</v>
      </c>
    </row>
    <row r="72" customFormat="false" ht="15" hidden="false" customHeight="false" outlineLevel="0" collapsed="false">
      <c r="A72" s="13" t="n">
        <v>65</v>
      </c>
      <c r="B72" s="7" t="s">
        <v>271</v>
      </c>
      <c r="C72" s="7" t="s">
        <v>419</v>
      </c>
      <c r="D72" s="13" t="n">
        <v>4</v>
      </c>
      <c r="E72" s="7" t="s">
        <v>420</v>
      </c>
      <c r="F72" s="13" t="str">
        <f aca="false">INDEX(Prioridade!$B$5:$J$9,MATCH(F$7,Prioridade!$A$5:$A$9,0),MATCH($B72,Prioridade!$B$4:$J$4,0))</f>
        <v>Média</v>
      </c>
      <c r="G72" s="13" t="str">
        <f aca="false">INDEX(Prioridade!$B$5:$J$9,MATCH(G$7,Prioridade!$A$5:$A$9,0),MATCH($B72,Prioridade!$B$4:$J$4,0))</f>
        <v>Média</v>
      </c>
      <c r="H72" s="13" t="str">
        <f aca="false">INDEX(Prioridade!$B$5:$J$9,MATCH(H$7,Prioridade!$A$5:$A$9,0),MATCH($B72,Prioridade!$B$4:$J$4,0))</f>
        <v>Média</v>
      </c>
      <c r="I72" s="13" t="str">
        <f aca="false">INDEX(Prioridade!$B$5:$J$9,MATCH(I$7,Prioridade!$A$5:$A$9,0),MATCH($B72,Prioridade!$B$4:$J$4,0))</f>
        <v>Média</v>
      </c>
      <c r="J72" s="13" t="str">
        <f aca="false">INDEX(Prioridade!$B$5:$J$9,MATCH(J$7,Prioridade!$A$5:$A$9,0),MATCH($B72,Prioridade!$B$4:$J$4,0))</f>
        <v>Média</v>
      </c>
    </row>
    <row r="73" customFormat="false" ht="15" hidden="false" customHeight="false" outlineLevel="0" collapsed="false">
      <c r="A73" s="13" t="n">
        <v>66</v>
      </c>
      <c r="B73" s="7" t="s">
        <v>271</v>
      </c>
      <c r="C73" s="7" t="s">
        <v>421</v>
      </c>
      <c r="D73" s="13" t="n">
        <v>5</v>
      </c>
      <c r="E73" s="7" t="s">
        <v>422</v>
      </c>
      <c r="F73" s="13" t="str">
        <f aca="false">INDEX(Prioridade!$B$5:$J$9,MATCH(F$7,Prioridade!$A$5:$A$9,0),MATCH($B73,Prioridade!$B$4:$J$4,0))</f>
        <v>Média</v>
      </c>
      <c r="G73" s="13" t="str">
        <f aca="false">INDEX(Prioridade!$B$5:$J$9,MATCH(G$7,Prioridade!$A$5:$A$9,0),MATCH($B73,Prioridade!$B$4:$J$4,0))</f>
        <v>Média</v>
      </c>
      <c r="H73" s="13" t="str">
        <f aca="false">INDEX(Prioridade!$B$5:$J$9,MATCH(H$7,Prioridade!$A$5:$A$9,0),MATCH($B73,Prioridade!$B$4:$J$4,0))</f>
        <v>Média</v>
      </c>
      <c r="I73" s="13" t="str">
        <f aca="false">INDEX(Prioridade!$B$5:$J$9,MATCH(I$7,Prioridade!$A$5:$A$9,0),MATCH($B73,Prioridade!$B$4:$J$4,0))</f>
        <v>Média</v>
      </c>
      <c r="J73" s="13" t="str">
        <f aca="false">INDEX(Prioridade!$B$5:$J$9,MATCH(J$7,Prioridade!$A$5:$A$9,0),MATCH($B73,Prioridade!$B$4:$J$4,0))</f>
        <v>Média</v>
      </c>
    </row>
    <row r="74" customFormat="false" ht="15" hidden="false" customHeight="false" outlineLevel="0" collapsed="false">
      <c r="A74" s="13" t="n">
        <v>67</v>
      </c>
      <c r="B74" s="7" t="s">
        <v>276</v>
      </c>
      <c r="C74" s="7" t="s">
        <v>423</v>
      </c>
      <c r="D74" s="13" t="n">
        <v>20</v>
      </c>
      <c r="E74" s="7" t="s">
        <v>424</v>
      </c>
      <c r="F74" s="13" t="str">
        <f aca="false">INDEX(Prioridade!$B$5:$J$9,MATCH(F$7,Prioridade!$A$5:$A$9,0),MATCH($B74,Prioridade!$B$4:$J$4,0))</f>
        <v>Alta</v>
      </c>
      <c r="G74" s="13" t="str">
        <f aca="false">INDEX(Prioridade!$B$5:$J$9,MATCH(G$7,Prioridade!$A$5:$A$9,0),MATCH($B74,Prioridade!$B$4:$J$4,0))</f>
        <v>Média</v>
      </c>
      <c r="H74" s="13" t="str">
        <f aca="false">INDEX(Prioridade!$B$5:$J$9,MATCH(H$7,Prioridade!$A$5:$A$9,0),MATCH($B74,Prioridade!$B$4:$J$4,0))</f>
        <v>Média</v>
      </c>
      <c r="I74" s="13" t="str">
        <f aca="false">INDEX(Prioridade!$B$5:$J$9,MATCH(I$7,Prioridade!$A$5:$A$9,0),MATCH($B74,Prioridade!$B$4:$J$4,0))</f>
        <v>Alta</v>
      </c>
      <c r="J74" s="13" t="str">
        <f aca="false">INDEX(Prioridade!$B$5:$J$9,MATCH(J$7,Prioridade!$A$5:$A$9,0),MATCH($B74,Prioridade!$B$4:$J$4,0))</f>
        <v>Alta</v>
      </c>
    </row>
    <row r="75" customFormat="false" ht="15" hidden="false" customHeight="false" outlineLevel="0" collapsed="false">
      <c r="A75" s="13" t="n">
        <v>68</v>
      </c>
      <c r="B75" s="7" t="s">
        <v>276</v>
      </c>
      <c r="C75" s="7" t="s">
        <v>425</v>
      </c>
      <c r="D75" s="13" t="n">
        <v>4</v>
      </c>
      <c r="E75" s="7" t="s">
        <v>426</v>
      </c>
      <c r="F75" s="13" t="str">
        <f aca="false">INDEX(Prioridade!$B$5:$J$9,MATCH(F$7,Prioridade!$A$5:$A$9,0),MATCH($B75,Prioridade!$B$4:$J$4,0))</f>
        <v>Alta</v>
      </c>
      <c r="G75" s="13" t="str">
        <f aca="false">INDEX(Prioridade!$B$5:$J$9,MATCH(G$7,Prioridade!$A$5:$A$9,0),MATCH($B75,Prioridade!$B$4:$J$4,0))</f>
        <v>Média</v>
      </c>
      <c r="H75" s="13" t="str">
        <f aca="false">INDEX(Prioridade!$B$5:$J$9,MATCH(H$7,Prioridade!$A$5:$A$9,0),MATCH($B75,Prioridade!$B$4:$J$4,0))</f>
        <v>Média</v>
      </c>
      <c r="I75" s="13" t="str">
        <f aca="false">INDEX(Prioridade!$B$5:$J$9,MATCH(I$7,Prioridade!$A$5:$A$9,0),MATCH($B75,Prioridade!$B$4:$J$4,0))</f>
        <v>Alta</v>
      </c>
      <c r="J75" s="13" t="str">
        <f aca="false">INDEX(Prioridade!$B$5:$J$9,MATCH(J$7,Prioridade!$A$5:$A$9,0),MATCH($B75,Prioridade!$B$4:$J$4,0))</f>
        <v>Alta</v>
      </c>
    </row>
    <row r="76" customFormat="false" ht="15" hidden="false" customHeight="false" outlineLevel="0" collapsed="false">
      <c r="A76" s="13" t="n">
        <v>69</v>
      </c>
      <c r="B76" s="7" t="s">
        <v>276</v>
      </c>
      <c r="C76" s="7" t="s">
        <v>427</v>
      </c>
      <c r="D76" s="13" t="n">
        <v>3</v>
      </c>
      <c r="E76" s="7" t="s">
        <v>428</v>
      </c>
      <c r="F76" s="13" t="str">
        <f aca="false">INDEX(Prioridade!$B$5:$J$9,MATCH(F$7,Prioridade!$A$5:$A$9,0),MATCH($B76,Prioridade!$B$4:$J$4,0))</f>
        <v>Alta</v>
      </c>
      <c r="G76" s="13" t="str">
        <f aca="false">INDEX(Prioridade!$B$5:$J$9,MATCH(G$7,Prioridade!$A$5:$A$9,0),MATCH($B76,Prioridade!$B$4:$J$4,0))</f>
        <v>Média</v>
      </c>
      <c r="H76" s="13" t="str">
        <f aca="false">INDEX(Prioridade!$B$5:$J$9,MATCH(H$7,Prioridade!$A$5:$A$9,0),MATCH($B76,Prioridade!$B$4:$J$4,0))</f>
        <v>Média</v>
      </c>
      <c r="I76" s="13" t="str">
        <f aca="false">INDEX(Prioridade!$B$5:$J$9,MATCH(I$7,Prioridade!$A$5:$A$9,0),MATCH($B76,Prioridade!$B$4:$J$4,0))</f>
        <v>Alta</v>
      </c>
      <c r="J76" s="13" t="str">
        <f aca="false">INDEX(Prioridade!$B$5:$J$9,MATCH(J$7,Prioridade!$A$5:$A$9,0),MATCH($B76,Prioridade!$B$4:$J$4,0))</f>
        <v>Alta</v>
      </c>
    </row>
    <row r="77" customFormat="false" ht="15" hidden="false" customHeight="false" outlineLevel="0" collapsed="false">
      <c r="A77" s="13" t="n">
        <v>70</v>
      </c>
      <c r="B77" s="7" t="s">
        <v>276</v>
      </c>
      <c r="C77" s="7" t="s">
        <v>429</v>
      </c>
      <c r="D77" s="13" t="n">
        <v>6</v>
      </c>
      <c r="E77" s="7" t="s">
        <v>430</v>
      </c>
      <c r="F77" s="13" t="str">
        <f aca="false">INDEX(Prioridade!$B$5:$J$9,MATCH(F$7,Prioridade!$A$5:$A$9,0),MATCH($B77,Prioridade!$B$4:$J$4,0))</f>
        <v>Alta</v>
      </c>
      <c r="G77" s="13" t="str">
        <f aca="false">INDEX(Prioridade!$B$5:$J$9,MATCH(G$7,Prioridade!$A$5:$A$9,0),MATCH($B77,Prioridade!$B$4:$J$4,0))</f>
        <v>Média</v>
      </c>
      <c r="H77" s="13" t="str">
        <f aca="false">INDEX(Prioridade!$B$5:$J$9,MATCH(H$7,Prioridade!$A$5:$A$9,0),MATCH($B77,Prioridade!$B$4:$J$4,0))</f>
        <v>Média</v>
      </c>
      <c r="I77" s="13" t="str">
        <f aca="false">INDEX(Prioridade!$B$5:$J$9,MATCH(I$7,Prioridade!$A$5:$A$9,0),MATCH($B77,Prioridade!$B$4:$J$4,0))</f>
        <v>Alta</v>
      </c>
      <c r="J77" s="13" t="str">
        <f aca="false">INDEX(Prioridade!$B$5:$J$9,MATCH(J$7,Prioridade!$A$5:$A$9,0),MATCH($B77,Prioridade!$B$4:$J$4,0))</f>
        <v>Alta</v>
      </c>
    </row>
    <row r="78" customFormat="false" ht="15" hidden="false" customHeight="false" outlineLevel="0" collapsed="false">
      <c r="A78" s="13" t="n">
        <v>71</v>
      </c>
      <c r="B78" s="7" t="s">
        <v>276</v>
      </c>
      <c r="C78" s="7" t="s">
        <v>431</v>
      </c>
      <c r="D78" s="13" t="n">
        <v>10</v>
      </c>
      <c r="E78" s="7" t="s">
        <v>432</v>
      </c>
      <c r="F78" s="13" t="str">
        <f aca="false">INDEX(Prioridade!$B$5:$J$9,MATCH(F$7,Prioridade!$A$5:$A$9,0),MATCH($B78,Prioridade!$B$4:$J$4,0))</f>
        <v>Alta</v>
      </c>
      <c r="G78" s="13" t="str">
        <f aca="false">INDEX(Prioridade!$B$5:$J$9,MATCH(G$7,Prioridade!$A$5:$A$9,0),MATCH($B78,Prioridade!$B$4:$J$4,0))</f>
        <v>Média</v>
      </c>
      <c r="H78" s="13" t="str">
        <f aca="false">INDEX(Prioridade!$B$5:$J$9,MATCH(H$7,Prioridade!$A$5:$A$9,0),MATCH($B78,Prioridade!$B$4:$J$4,0))</f>
        <v>Média</v>
      </c>
      <c r="I78" s="13" t="str">
        <f aca="false">INDEX(Prioridade!$B$5:$J$9,MATCH(I$7,Prioridade!$A$5:$A$9,0),MATCH($B78,Prioridade!$B$4:$J$4,0))</f>
        <v>Alta</v>
      </c>
      <c r="J78" s="13" t="str">
        <f aca="false">INDEX(Prioridade!$B$5:$J$9,MATCH(J$7,Prioridade!$A$5:$A$9,0),MATCH($B78,Prioridade!$B$4:$J$4,0))</f>
        <v>Alta</v>
      </c>
    </row>
  </sheetData>
  <autoFilter ref="A7:J78"/>
  <conditionalFormatting sqref="F8:J78">
    <cfRule type="cellIs" priority="2" operator="equal" aboveAverage="0" equalAverage="0" bottom="0" percent="0" rank="0" text="" dxfId="6">
      <formula>"Alta"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A5E9"/>
    <pageSetUpPr fitToPage="true"/>
  </sheetPr>
  <dimension ref="A1:B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1" t="s">
        <v>433</v>
      </c>
    </row>
    <row r="2" customFormat="false" ht="15" hidden="false" customHeight="false" outlineLevel="0" collapsed="false">
      <c r="A2" s="2" t="s">
        <v>434</v>
      </c>
    </row>
    <row r="4" customFormat="false" ht="31.5" hidden="false" customHeight="true" outlineLevel="0" collapsed="false">
      <c r="A4" s="8" t="s">
        <v>435</v>
      </c>
      <c r="B4" s="8" t="s">
        <v>436</v>
      </c>
    </row>
    <row r="5" customFormat="false" ht="30" hidden="false" customHeight="true" outlineLevel="0" collapsed="false">
      <c r="A5" s="10" t="s">
        <v>437</v>
      </c>
      <c r="B5" s="7" t="s">
        <v>438</v>
      </c>
    </row>
    <row r="6" customFormat="false" ht="30" hidden="false" customHeight="true" outlineLevel="0" collapsed="false">
      <c r="A6" s="10" t="s">
        <v>439</v>
      </c>
      <c r="B6" s="7" t="s">
        <v>440</v>
      </c>
    </row>
    <row r="7" customFormat="false" ht="30" hidden="false" customHeight="true" outlineLevel="0" collapsed="false">
      <c r="A7" s="10" t="s">
        <v>441</v>
      </c>
      <c r="B7" s="7" t="s">
        <v>442</v>
      </c>
    </row>
    <row r="8" customFormat="false" ht="30" hidden="false" customHeight="true" outlineLevel="0" collapsed="false">
      <c r="A8" s="10" t="s">
        <v>443</v>
      </c>
      <c r="B8" s="7" t="s">
        <v>444</v>
      </c>
    </row>
    <row r="9" customFormat="false" ht="30" hidden="false" customHeight="true" outlineLevel="0" collapsed="false">
      <c r="A9" s="10" t="s">
        <v>445</v>
      </c>
      <c r="B9" s="7" t="s">
        <v>446</v>
      </c>
    </row>
    <row r="10" customFormat="false" ht="30" hidden="false" customHeight="true" outlineLevel="0" collapsed="false">
      <c r="A10" s="10" t="s">
        <v>447</v>
      </c>
      <c r="B10" s="7" t="s">
        <v>448</v>
      </c>
    </row>
    <row r="11" customFormat="false" ht="30" hidden="false" customHeight="true" outlineLevel="0" collapsed="false">
      <c r="A11" s="10" t="s">
        <v>449</v>
      </c>
      <c r="B11" s="7" t="s">
        <v>450</v>
      </c>
    </row>
    <row r="12" customFormat="false" ht="30" hidden="false" customHeight="true" outlineLevel="0" collapsed="false">
      <c r="A12" s="10" t="s">
        <v>451</v>
      </c>
      <c r="B12" s="7" t="s">
        <v>452</v>
      </c>
    </row>
    <row r="13" customFormat="false" ht="30" hidden="false" customHeight="true" outlineLevel="0" collapsed="false">
      <c r="A13" s="10" t="s">
        <v>453</v>
      </c>
      <c r="B13" s="7" t="s">
        <v>454</v>
      </c>
    </row>
    <row r="14" customFormat="false" ht="30" hidden="false" customHeight="true" outlineLevel="0" collapsed="false">
      <c r="A14" s="10" t="s">
        <v>455</v>
      </c>
      <c r="B14" s="7" t="s">
        <v>456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6B3C"/>
    <pageSetUpPr fitToPage="tru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60"/>
    <col collapsed="false" customWidth="true" hidden="false" outlineLevel="0" max="5" min="4" style="0" width="50"/>
  </cols>
  <sheetData>
    <row r="1" customFormat="false" ht="17.35" hidden="false" customHeight="false" outlineLevel="0" collapsed="false">
      <c r="A1" s="1" t="s">
        <v>457</v>
      </c>
    </row>
    <row r="2" customFormat="false" ht="15" hidden="false" customHeight="false" outlineLevel="0" collapsed="false">
      <c r="A2" s="2" t="s">
        <v>458</v>
      </c>
    </row>
    <row r="3" customFormat="false" ht="15" hidden="false" customHeight="false" outlineLevel="0" collapsed="false">
      <c r="A3" s="6" t="s">
        <v>459</v>
      </c>
    </row>
    <row r="5" customFormat="false" ht="31.5" hidden="false" customHeight="true" outlineLevel="0" collapsed="false">
      <c r="A5" s="8" t="s">
        <v>229</v>
      </c>
      <c r="B5" s="8" t="s">
        <v>460</v>
      </c>
      <c r="C5" s="8" t="s">
        <v>461</v>
      </c>
      <c r="D5" s="8" t="s">
        <v>462</v>
      </c>
      <c r="E5" s="8" t="s">
        <v>463</v>
      </c>
    </row>
    <row r="6" customFormat="false" ht="23.85" hidden="false" customHeight="false" outlineLevel="0" collapsed="false">
      <c r="A6" s="13" t="n">
        <v>1</v>
      </c>
      <c r="B6" s="10" t="s">
        <v>464</v>
      </c>
      <c r="C6" s="7" t="s">
        <v>465</v>
      </c>
      <c r="D6" s="7" t="s">
        <v>466</v>
      </c>
      <c r="E6" s="7" t="s">
        <v>467</v>
      </c>
    </row>
    <row r="7" customFormat="false" ht="23.85" hidden="false" customHeight="false" outlineLevel="0" collapsed="false">
      <c r="A7" s="13" t="n">
        <v>2</v>
      </c>
      <c r="B7" s="10" t="s">
        <v>468</v>
      </c>
      <c r="C7" s="7" t="s">
        <v>469</v>
      </c>
      <c r="D7" s="7" t="s">
        <v>470</v>
      </c>
      <c r="E7" s="7" t="s">
        <v>471</v>
      </c>
    </row>
    <row r="8" customFormat="false" ht="23.85" hidden="false" customHeight="false" outlineLevel="0" collapsed="false">
      <c r="A8" s="13" t="n">
        <v>3</v>
      </c>
      <c r="B8" s="10" t="s">
        <v>472</v>
      </c>
      <c r="C8" s="7" t="s">
        <v>473</v>
      </c>
      <c r="D8" s="7" t="s">
        <v>474</v>
      </c>
      <c r="E8" s="7" t="s">
        <v>475</v>
      </c>
    </row>
    <row r="9" customFormat="false" ht="23.85" hidden="false" customHeight="false" outlineLevel="0" collapsed="false">
      <c r="A9" s="13" t="n">
        <v>4</v>
      </c>
      <c r="B9" s="10" t="s">
        <v>284</v>
      </c>
      <c r="C9" s="7" t="s">
        <v>476</v>
      </c>
      <c r="D9" s="7" t="s">
        <v>477</v>
      </c>
      <c r="E9" s="7" t="s">
        <v>478</v>
      </c>
    </row>
    <row r="10" customFormat="false" ht="23.85" hidden="false" customHeight="false" outlineLevel="0" collapsed="false">
      <c r="A10" s="13" t="n">
        <v>5</v>
      </c>
      <c r="B10" s="10" t="s">
        <v>479</v>
      </c>
      <c r="C10" s="7" t="s">
        <v>480</v>
      </c>
      <c r="D10" s="7" t="s">
        <v>481</v>
      </c>
      <c r="E10" s="7" t="s">
        <v>482</v>
      </c>
    </row>
    <row r="11" customFormat="false" ht="15" hidden="false" customHeight="false" outlineLevel="0" collapsed="false">
      <c r="A11" s="13" t="n">
        <v>6</v>
      </c>
      <c r="B11" s="10" t="s">
        <v>483</v>
      </c>
      <c r="C11" s="7" t="s">
        <v>484</v>
      </c>
      <c r="D11" s="7" t="s">
        <v>485</v>
      </c>
      <c r="E11" s="7" t="s">
        <v>486</v>
      </c>
    </row>
    <row r="12" customFormat="false" ht="23.85" hidden="false" customHeight="false" outlineLevel="0" collapsed="false">
      <c r="A12" s="13" t="n">
        <v>7</v>
      </c>
      <c r="B12" s="10" t="s">
        <v>487</v>
      </c>
      <c r="C12" s="7" t="s">
        <v>488</v>
      </c>
      <c r="D12" s="7" t="s">
        <v>489</v>
      </c>
      <c r="E12" s="7" t="s">
        <v>490</v>
      </c>
    </row>
    <row r="14" customFormat="false" ht="15" hidden="false" customHeight="false" outlineLevel="0" collapsed="false">
      <c r="A14" s="3" t="s">
        <v>491</v>
      </c>
      <c r="B14" s="4"/>
      <c r="C14" s="4"/>
      <c r="D14" s="4"/>
      <c r="E14" s="4"/>
    </row>
    <row r="15" customFormat="false" ht="25.5" hidden="false" customHeight="true" outlineLevel="0" collapsed="false">
      <c r="A15" s="5" t="s">
        <v>492</v>
      </c>
      <c r="B15" s="5"/>
      <c r="C15" s="5"/>
      <c r="D15" s="5"/>
      <c r="E15" s="5"/>
    </row>
    <row r="16" customFormat="false" ht="25.5" hidden="false" customHeight="true" outlineLevel="0" collapsed="false">
      <c r="A16" s="5" t="s">
        <v>493</v>
      </c>
      <c r="B16" s="5"/>
      <c r="C16" s="5"/>
      <c r="D16" s="5"/>
      <c r="E16" s="5"/>
    </row>
    <row r="17" customFormat="false" ht="25.5" hidden="false" customHeight="true" outlineLevel="0" collapsed="false">
      <c r="A17" s="5" t="s">
        <v>494</v>
      </c>
      <c r="B17" s="5"/>
      <c r="C17" s="5"/>
      <c r="D17" s="5"/>
      <c r="E17" s="5"/>
    </row>
    <row r="18" customFormat="false" ht="25.5" hidden="false" customHeight="true" outlineLevel="0" collapsed="false">
      <c r="A18" s="5" t="s">
        <v>495</v>
      </c>
      <c r="B18" s="5"/>
      <c r="C18" s="5"/>
      <c r="D18" s="5"/>
      <c r="E18" s="5"/>
    </row>
    <row r="19" customFormat="false" ht="25.5" hidden="false" customHeight="true" outlineLevel="0" collapsed="false">
      <c r="A19" s="5" t="s">
        <v>496</v>
      </c>
      <c r="B19" s="5"/>
      <c r="C19" s="5"/>
      <c r="D19" s="5"/>
      <c r="E19" s="5"/>
    </row>
    <row r="20" customFormat="false" ht="25.5" hidden="false" customHeight="true" outlineLevel="0" collapsed="false">
      <c r="A20" s="5" t="s">
        <v>497</v>
      </c>
      <c r="B20" s="5"/>
      <c r="C20" s="5"/>
      <c r="D20" s="5"/>
      <c r="E20" s="5"/>
    </row>
    <row r="21" customFormat="false" ht="25.5" hidden="false" customHeight="true" outlineLevel="0" collapsed="false">
      <c r="A21" s="5" t="s">
        <v>498</v>
      </c>
      <c r="B21" s="5"/>
      <c r="C21" s="5"/>
      <c r="D21" s="5"/>
      <c r="E21" s="5"/>
    </row>
  </sheetData>
  <mergeCells count="7">
    <mergeCell ref="A15:E15"/>
    <mergeCell ref="A16:E16"/>
    <mergeCell ref="A17:E17"/>
    <mergeCell ref="A18:E18"/>
    <mergeCell ref="A19:E19"/>
    <mergeCell ref="A20:E20"/>
    <mergeCell ref="A21:E21"/>
  </mergeCells>
  <hyperlinks>
    <hyperlink ref="A3" r:id="rId1" display="Abrir a lição de exemplo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6B3C"/>
    <pageSetUpPr fitToPage="true"/>
  </sheetPr>
  <dimension ref="A1:N10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7" topLeftCell="A1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"/>
    <col collapsed="false" customWidth="true" hidden="false" outlineLevel="0" max="3" min="3" style="0" width="16"/>
    <col collapsed="false" customWidth="true" hidden="false" outlineLevel="0" max="4" min="4" style="0" width="22"/>
    <col collapsed="false" customWidth="true" hidden="false" outlineLevel="0" max="5" min="5" style="0" width="50"/>
    <col collapsed="false" customWidth="true" hidden="false" outlineLevel="0" max="6" min="6" style="0" width="8"/>
    <col collapsed="false" customWidth="true" hidden="false" outlineLevel="0" max="7" min="7" style="0" width="48"/>
    <col collapsed="false" customWidth="true" hidden="false" outlineLevel="0" max="8" min="8" style="0" width="46"/>
    <col collapsed="false" customWidth="true" hidden="false" outlineLevel="0" max="9" min="9" style="0" width="24"/>
    <col collapsed="false" customWidth="true" hidden="false" outlineLevel="0" max="11" min="10" style="0" width="10"/>
    <col collapsed="false" customWidth="true" hidden="false" outlineLevel="0" max="12" min="12" style="0" width="13"/>
    <col collapsed="false" customWidth="true" hidden="false" outlineLevel="0" max="14" min="13" style="0" width="10"/>
  </cols>
  <sheetData>
    <row r="1" customFormat="false" ht="17.35" hidden="false" customHeight="false" outlineLevel="0" collapsed="false">
      <c r="A1" s="1" t="s">
        <v>499</v>
      </c>
    </row>
    <row r="2" customFormat="false" ht="15" hidden="false" customHeight="false" outlineLevel="0" collapsed="false">
      <c r="A2" s="2" t="s">
        <v>500</v>
      </c>
    </row>
    <row r="3" customFormat="false" ht="15" hidden="false" customHeight="false" outlineLevel="0" collapsed="false">
      <c r="A3" s="20" t="s">
        <v>501</v>
      </c>
      <c r="C3" s="12" t="n">
        <v>200</v>
      </c>
    </row>
    <row r="5" customFormat="false" ht="31.5" hidden="false" customHeight="true" outlineLevel="0" collapsed="false">
      <c r="A5" s="8" t="s">
        <v>502</v>
      </c>
      <c r="B5" s="8" t="s">
        <v>503</v>
      </c>
      <c r="C5" s="8" t="s">
        <v>504</v>
      </c>
      <c r="D5" s="8" t="s">
        <v>505</v>
      </c>
      <c r="E5" s="8" t="s">
        <v>506</v>
      </c>
      <c r="F5" s="8" t="s">
        <v>507</v>
      </c>
      <c r="I5" s="8" t="s">
        <v>230</v>
      </c>
      <c r="J5" s="8" t="s">
        <v>285</v>
      </c>
      <c r="K5" s="8" t="s">
        <v>286</v>
      </c>
      <c r="L5" s="8" t="s">
        <v>287</v>
      </c>
      <c r="M5" s="8" t="s">
        <v>288</v>
      </c>
      <c r="N5" s="8" t="s">
        <v>289</v>
      </c>
    </row>
    <row r="6" customFormat="false" ht="15" hidden="false" customHeight="false" outlineLevel="0" collapsed="false">
      <c r="A6" s="10" t="s">
        <v>285</v>
      </c>
      <c r="B6" s="13" t="n">
        <f aca="false">COUNTIFS($A$18:$A$1017,A6)</f>
        <v>200</v>
      </c>
      <c r="C6" s="13" t="n">
        <f aca="false">COUNTIFS($A$18:$A$1017,A6,$C$18:$C$1017,"Núcleo nacional")</f>
        <v>120</v>
      </c>
      <c r="D6" s="13" t="n">
        <f aca="false">COUNTIFS($A$18:$A$1017,A6,$C$18:$C$1017,"Da região")</f>
        <v>80</v>
      </c>
      <c r="E6" s="13" t="n">
        <f aca="false">MAX(0,$C$3-B6)</f>
        <v>0</v>
      </c>
      <c r="F6" s="19" t="n">
        <f aca="false">SUMIFS($F$18:$F$1017,$A$18:$A$1017,A6)</f>
        <v>971</v>
      </c>
      <c r="I6" s="10" t="s">
        <v>246</v>
      </c>
      <c r="J6" s="13" t="n">
        <f aca="false">COUNTIFS($A$18:$A$1017,"Norte",$D$18:$D$1017,$I6)</f>
        <v>25</v>
      </c>
      <c r="K6" s="13" t="n">
        <f aca="false">COUNTIFS($A$18:$A$1017,"Nordeste",$D$18:$D$1017,$I6)</f>
        <v>22</v>
      </c>
      <c r="L6" s="13" t="n">
        <f aca="false">COUNTIFS($A$18:$A$1017,"Centro-Oeste",$D$18:$D$1017,$I6)</f>
        <v>21</v>
      </c>
      <c r="M6" s="13" t="n">
        <f aca="false">COUNTIFS($A$18:$A$1017,"Sudeste",$D$18:$D$1017,$I6)</f>
        <v>25</v>
      </c>
      <c r="N6" s="13" t="n">
        <f aca="false">COUNTIFS($A$18:$A$1017,"Sul",$D$18:$D$1017,$I6)</f>
        <v>27</v>
      </c>
    </row>
    <row r="7" customFormat="false" ht="15" hidden="false" customHeight="false" outlineLevel="0" collapsed="false">
      <c r="A7" s="10" t="s">
        <v>286</v>
      </c>
      <c r="B7" s="13" t="n">
        <f aca="false">COUNTIFS($A$18:$A$1017,A7)</f>
        <v>200</v>
      </c>
      <c r="C7" s="13" t="n">
        <f aca="false">COUNTIFS($A$18:$A$1017,A7,$C$18:$C$1017,"Núcleo nacional")</f>
        <v>120</v>
      </c>
      <c r="D7" s="13" t="n">
        <f aca="false">COUNTIFS($A$18:$A$1017,A7,$C$18:$C$1017,"Da região")</f>
        <v>80</v>
      </c>
      <c r="E7" s="13" t="n">
        <f aca="false">MAX(0,$C$3-B7)</f>
        <v>0</v>
      </c>
      <c r="F7" s="19" t="n">
        <f aca="false">SUMIFS($F$18:$F$1017,$A$18:$A$1017,A7)</f>
        <v>971</v>
      </c>
      <c r="I7" s="10" t="s">
        <v>266</v>
      </c>
      <c r="J7" s="13" t="n">
        <f aca="false">COUNTIFS($A$18:$A$1017,"Norte",$D$18:$D$1017,$I7)</f>
        <v>24</v>
      </c>
      <c r="K7" s="13" t="n">
        <f aca="false">COUNTIFS($A$18:$A$1017,"Nordeste",$D$18:$D$1017,$I7)</f>
        <v>25</v>
      </c>
      <c r="L7" s="13" t="n">
        <f aca="false">COUNTIFS($A$18:$A$1017,"Centro-Oeste",$D$18:$D$1017,$I7)</f>
        <v>32</v>
      </c>
      <c r="M7" s="13" t="n">
        <f aca="false">COUNTIFS($A$18:$A$1017,"Sudeste",$D$18:$D$1017,$I7)</f>
        <v>17</v>
      </c>
      <c r="N7" s="13" t="n">
        <f aca="false">COUNTIFS($A$18:$A$1017,"Sul",$D$18:$D$1017,$I7)</f>
        <v>27</v>
      </c>
    </row>
    <row r="8" customFormat="false" ht="15" hidden="false" customHeight="false" outlineLevel="0" collapsed="false">
      <c r="A8" s="10" t="s">
        <v>287</v>
      </c>
      <c r="B8" s="13" t="n">
        <f aca="false">COUNTIFS($A$18:$A$1017,A8)</f>
        <v>200</v>
      </c>
      <c r="C8" s="13" t="n">
        <f aca="false">COUNTIFS($A$18:$A$1017,A8,$C$18:$C$1017,"Núcleo nacional")</f>
        <v>120</v>
      </c>
      <c r="D8" s="13" t="n">
        <f aca="false">COUNTIFS($A$18:$A$1017,A8,$C$18:$C$1017,"Da região")</f>
        <v>80</v>
      </c>
      <c r="E8" s="13" t="n">
        <f aca="false">MAX(0,$C$3-B8)</f>
        <v>0</v>
      </c>
      <c r="F8" s="19" t="n">
        <f aca="false">SUMIFS($F$18:$F$1017,$A$18:$A$1017,A8)</f>
        <v>945</v>
      </c>
      <c r="I8" s="10" t="s">
        <v>276</v>
      </c>
      <c r="J8" s="13" t="n">
        <f aca="false">COUNTIFS($A$18:$A$1017,"Norte",$D$18:$D$1017,$I8)</f>
        <v>22</v>
      </c>
      <c r="K8" s="13" t="n">
        <f aca="false">COUNTIFS($A$18:$A$1017,"Nordeste",$D$18:$D$1017,$I8)</f>
        <v>21</v>
      </c>
      <c r="L8" s="13" t="n">
        <f aca="false">COUNTIFS($A$18:$A$1017,"Centro-Oeste",$D$18:$D$1017,$I8)</f>
        <v>20</v>
      </c>
      <c r="M8" s="13" t="n">
        <f aca="false">COUNTIFS($A$18:$A$1017,"Sudeste",$D$18:$D$1017,$I8)</f>
        <v>23</v>
      </c>
      <c r="N8" s="13" t="n">
        <f aca="false">COUNTIFS($A$18:$A$1017,"Sul",$D$18:$D$1017,$I8)</f>
        <v>20</v>
      </c>
    </row>
    <row r="9" customFormat="false" ht="15" hidden="false" customHeight="false" outlineLevel="0" collapsed="false">
      <c r="A9" s="10" t="s">
        <v>288</v>
      </c>
      <c r="B9" s="13" t="n">
        <f aca="false">COUNTIFS($A$18:$A$1017,A9)</f>
        <v>200</v>
      </c>
      <c r="C9" s="13" t="n">
        <f aca="false">COUNTIFS($A$18:$A$1017,A9,$C$18:$C$1017,"Núcleo nacional")</f>
        <v>120</v>
      </c>
      <c r="D9" s="13" t="n">
        <f aca="false">COUNTIFS($A$18:$A$1017,A9,$C$18:$C$1017,"Da região")</f>
        <v>80</v>
      </c>
      <c r="E9" s="13" t="n">
        <f aca="false">MAX(0,$C$3-B9)</f>
        <v>0</v>
      </c>
      <c r="F9" s="19" t="n">
        <f aca="false">SUMIFS($F$18:$F$1017,$A$18:$A$1017,A9)</f>
        <v>974</v>
      </c>
      <c r="I9" s="10" t="s">
        <v>240</v>
      </c>
      <c r="J9" s="13" t="n">
        <f aca="false">COUNTIFS($A$18:$A$1017,"Norte",$D$18:$D$1017,$I9)</f>
        <v>22</v>
      </c>
      <c r="K9" s="13" t="n">
        <f aca="false">COUNTIFS($A$18:$A$1017,"Nordeste",$D$18:$D$1017,$I9)</f>
        <v>28</v>
      </c>
      <c r="L9" s="13" t="n">
        <f aca="false">COUNTIFS($A$18:$A$1017,"Centro-Oeste",$D$18:$D$1017,$I9)</f>
        <v>19</v>
      </c>
      <c r="M9" s="13" t="n">
        <f aca="false">COUNTIFS($A$18:$A$1017,"Sudeste",$D$18:$D$1017,$I9)</f>
        <v>18</v>
      </c>
      <c r="N9" s="13" t="n">
        <f aca="false">COUNTIFS($A$18:$A$1017,"Sul",$D$18:$D$1017,$I9)</f>
        <v>20</v>
      </c>
    </row>
    <row r="10" customFormat="false" ht="15" hidden="false" customHeight="false" outlineLevel="0" collapsed="false">
      <c r="A10" s="10" t="s">
        <v>289</v>
      </c>
      <c r="B10" s="13" t="n">
        <f aca="false">COUNTIFS($A$18:$A$1017,A10)</f>
        <v>200</v>
      </c>
      <c r="C10" s="13" t="n">
        <f aca="false">COUNTIFS($A$18:$A$1017,A10,$C$18:$C$1017,"Núcleo nacional")</f>
        <v>120</v>
      </c>
      <c r="D10" s="13" t="n">
        <f aca="false">COUNTIFS($A$18:$A$1017,A10,$C$18:$C$1017,"Da região")</f>
        <v>80</v>
      </c>
      <c r="E10" s="13" t="n">
        <f aca="false">MAX(0,$C$3-B10)</f>
        <v>0</v>
      </c>
      <c r="F10" s="19" t="n">
        <f aca="false">SUMIFS($F$18:$F$1017,$A$18:$A$1017,A10)</f>
        <v>990</v>
      </c>
      <c r="I10" s="10" t="s">
        <v>290</v>
      </c>
      <c r="J10" s="13" t="n">
        <f aca="false">COUNTIFS($A$18:$A$1017,"Norte",$D$18:$D$1017,$I10)</f>
        <v>31</v>
      </c>
      <c r="K10" s="13" t="n">
        <f aca="false">COUNTIFS($A$18:$A$1017,"Nordeste",$D$18:$D$1017,$I10)</f>
        <v>35</v>
      </c>
      <c r="L10" s="13" t="n">
        <f aca="false">COUNTIFS($A$18:$A$1017,"Centro-Oeste",$D$18:$D$1017,$I10)</f>
        <v>29</v>
      </c>
      <c r="M10" s="13" t="n">
        <f aca="false">COUNTIFS($A$18:$A$1017,"Sudeste",$D$18:$D$1017,$I10)</f>
        <v>35</v>
      </c>
      <c r="N10" s="13" t="n">
        <f aca="false">COUNTIFS($A$18:$A$1017,"Sul",$D$18:$D$1017,$I10)</f>
        <v>30</v>
      </c>
    </row>
    <row r="11" customFormat="false" ht="15" hidden="false" customHeight="false" outlineLevel="0" collapsed="false">
      <c r="I11" s="10" t="s">
        <v>235</v>
      </c>
      <c r="J11" s="13" t="n">
        <f aca="false">COUNTIFS($A$18:$A$1017,"Norte",$D$18:$D$1017,$I11)</f>
        <v>28</v>
      </c>
      <c r="K11" s="13" t="n">
        <f aca="false">COUNTIFS($A$18:$A$1017,"Nordeste",$D$18:$D$1017,$I11)</f>
        <v>28</v>
      </c>
      <c r="L11" s="13" t="n">
        <f aca="false">COUNTIFS($A$18:$A$1017,"Centro-Oeste",$D$18:$D$1017,$I11)</f>
        <v>30</v>
      </c>
      <c r="M11" s="13" t="n">
        <f aca="false">COUNTIFS($A$18:$A$1017,"Sudeste",$D$18:$D$1017,$I11)</f>
        <v>29</v>
      </c>
      <c r="N11" s="13" t="n">
        <f aca="false">COUNTIFS($A$18:$A$1017,"Sul",$D$18:$D$1017,$I11)</f>
        <v>28</v>
      </c>
    </row>
    <row r="12" customFormat="false" ht="23.85" hidden="false" customHeight="true" outlineLevel="0" collapsed="false">
      <c r="A12" s="23" t="s">
        <v>508</v>
      </c>
      <c r="B12" s="23"/>
      <c r="C12" s="21" t="n">
        <v>394</v>
      </c>
      <c r="I12" s="10" t="s">
        <v>394</v>
      </c>
      <c r="J12" s="13" t="n">
        <f aca="false">COUNTIFS($A$18:$A$1017,"Norte",$D$18:$D$1017,$I12)</f>
        <v>21</v>
      </c>
      <c r="K12" s="13" t="n">
        <f aca="false">COUNTIFS($A$18:$A$1017,"Nordeste",$D$18:$D$1017,$I12)</f>
        <v>15</v>
      </c>
      <c r="L12" s="13" t="n">
        <f aca="false">COUNTIFS($A$18:$A$1017,"Centro-Oeste",$D$18:$D$1017,$I12)</f>
        <v>23</v>
      </c>
      <c r="M12" s="13" t="n">
        <f aca="false">COUNTIFS($A$18:$A$1017,"Sudeste",$D$18:$D$1017,$I12)</f>
        <v>21</v>
      </c>
      <c r="N12" s="13" t="n">
        <f aca="false">COUNTIFS($A$18:$A$1017,"Sul",$D$18:$D$1017,$I12)</f>
        <v>21</v>
      </c>
    </row>
    <row r="13" customFormat="false" ht="23.85" hidden="false" customHeight="true" outlineLevel="0" collapsed="false">
      <c r="A13" s="9" t="s">
        <v>509</v>
      </c>
      <c r="B13" s="9"/>
      <c r="C13" s="9"/>
      <c r="D13" s="9"/>
      <c r="E13" s="9"/>
      <c r="F13" s="9"/>
      <c r="I13" s="10" t="s">
        <v>260</v>
      </c>
      <c r="J13" s="13" t="n">
        <f aca="false">COUNTIFS($A$18:$A$1017,"Norte",$D$18:$D$1017,$I13)</f>
        <v>15</v>
      </c>
      <c r="K13" s="13" t="n">
        <f aca="false">COUNTIFS($A$18:$A$1017,"Nordeste",$D$18:$D$1017,$I13)</f>
        <v>14</v>
      </c>
      <c r="L13" s="13" t="n">
        <f aca="false">COUNTIFS($A$18:$A$1017,"Centro-Oeste",$D$18:$D$1017,$I13)</f>
        <v>14</v>
      </c>
      <c r="M13" s="13" t="n">
        <f aca="false">COUNTIFS($A$18:$A$1017,"Sudeste",$D$18:$D$1017,$I13)</f>
        <v>17</v>
      </c>
      <c r="N13" s="13" t="n">
        <f aca="false">COUNTIFS($A$18:$A$1017,"Sul",$D$18:$D$1017,$I13)</f>
        <v>14</v>
      </c>
    </row>
    <row r="14" customFormat="false" ht="15" hidden="false" customHeight="false" outlineLevel="0" collapsed="false">
      <c r="I14" s="10" t="s">
        <v>271</v>
      </c>
      <c r="J14" s="13" t="n">
        <f aca="false">COUNTIFS($A$18:$A$1017,"Norte",$D$18:$D$1017,$I14)</f>
        <v>12</v>
      </c>
      <c r="K14" s="13" t="n">
        <f aca="false">COUNTIFS($A$18:$A$1017,"Nordeste",$D$18:$D$1017,$I14)</f>
        <v>12</v>
      </c>
      <c r="L14" s="13" t="n">
        <f aca="false">COUNTIFS($A$18:$A$1017,"Centro-Oeste",$D$18:$D$1017,$I14)</f>
        <v>12</v>
      </c>
      <c r="M14" s="13" t="n">
        <f aca="false">COUNTIFS($A$18:$A$1017,"Sudeste",$D$18:$D$1017,$I14)</f>
        <v>15</v>
      </c>
      <c r="N14" s="13" t="n">
        <f aca="false">COUNTIFS($A$18:$A$1017,"Sul",$D$18:$D$1017,$I14)</f>
        <v>13</v>
      </c>
    </row>
    <row r="17" customFormat="false" ht="31.5" hidden="false" customHeight="true" outlineLevel="0" collapsed="false">
      <c r="A17" s="8" t="s">
        <v>502</v>
      </c>
      <c r="B17" s="8" t="s">
        <v>229</v>
      </c>
      <c r="C17" s="8" t="s">
        <v>510</v>
      </c>
      <c r="D17" s="8" t="s">
        <v>230</v>
      </c>
      <c r="E17" s="8" t="s">
        <v>203</v>
      </c>
      <c r="F17" s="8" t="s">
        <v>511</v>
      </c>
      <c r="G17" s="8" t="s">
        <v>284</v>
      </c>
      <c r="H17" s="8" t="s">
        <v>512</v>
      </c>
    </row>
    <row r="18" customFormat="false" ht="15" hidden="false" customHeight="false" outlineLevel="0" collapsed="false">
      <c r="A18" s="7" t="s">
        <v>285</v>
      </c>
      <c r="B18" s="13" t="n">
        <v>1</v>
      </c>
      <c r="C18" s="7" t="s">
        <v>504</v>
      </c>
      <c r="D18" s="7" t="s">
        <v>290</v>
      </c>
      <c r="E18" s="7" t="s">
        <v>291</v>
      </c>
      <c r="F18" s="13" t="n">
        <v>6</v>
      </c>
      <c r="G18" s="7" t="s">
        <v>292</v>
      </c>
      <c r="H18" s="7" t="s">
        <v>513</v>
      </c>
    </row>
    <row r="19" customFormat="false" ht="15" hidden="false" customHeight="false" outlineLevel="0" collapsed="false">
      <c r="A19" s="7" t="s">
        <v>285</v>
      </c>
      <c r="B19" s="13" t="n">
        <v>2</v>
      </c>
      <c r="C19" s="7" t="s">
        <v>504</v>
      </c>
      <c r="D19" s="7" t="s">
        <v>290</v>
      </c>
      <c r="E19" s="7" t="s">
        <v>293</v>
      </c>
      <c r="F19" s="13" t="n">
        <v>8</v>
      </c>
      <c r="G19" s="7" t="s">
        <v>294</v>
      </c>
      <c r="H19" s="7" t="s">
        <v>513</v>
      </c>
    </row>
    <row r="20" customFormat="false" ht="15" hidden="false" customHeight="false" outlineLevel="0" collapsed="false">
      <c r="A20" s="7" t="s">
        <v>285</v>
      </c>
      <c r="B20" s="13" t="n">
        <v>3</v>
      </c>
      <c r="C20" s="7" t="s">
        <v>504</v>
      </c>
      <c r="D20" s="7" t="s">
        <v>290</v>
      </c>
      <c r="E20" s="7" t="s">
        <v>295</v>
      </c>
      <c r="F20" s="13" t="n">
        <v>4</v>
      </c>
      <c r="G20" s="7" t="s">
        <v>296</v>
      </c>
      <c r="H20" s="7" t="s">
        <v>513</v>
      </c>
    </row>
    <row r="21" customFormat="false" ht="15" hidden="false" customHeight="false" outlineLevel="0" collapsed="false">
      <c r="A21" s="7" t="s">
        <v>285</v>
      </c>
      <c r="B21" s="13" t="n">
        <v>4</v>
      </c>
      <c r="C21" s="7" t="s">
        <v>504</v>
      </c>
      <c r="D21" s="7" t="s">
        <v>290</v>
      </c>
      <c r="E21" s="7" t="s">
        <v>297</v>
      </c>
      <c r="F21" s="13" t="n">
        <v>8</v>
      </c>
      <c r="G21" s="7" t="s">
        <v>298</v>
      </c>
      <c r="H21" s="7" t="s">
        <v>513</v>
      </c>
    </row>
    <row r="22" customFormat="false" ht="15" hidden="false" customHeight="false" outlineLevel="0" collapsed="false">
      <c r="A22" s="7" t="s">
        <v>285</v>
      </c>
      <c r="B22" s="13" t="n">
        <v>5</v>
      </c>
      <c r="C22" s="7" t="s">
        <v>504</v>
      </c>
      <c r="D22" s="7" t="s">
        <v>290</v>
      </c>
      <c r="E22" s="7" t="s">
        <v>299</v>
      </c>
      <c r="F22" s="13" t="n">
        <v>4</v>
      </c>
      <c r="G22" s="7" t="s">
        <v>300</v>
      </c>
      <c r="H22" s="7" t="s">
        <v>513</v>
      </c>
    </row>
    <row r="23" customFormat="false" ht="15" hidden="false" customHeight="false" outlineLevel="0" collapsed="false">
      <c r="A23" s="7" t="s">
        <v>285</v>
      </c>
      <c r="B23" s="13" t="n">
        <v>6</v>
      </c>
      <c r="C23" s="7" t="s">
        <v>504</v>
      </c>
      <c r="D23" s="7" t="s">
        <v>290</v>
      </c>
      <c r="E23" s="7" t="s">
        <v>301</v>
      </c>
      <c r="F23" s="13" t="n">
        <v>3</v>
      </c>
      <c r="G23" s="7" t="s">
        <v>302</v>
      </c>
      <c r="H23" s="7" t="s">
        <v>513</v>
      </c>
    </row>
    <row r="24" customFormat="false" ht="15" hidden="false" customHeight="false" outlineLevel="0" collapsed="false">
      <c r="A24" s="7" t="s">
        <v>285</v>
      </c>
      <c r="B24" s="13" t="n">
        <v>7</v>
      </c>
      <c r="C24" s="7" t="s">
        <v>504</v>
      </c>
      <c r="D24" s="7" t="s">
        <v>290</v>
      </c>
      <c r="E24" s="7" t="s">
        <v>303</v>
      </c>
      <c r="F24" s="13" t="n">
        <v>5</v>
      </c>
      <c r="G24" s="7" t="s">
        <v>304</v>
      </c>
      <c r="H24" s="7" t="s">
        <v>513</v>
      </c>
    </row>
    <row r="25" customFormat="false" ht="15" hidden="false" customHeight="false" outlineLevel="0" collapsed="false">
      <c r="A25" s="7" t="s">
        <v>285</v>
      </c>
      <c r="B25" s="13" t="n">
        <v>8</v>
      </c>
      <c r="C25" s="7" t="s">
        <v>504</v>
      </c>
      <c r="D25" s="7" t="s">
        <v>290</v>
      </c>
      <c r="E25" s="7" t="s">
        <v>305</v>
      </c>
      <c r="F25" s="13" t="n">
        <v>6</v>
      </c>
      <c r="G25" s="7" t="s">
        <v>306</v>
      </c>
      <c r="H25" s="7" t="s">
        <v>513</v>
      </c>
    </row>
    <row r="26" customFormat="false" ht="15" hidden="false" customHeight="false" outlineLevel="0" collapsed="false">
      <c r="A26" s="7" t="s">
        <v>285</v>
      </c>
      <c r="B26" s="13" t="n">
        <v>9</v>
      </c>
      <c r="C26" s="7" t="s">
        <v>504</v>
      </c>
      <c r="D26" s="7" t="s">
        <v>290</v>
      </c>
      <c r="E26" s="7" t="s">
        <v>307</v>
      </c>
      <c r="F26" s="13" t="n">
        <v>6</v>
      </c>
      <c r="G26" s="7" t="s">
        <v>308</v>
      </c>
      <c r="H26" s="7" t="s">
        <v>513</v>
      </c>
    </row>
    <row r="27" customFormat="false" ht="15" hidden="false" customHeight="false" outlineLevel="0" collapsed="false">
      <c r="A27" s="7" t="s">
        <v>285</v>
      </c>
      <c r="B27" s="13" t="n">
        <v>10</v>
      </c>
      <c r="C27" s="7" t="s">
        <v>504</v>
      </c>
      <c r="D27" s="7" t="s">
        <v>290</v>
      </c>
      <c r="E27" s="7" t="s">
        <v>309</v>
      </c>
      <c r="F27" s="13" t="n">
        <v>4</v>
      </c>
      <c r="G27" s="7" t="s">
        <v>310</v>
      </c>
      <c r="H27" s="7" t="s">
        <v>513</v>
      </c>
    </row>
    <row r="28" customFormat="false" ht="15" hidden="false" customHeight="false" outlineLevel="0" collapsed="false">
      <c r="A28" s="7" t="s">
        <v>285</v>
      </c>
      <c r="B28" s="13" t="n">
        <v>11</v>
      </c>
      <c r="C28" s="7" t="s">
        <v>504</v>
      </c>
      <c r="D28" s="7" t="s">
        <v>290</v>
      </c>
      <c r="E28" s="7" t="s">
        <v>311</v>
      </c>
      <c r="F28" s="13" t="n">
        <v>10</v>
      </c>
      <c r="G28" s="7" t="s">
        <v>312</v>
      </c>
      <c r="H28" s="7" t="s">
        <v>513</v>
      </c>
    </row>
    <row r="29" customFormat="false" ht="15" hidden="false" customHeight="false" outlineLevel="0" collapsed="false">
      <c r="A29" s="7" t="s">
        <v>285</v>
      </c>
      <c r="B29" s="13" t="n">
        <v>12</v>
      </c>
      <c r="C29" s="7" t="s">
        <v>504</v>
      </c>
      <c r="D29" s="7" t="s">
        <v>290</v>
      </c>
      <c r="E29" s="7" t="s">
        <v>313</v>
      </c>
      <c r="F29" s="13" t="n">
        <v>6</v>
      </c>
      <c r="G29" s="7" t="s">
        <v>314</v>
      </c>
      <c r="H29" s="7" t="s">
        <v>513</v>
      </c>
    </row>
    <row r="30" customFormat="false" ht="15" hidden="false" customHeight="false" outlineLevel="0" collapsed="false">
      <c r="A30" s="7" t="s">
        <v>285</v>
      </c>
      <c r="B30" s="13" t="n">
        <v>13</v>
      </c>
      <c r="C30" s="7" t="s">
        <v>504</v>
      </c>
      <c r="D30" s="7" t="s">
        <v>290</v>
      </c>
      <c r="E30" s="7" t="s">
        <v>315</v>
      </c>
      <c r="F30" s="13" t="n">
        <v>4</v>
      </c>
      <c r="G30" s="7" t="s">
        <v>316</v>
      </c>
      <c r="H30" s="7" t="s">
        <v>513</v>
      </c>
    </row>
    <row r="31" customFormat="false" ht="15" hidden="false" customHeight="false" outlineLevel="0" collapsed="false">
      <c r="A31" s="7" t="s">
        <v>285</v>
      </c>
      <c r="B31" s="13" t="n">
        <v>14</v>
      </c>
      <c r="C31" s="7" t="s">
        <v>504</v>
      </c>
      <c r="D31" s="7" t="s">
        <v>290</v>
      </c>
      <c r="E31" s="7" t="s">
        <v>317</v>
      </c>
      <c r="F31" s="13" t="n">
        <v>4</v>
      </c>
      <c r="G31" s="7" t="s">
        <v>318</v>
      </c>
      <c r="H31" s="7" t="s">
        <v>513</v>
      </c>
    </row>
    <row r="32" customFormat="false" ht="15" hidden="false" customHeight="false" outlineLevel="0" collapsed="false">
      <c r="A32" s="7" t="s">
        <v>285</v>
      </c>
      <c r="B32" s="13" t="n">
        <v>15</v>
      </c>
      <c r="C32" s="7" t="s">
        <v>504</v>
      </c>
      <c r="D32" s="7" t="s">
        <v>290</v>
      </c>
      <c r="E32" s="7" t="s">
        <v>319</v>
      </c>
      <c r="F32" s="13" t="n">
        <v>3</v>
      </c>
      <c r="G32" s="7" t="s">
        <v>320</v>
      </c>
      <c r="H32" s="7" t="s">
        <v>513</v>
      </c>
    </row>
    <row r="33" customFormat="false" ht="15" hidden="false" customHeight="false" outlineLevel="0" collapsed="false">
      <c r="A33" s="7" t="s">
        <v>285</v>
      </c>
      <c r="B33" s="13" t="n">
        <v>16</v>
      </c>
      <c r="C33" s="7" t="s">
        <v>504</v>
      </c>
      <c r="D33" s="7" t="s">
        <v>290</v>
      </c>
      <c r="E33" s="7" t="s">
        <v>321</v>
      </c>
      <c r="F33" s="13" t="n">
        <v>4</v>
      </c>
      <c r="G33" s="7" t="s">
        <v>322</v>
      </c>
      <c r="H33" s="7" t="s">
        <v>513</v>
      </c>
    </row>
    <row r="34" customFormat="false" ht="15" hidden="false" customHeight="false" outlineLevel="0" collapsed="false">
      <c r="A34" s="7" t="s">
        <v>285</v>
      </c>
      <c r="B34" s="13" t="n">
        <v>17</v>
      </c>
      <c r="C34" s="7" t="s">
        <v>504</v>
      </c>
      <c r="D34" s="7" t="s">
        <v>290</v>
      </c>
      <c r="E34" s="7" t="s">
        <v>323</v>
      </c>
      <c r="F34" s="13" t="n">
        <v>6</v>
      </c>
      <c r="G34" s="7" t="s">
        <v>324</v>
      </c>
      <c r="H34" s="7" t="s">
        <v>513</v>
      </c>
    </row>
    <row r="35" customFormat="false" ht="15" hidden="false" customHeight="false" outlineLevel="0" collapsed="false">
      <c r="A35" s="7" t="s">
        <v>285</v>
      </c>
      <c r="B35" s="13" t="n">
        <v>18</v>
      </c>
      <c r="C35" s="7" t="s">
        <v>504</v>
      </c>
      <c r="D35" s="7" t="s">
        <v>290</v>
      </c>
      <c r="E35" s="7" t="s">
        <v>325</v>
      </c>
      <c r="F35" s="13" t="n">
        <v>6</v>
      </c>
      <c r="G35" s="7" t="s">
        <v>326</v>
      </c>
      <c r="H35" s="7" t="s">
        <v>513</v>
      </c>
    </row>
    <row r="36" customFormat="false" ht="15" hidden="false" customHeight="false" outlineLevel="0" collapsed="false">
      <c r="A36" s="7" t="s">
        <v>285</v>
      </c>
      <c r="B36" s="13" t="n">
        <v>19</v>
      </c>
      <c r="C36" s="7" t="s">
        <v>504</v>
      </c>
      <c r="D36" s="7" t="s">
        <v>290</v>
      </c>
      <c r="E36" s="7" t="s">
        <v>327</v>
      </c>
      <c r="F36" s="13" t="n">
        <v>5</v>
      </c>
      <c r="G36" s="7" t="s">
        <v>328</v>
      </c>
      <c r="H36" s="7" t="s">
        <v>513</v>
      </c>
    </row>
    <row r="37" customFormat="false" ht="15" hidden="false" customHeight="false" outlineLevel="0" collapsed="false">
      <c r="A37" s="7" t="s">
        <v>285</v>
      </c>
      <c r="B37" s="13" t="n">
        <v>20</v>
      </c>
      <c r="C37" s="7" t="s">
        <v>504</v>
      </c>
      <c r="D37" s="7" t="s">
        <v>290</v>
      </c>
      <c r="E37" s="7" t="s">
        <v>329</v>
      </c>
      <c r="F37" s="13" t="n">
        <v>6</v>
      </c>
      <c r="G37" s="7" t="s">
        <v>330</v>
      </c>
      <c r="H37" s="7" t="s">
        <v>513</v>
      </c>
    </row>
    <row r="38" customFormat="false" ht="15" hidden="false" customHeight="false" outlineLevel="0" collapsed="false">
      <c r="A38" s="7" t="s">
        <v>285</v>
      </c>
      <c r="B38" s="13" t="n">
        <v>21</v>
      </c>
      <c r="C38" s="7" t="s">
        <v>504</v>
      </c>
      <c r="D38" s="7" t="s">
        <v>235</v>
      </c>
      <c r="E38" s="7" t="s">
        <v>331</v>
      </c>
      <c r="F38" s="13" t="n">
        <v>2</v>
      </c>
      <c r="G38" s="7" t="s">
        <v>332</v>
      </c>
      <c r="H38" s="7" t="s">
        <v>513</v>
      </c>
    </row>
    <row r="39" customFormat="false" ht="15" hidden="false" customHeight="false" outlineLevel="0" collapsed="false">
      <c r="A39" s="7" t="s">
        <v>285</v>
      </c>
      <c r="B39" s="13" t="n">
        <v>22</v>
      </c>
      <c r="C39" s="7" t="s">
        <v>504</v>
      </c>
      <c r="D39" s="7" t="s">
        <v>235</v>
      </c>
      <c r="E39" s="7" t="s">
        <v>333</v>
      </c>
      <c r="F39" s="13" t="n">
        <v>3</v>
      </c>
      <c r="G39" s="7" t="s">
        <v>334</v>
      </c>
      <c r="H39" s="7" t="s">
        <v>513</v>
      </c>
    </row>
    <row r="40" customFormat="false" ht="15" hidden="false" customHeight="false" outlineLevel="0" collapsed="false">
      <c r="A40" s="7" t="s">
        <v>285</v>
      </c>
      <c r="B40" s="13" t="n">
        <v>23</v>
      </c>
      <c r="C40" s="7" t="s">
        <v>504</v>
      </c>
      <c r="D40" s="7" t="s">
        <v>235</v>
      </c>
      <c r="E40" s="7" t="s">
        <v>335</v>
      </c>
      <c r="F40" s="13" t="n">
        <v>6</v>
      </c>
      <c r="G40" s="7" t="s">
        <v>336</v>
      </c>
      <c r="H40" s="7" t="s">
        <v>513</v>
      </c>
    </row>
    <row r="41" customFormat="false" ht="15" hidden="false" customHeight="false" outlineLevel="0" collapsed="false">
      <c r="A41" s="7" t="s">
        <v>285</v>
      </c>
      <c r="B41" s="13" t="n">
        <v>24</v>
      </c>
      <c r="C41" s="7" t="s">
        <v>504</v>
      </c>
      <c r="D41" s="7" t="s">
        <v>235</v>
      </c>
      <c r="E41" s="7" t="s">
        <v>337</v>
      </c>
      <c r="F41" s="13" t="n">
        <v>4</v>
      </c>
      <c r="G41" s="7" t="s">
        <v>338</v>
      </c>
      <c r="H41" s="7" t="s">
        <v>513</v>
      </c>
    </row>
    <row r="42" customFormat="false" ht="15" hidden="false" customHeight="false" outlineLevel="0" collapsed="false">
      <c r="A42" s="7" t="s">
        <v>285</v>
      </c>
      <c r="B42" s="13" t="n">
        <v>25</v>
      </c>
      <c r="C42" s="7" t="s">
        <v>504</v>
      </c>
      <c r="D42" s="7" t="s">
        <v>235</v>
      </c>
      <c r="E42" s="7" t="s">
        <v>339</v>
      </c>
      <c r="F42" s="13" t="n">
        <v>8</v>
      </c>
      <c r="G42" s="7" t="s">
        <v>340</v>
      </c>
      <c r="H42" s="7" t="s">
        <v>513</v>
      </c>
    </row>
    <row r="43" customFormat="false" ht="15" hidden="false" customHeight="false" outlineLevel="0" collapsed="false">
      <c r="A43" s="7" t="s">
        <v>285</v>
      </c>
      <c r="B43" s="13" t="n">
        <v>26</v>
      </c>
      <c r="C43" s="7" t="s">
        <v>504</v>
      </c>
      <c r="D43" s="7" t="s">
        <v>235</v>
      </c>
      <c r="E43" s="7" t="s">
        <v>341</v>
      </c>
      <c r="F43" s="13" t="n">
        <v>10</v>
      </c>
      <c r="G43" s="7" t="s">
        <v>342</v>
      </c>
      <c r="H43" s="7" t="s">
        <v>513</v>
      </c>
    </row>
    <row r="44" customFormat="false" ht="15" hidden="false" customHeight="false" outlineLevel="0" collapsed="false">
      <c r="A44" s="7" t="s">
        <v>285</v>
      </c>
      <c r="B44" s="13" t="n">
        <v>27</v>
      </c>
      <c r="C44" s="7" t="s">
        <v>504</v>
      </c>
      <c r="D44" s="7" t="s">
        <v>235</v>
      </c>
      <c r="E44" s="7" t="s">
        <v>343</v>
      </c>
      <c r="F44" s="13" t="n">
        <v>6</v>
      </c>
      <c r="G44" s="7" t="s">
        <v>344</v>
      </c>
      <c r="H44" s="7" t="s">
        <v>513</v>
      </c>
    </row>
    <row r="45" customFormat="false" ht="15" hidden="false" customHeight="false" outlineLevel="0" collapsed="false">
      <c r="A45" s="7" t="s">
        <v>285</v>
      </c>
      <c r="B45" s="13" t="n">
        <v>28</v>
      </c>
      <c r="C45" s="7" t="s">
        <v>504</v>
      </c>
      <c r="D45" s="7" t="s">
        <v>235</v>
      </c>
      <c r="E45" s="7" t="s">
        <v>345</v>
      </c>
      <c r="F45" s="13" t="n">
        <v>4</v>
      </c>
      <c r="G45" s="7" t="s">
        <v>346</v>
      </c>
      <c r="H45" s="7" t="s">
        <v>513</v>
      </c>
    </row>
    <row r="46" customFormat="false" ht="15" hidden="false" customHeight="false" outlineLevel="0" collapsed="false">
      <c r="A46" s="7" t="s">
        <v>285</v>
      </c>
      <c r="B46" s="13" t="n">
        <v>29</v>
      </c>
      <c r="C46" s="7" t="s">
        <v>504</v>
      </c>
      <c r="D46" s="7" t="s">
        <v>235</v>
      </c>
      <c r="E46" s="7" t="s">
        <v>347</v>
      </c>
      <c r="F46" s="13" t="n">
        <v>3</v>
      </c>
      <c r="G46" s="7" t="s">
        <v>348</v>
      </c>
      <c r="H46" s="7" t="s">
        <v>513</v>
      </c>
    </row>
    <row r="47" customFormat="false" ht="15" hidden="false" customHeight="false" outlineLevel="0" collapsed="false">
      <c r="A47" s="7" t="s">
        <v>285</v>
      </c>
      <c r="B47" s="13" t="n">
        <v>30</v>
      </c>
      <c r="C47" s="7" t="s">
        <v>504</v>
      </c>
      <c r="D47" s="7" t="s">
        <v>235</v>
      </c>
      <c r="E47" s="7" t="s">
        <v>349</v>
      </c>
      <c r="F47" s="13" t="n">
        <v>3</v>
      </c>
      <c r="G47" s="7" t="s">
        <v>350</v>
      </c>
      <c r="H47" s="7" t="s">
        <v>513</v>
      </c>
    </row>
    <row r="48" customFormat="false" ht="15" hidden="false" customHeight="false" outlineLevel="0" collapsed="false">
      <c r="A48" s="7" t="s">
        <v>285</v>
      </c>
      <c r="B48" s="13" t="n">
        <v>31</v>
      </c>
      <c r="C48" s="7" t="s">
        <v>504</v>
      </c>
      <c r="D48" s="7" t="s">
        <v>235</v>
      </c>
      <c r="E48" s="7" t="s">
        <v>351</v>
      </c>
      <c r="F48" s="13" t="n">
        <v>6</v>
      </c>
      <c r="G48" s="7" t="s">
        <v>352</v>
      </c>
      <c r="H48" s="7" t="s">
        <v>513</v>
      </c>
    </row>
    <row r="49" customFormat="false" ht="15" hidden="false" customHeight="false" outlineLevel="0" collapsed="false">
      <c r="A49" s="7" t="s">
        <v>285</v>
      </c>
      <c r="B49" s="13" t="n">
        <v>32</v>
      </c>
      <c r="C49" s="7" t="s">
        <v>504</v>
      </c>
      <c r="D49" s="7" t="s">
        <v>235</v>
      </c>
      <c r="E49" s="7" t="s">
        <v>353</v>
      </c>
      <c r="F49" s="13" t="n">
        <v>4</v>
      </c>
      <c r="G49" s="7" t="s">
        <v>354</v>
      </c>
      <c r="H49" s="7" t="s">
        <v>513</v>
      </c>
    </row>
    <row r="50" customFormat="false" ht="15" hidden="false" customHeight="false" outlineLevel="0" collapsed="false">
      <c r="A50" s="7" t="s">
        <v>285</v>
      </c>
      <c r="B50" s="13" t="n">
        <v>33</v>
      </c>
      <c r="C50" s="7" t="s">
        <v>504</v>
      </c>
      <c r="D50" s="7" t="s">
        <v>235</v>
      </c>
      <c r="E50" s="7" t="s">
        <v>355</v>
      </c>
      <c r="F50" s="13" t="n">
        <v>5</v>
      </c>
      <c r="G50" s="7" t="s">
        <v>356</v>
      </c>
      <c r="H50" s="7" t="s">
        <v>513</v>
      </c>
    </row>
    <row r="51" customFormat="false" ht="15" hidden="false" customHeight="false" outlineLevel="0" collapsed="false">
      <c r="A51" s="7" t="s">
        <v>285</v>
      </c>
      <c r="B51" s="13" t="n">
        <v>34</v>
      </c>
      <c r="C51" s="7" t="s">
        <v>504</v>
      </c>
      <c r="D51" s="7" t="s">
        <v>235</v>
      </c>
      <c r="E51" s="7" t="s">
        <v>357</v>
      </c>
      <c r="F51" s="13" t="n">
        <v>3</v>
      </c>
      <c r="G51" s="7" t="s">
        <v>358</v>
      </c>
      <c r="H51" s="7" t="s">
        <v>513</v>
      </c>
    </row>
    <row r="52" customFormat="false" ht="15" hidden="false" customHeight="false" outlineLevel="0" collapsed="false">
      <c r="A52" s="7" t="s">
        <v>285</v>
      </c>
      <c r="B52" s="13" t="n">
        <v>35</v>
      </c>
      <c r="C52" s="7" t="s">
        <v>504</v>
      </c>
      <c r="D52" s="7" t="s">
        <v>235</v>
      </c>
      <c r="E52" s="7" t="s">
        <v>359</v>
      </c>
      <c r="F52" s="13" t="n">
        <v>8</v>
      </c>
      <c r="G52" s="7" t="s">
        <v>360</v>
      </c>
      <c r="H52" s="7" t="s">
        <v>513</v>
      </c>
    </row>
    <row r="53" customFormat="false" ht="15" hidden="false" customHeight="false" outlineLevel="0" collapsed="false">
      <c r="A53" s="7" t="s">
        <v>285</v>
      </c>
      <c r="B53" s="13" t="n">
        <v>36</v>
      </c>
      <c r="C53" s="7" t="s">
        <v>504</v>
      </c>
      <c r="D53" s="7" t="s">
        <v>235</v>
      </c>
      <c r="E53" s="7" t="s">
        <v>361</v>
      </c>
      <c r="F53" s="13" t="n">
        <v>8</v>
      </c>
      <c r="G53" s="7" t="s">
        <v>362</v>
      </c>
      <c r="H53" s="7" t="s">
        <v>513</v>
      </c>
    </row>
    <row r="54" customFormat="false" ht="15" hidden="false" customHeight="false" outlineLevel="0" collapsed="false">
      <c r="A54" s="7" t="s">
        <v>285</v>
      </c>
      <c r="B54" s="13" t="n">
        <v>37</v>
      </c>
      <c r="C54" s="7" t="s">
        <v>504</v>
      </c>
      <c r="D54" s="7" t="s">
        <v>235</v>
      </c>
      <c r="E54" s="7" t="s">
        <v>363</v>
      </c>
      <c r="F54" s="13" t="n">
        <v>10</v>
      </c>
      <c r="G54" s="7" t="s">
        <v>364</v>
      </c>
      <c r="H54" s="7" t="s">
        <v>513</v>
      </c>
    </row>
    <row r="55" customFormat="false" ht="15" hidden="false" customHeight="false" outlineLevel="0" collapsed="false">
      <c r="A55" s="7" t="s">
        <v>285</v>
      </c>
      <c r="B55" s="13" t="n">
        <v>38</v>
      </c>
      <c r="C55" s="7" t="s">
        <v>504</v>
      </c>
      <c r="D55" s="7" t="s">
        <v>235</v>
      </c>
      <c r="E55" s="7" t="s">
        <v>365</v>
      </c>
      <c r="F55" s="13" t="n">
        <v>10</v>
      </c>
      <c r="G55" s="7" t="s">
        <v>364</v>
      </c>
      <c r="H55" s="7" t="s">
        <v>513</v>
      </c>
    </row>
    <row r="56" customFormat="false" ht="15" hidden="false" customHeight="false" outlineLevel="0" collapsed="false">
      <c r="A56" s="7" t="s">
        <v>285</v>
      </c>
      <c r="B56" s="13" t="n">
        <v>39</v>
      </c>
      <c r="C56" s="7" t="s">
        <v>504</v>
      </c>
      <c r="D56" s="7" t="s">
        <v>240</v>
      </c>
      <c r="E56" s="7" t="s">
        <v>366</v>
      </c>
      <c r="F56" s="13" t="n">
        <v>8</v>
      </c>
      <c r="G56" s="7" t="s">
        <v>367</v>
      </c>
      <c r="H56" s="7" t="s">
        <v>513</v>
      </c>
    </row>
    <row r="57" customFormat="false" ht="15" hidden="false" customHeight="false" outlineLevel="0" collapsed="false">
      <c r="A57" s="7" t="s">
        <v>285</v>
      </c>
      <c r="B57" s="13" t="n">
        <v>40</v>
      </c>
      <c r="C57" s="7" t="s">
        <v>504</v>
      </c>
      <c r="D57" s="7" t="s">
        <v>240</v>
      </c>
      <c r="E57" s="7" t="s">
        <v>368</v>
      </c>
      <c r="F57" s="13" t="n">
        <v>6</v>
      </c>
      <c r="G57" s="7" t="s">
        <v>369</v>
      </c>
      <c r="H57" s="7" t="s">
        <v>513</v>
      </c>
    </row>
    <row r="58" customFormat="false" ht="15" hidden="false" customHeight="false" outlineLevel="0" collapsed="false">
      <c r="A58" s="7" t="s">
        <v>285</v>
      </c>
      <c r="B58" s="13" t="n">
        <v>41</v>
      </c>
      <c r="C58" s="7" t="s">
        <v>504</v>
      </c>
      <c r="D58" s="7" t="s">
        <v>240</v>
      </c>
      <c r="E58" s="7" t="s">
        <v>370</v>
      </c>
      <c r="F58" s="13" t="n">
        <v>6</v>
      </c>
      <c r="G58" s="7" t="s">
        <v>371</v>
      </c>
      <c r="H58" s="7" t="s">
        <v>513</v>
      </c>
    </row>
    <row r="59" customFormat="false" ht="15" hidden="false" customHeight="false" outlineLevel="0" collapsed="false">
      <c r="A59" s="7" t="s">
        <v>285</v>
      </c>
      <c r="B59" s="13" t="n">
        <v>42</v>
      </c>
      <c r="C59" s="7" t="s">
        <v>504</v>
      </c>
      <c r="D59" s="7" t="s">
        <v>240</v>
      </c>
      <c r="E59" s="7" t="s">
        <v>372</v>
      </c>
      <c r="F59" s="13" t="n">
        <v>6</v>
      </c>
      <c r="G59" s="7" t="s">
        <v>373</v>
      </c>
      <c r="H59" s="7" t="s">
        <v>513</v>
      </c>
    </row>
    <row r="60" customFormat="false" ht="15" hidden="false" customHeight="false" outlineLevel="0" collapsed="false">
      <c r="A60" s="7" t="s">
        <v>285</v>
      </c>
      <c r="B60" s="13" t="n">
        <v>43</v>
      </c>
      <c r="C60" s="7" t="s">
        <v>504</v>
      </c>
      <c r="D60" s="7" t="s">
        <v>240</v>
      </c>
      <c r="E60" s="7" t="s">
        <v>374</v>
      </c>
      <c r="F60" s="13" t="n">
        <v>8</v>
      </c>
      <c r="G60" s="7" t="s">
        <v>375</v>
      </c>
      <c r="H60" s="7" t="s">
        <v>513</v>
      </c>
    </row>
    <row r="61" customFormat="false" ht="15" hidden="false" customHeight="false" outlineLevel="0" collapsed="false">
      <c r="A61" s="7" t="s">
        <v>285</v>
      </c>
      <c r="B61" s="13" t="n">
        <v>44</v>
      </c>
      <c r="C61" s="7" t="s">
        <v>504</v>
      </c>
      <c r="D61" s="7" t="s">
        <v>240</v>
      </c>
      <c r="E61" s="7" t="s">
        <v>376</v>
      </c>
      <c r="F61" s="13" t="n">
        <v>4</v>
      </c>
      <c r="G61" s="7" t="s">
        <v>377</v>
      </c>
      <c r="H61" s="7" t="s">
        <v>513</v>
      </c>
    </row>
    <row r="62" customFormat="false" ht="15" hidden="false" customHeight="false" outlineLevel="0" collapsed="false">
      <c r="A62" s="7" t="s">
        <v>285</v>
      </c>
      <c r="B62" s="13" t="n">
        <v>45</v>
      </c>
      <c r="C62" s="7" t="s">
        <v>504</v>
      </c>
      <c r="D62" s="7" t="s">
        <v>240</v>
      </c>
      <c r="E62" s="7" t="s">
        <v>378</v>
      </c>
      <c r="F62" s="13" t="n">
        <v>6</v>
      </c>
      <c r="G62" s="7" t="s">
        <v>379</v>
      </c>
      <c r="H62" s="7" t="s">
        <v>513</v>
      </c>
    </row>
    <row r="63" customFormat="false" ht="15" hidden="false" customHeight="false" outlineLevel="0" collapsed="false">
      <c r="A63" s="7" t="s">
        <v>285</v>
      </c>
      <c r="B63" s="13" t="n">
        <v>46</v>
      </c>
      <c r="C63" s="7" t="s">
        <v>504</v>
      </c>
      <c r="D63" s="7" t="s">
        <v>240</v>
      </c>
      <c r="E63" s="7" t="s">
        <v>380</v>
      </c>
      <c r="F63" s="13" t="n">
        <v>8</v>
      </c>
      <c r="G63" s="7" t="s">
        <v>381</v>
      </c>
      <c r="H63" s="7" t="s">
        <v>513</v>
      </c>
    </row>
    <row r="64" customFormat="false" ht="15" hidden="false" customHeight="false" outlineLevel="0" collapsed="false">
      <c r="A64" s="7" t="s">
        <v>285</v>
      </c>
      <c r="B64" s="13" t="n">
        <v>47</v>
      </c>
      <c r="C64" s="7" t="s">
        <v>504</v>
      </c>
      <c r="D64" s="7" t="s">
        <v>246</v>
      </c>
      <c r="E64" s="7" t="s">
        <v>382</v>
      </c>
      <c r="F64" s="13" t="n">
        <v>4</v>
      </c>
      <c r="G64" s="7" t="s">
        <v>383</v>
      </c>
      <c r="H64" s="7" t="s">
        <v>513</v>
      </c>
    </row>
    <row r="65" customFormat="false" ht="15" hidden="false" customHeight="false" outlineLevel="0" collapsed="false">
      <c r="A65" s="7" t="s">
        <v>285</v>
      </c>
      <c r="B65" s="13" t="n">
        <v>48</v>
      </c>
      <c r="C65" s="7" t="s">
        <v>504</v>
      </c>
      <c r="D65" s="7" t="s">
        <v>246</v>
      </c>
      <c r="E65" s="7" t="s">
        <v>384</v>
      </c>
      <c r="F65" s="13" t="n">
        <v>4</v>
      </c>
      <c r="G65" s="7" t="s">
        <v>385</v>
      </c>
      <c r="H65" s="7" t="s">
        <v>513</v>
      </c>
    </row>
    <row r="66" customFormat="false" ht="15" hidden="false" customHeight="false" outlineLevel="0" collapsed="false">
      <c r="A66" s="7" t="s">
        <v>285</v>
      </c>
      <c r="B66" s="13" t="n">
        <v>49</v>
      </c>
      <c r="C66" s="7" t="s">
        <v>504</v>
      </c>
      <c r="D66" s="7" t="s">
        <v>246</v>
      </c>
      <c r="E66" s="7" t="s">
        <v>386</v>
      </c>
      <c r="F66" s="13" t="n">
        <v>10</v>
      </c>
      <c r="G66" s="7" t="s">
        <v>387</v>
      </c>
      <c r="H66" s="7" t="s">
        <v>513</v>
      </c>
    </row>
    <row r="67" customFormat="false" ht="15" hidden="false" customHeight="false" outlineLevel="0" collapsed="false">
      <c r="A67" s="7" t="s">
        <v>285</v>
      </c>
      <c r="B67" s="13" t="n">
        <v>50</v>
      </c>
      <c r="C67" s="7" t="s">
        <v>504</v>
      </c>
      <c r="D67" s="7" t="s">
        <v>246</v>
      </c>
      <c r="E67" s="7" t="s">
        <v>388</v>
      </c>
      <c r="F67" s="13" t="n">
        <v>6</v>
      </c>
      <c r="G67" s="7" t="s">
        <v>389</v>
      </c>
      <c r="H67" s="7" t="s">
        <v>513</v>
      </c>
    </row>
    <row r="68" customFormat="false" ht="15" hidden="false" customHeight="false" outlineLevel="0" collapsed="false">
      <c r="A68" s="7" t="s">
        <v>285</v>
      </c>
      <c r="B68" s="13" t="n">
        <v>51</v>
      </c>
      <c r="C68" s="7" t="s">
        <v>504</v>
      </c>
      <c r="D68" s="7" t="s">
        <v>246</v>
      </c>
      <c r="E68" s="7" t="s">
        <v>390</v>
      </c>
      <c r="F68" s="13" t="n">
        <v>6</v>
      </c>
      <c r="G68" s="7" t="s">
        <v>391</v>
      </c>
      <c r="H68" s="7" t="s">
        <v>513</v>
      </c>
    </row>
    <row r="69" customFormat="false" ht="15" hidden="false" customHeight="false" outlineLevel="0" collapsed="false">
      <c r="A69" s="7" t="s">
        <v>285</v>
      </c>
      <c r="B69" s="13" t="n">
        <v>52</v>
      </c>
      <c r="C69" s="7" t="s">
        <v>504</v>
      </c>
      <c r="D69" s="7" t="s">
        <v>246</v>
      </c>
      <c r="E69" s="7" t="s">
        <v>392</v>
      </c>
      <c r="F69" s="13" t="n">
        <v>6</v>
      </c>
      <c r="G69" s="7" t="s">
        <v>393</v>
      </c>
      <c r="H69" s="7" t="s">
        <v>513</v>
      </c>
    </row>
    <row r="70" customFormat="false" ht="15" hidden="false" customHeight="false" outlineLevel="0" collapsed="false">
      <c r="A70" s="7" t="s">
        <v>285</v>
      </c>
      <c r="B70" s="13" t="n">
        <v>53</v>
      </c>
      <c r="C70" s="7" t="s">
        <v>504</v>
      </c>
      <c r="D70" s="7" t="s">
        <v>394</v>
      </c>
      <c r="E70" s="7" t="s">
        <v>395</v>
      </c>
      <c r="F70" s="13" t="n">
        <v>8</v>
      </c>
      <c r="G70" s="7" t="s">
        <v>396</v>
      </c>
      <c r="H70" s="7" t="s">
        <v>513</v>
      </c>
    </row>
    <row r="71" customFormat="false" ht="15" hidden="false" customHeight="false" outlineLevel="0" collapsed="false">
      <c r="A71" s="7" t="s">
        <v>285</v>
      </c>
      <c r="B71" s="13" t="n">
        <v>54</v>
      </c>
      <c r="C71" s="7" t="s">
        <v>504</v>
      </c>
      <c r="D71" s="7" t="s">
        <v>394</v>
      </c>
      <c r="E71" s="7" t="s">
        <v>397</v>
      </c>
      <c r="F71" s="13" t="n">
        <v>4</v>
      </c>
      <c r="G71" s="7" t="s">
        <v>398</v>
      </c>
      <c r="H71" s="7" t="s">
        <v>513</v>
      </c>
    </row>
    <row r="72" customFormat="false" ht="15" hidden="false" customHeight="false" outlineLevel="0" collapsed="false">
      <c r="A72" s="7" t="s">
        <v>285</v>
      </c>
      <c r="B72" s="13" t="n">
        <v>55</v>
      </c>
      <c r="C72" s="7" t="s">
        <v>504</v>
      </c>
      <c r="D72" s="7" t="s">
        <v>394</v>
      </c>
      <c r="E72" s="7" t="s">
        <v>399</v>
      </c>
      <c r="F72" s="13" t="n">
        <v>4</v>
      </c>
      <c r="G72" s="7" t="s">
        <v>400</v>
      </c>
      <c r="H72" s="7" t="s">
        <v>513</v>
      </c>
    </row>
    <row r="73" customFormat="false" ht="15" hidden="false" customHeight="false" outlineLevel="0" collapsed="false">
      <c r="A73" s="7" t="s">
        <v>285</v>
      </c>
      <c r="B73" s="13" t="n">
        <v>56</v>
      </c>
      <c r="C73" s="7" t="s">
        <v>504</v>
      </c>
      <c r="D73" s="7" t="s">
        <v>394</v>
      </c>
      <c r="E73" s="7" t="s">
        <v>401</v>
      </c>
      <c r="F73" s="13" t="n">
        <v>5</v>
      </c>
      <c r="G73" s="7" t="s">
        <v>402</v>
      </c>
      <c r="H73" s="7" t="s">
        <v>513</v>
      </c>
    </row>
    <row r="74" customFormat="false" ht="15" hidden="false" customHeight="false" outlineLevel="0" collapsed="false">
      <c r="A74" s="7" t="s">
        <v>285</v>
      </c>
      <c r="B74" s="13" t="n">
        <v>57</v>
      </c>
      <c r="C74" s="7" t="s">
        <v>504</v>
      </c>
      <c r="D74" s="7" t="s">
        <v>394</v>
      </c>
      <c r="E74" s="7" t="s">
        <v>403</v>
      </c>
      <c r="F74" s="13" t="n">
        <v>8</v>
      </c>
      <c r="G74" s="7" t="s">
        <v>404</v>
      </c>
      <c r="H74" s="7" t="s">
        <v>513</v>
      </c>
    </row>
    <row r="75" customFormat="false" ht="15" hidden="false" customHeight="false" outlineLevel="0" collapsed="false">
      <c r="A75" s="7" t="s">
        <v>285</v>
      </c>
      <c r="B75" s="13" t="n">
        <v>58</v>
      </c>
      <c r="C75" s="7" t="s">
        <v>504</v>
      </c>
      <c r="D75" s="7" t="s">
        <v>394</v>
      </c>
      <c r="E75" s="7" t="s">
        <v>405</v>
      </c>
      <c r="F75" s="13" t="n">
        <v>3</v>
      </c>
      <c r="G75" s="7" t="s">
        <v>406</v>
      </c>
      <c r="H75" s="7" t="s">
        <v>513</v>
      </c>
    </row>
    <row r="76" customFormat="false" ht="15" hidden="false" customHeight="false" outlineLevel="0" collapsed="false">
      <c r="A76" s="7" t="s">
        <v>285</v>
      </c>
      <c r="B76" s="13" t="n">
        <v>59</v>
      </c>
      <c r="C76" s="7" t="s">
        <v>504</v>
      </c>
      <c r="D76" s="7" t="s">
        <v>260</v>
      </c>
      <c r="E76" s="7" t="s">
        <v>407</v>
      </c>
      <c r="F76" s="13" t="n">
        <v>6</v>
      </c>
      <c r="G76" s="7" t="s">
        <v>408</v>
      </c>
      <c r="H76" s="7" t="s">
        <v>513</v>
      </c>
    </row>
    <row r="77" customFormat="false" ht="15" hidden="false" customHeight="false" outlineLevel="0" collapsed="false">
      <c r="A77" s="7" t="s">
        <v>285</v>
      </c>
      <c r="B77" s="13" t="n">
        <v>60</v>
      </c>
      <c r="C77" s="7" t="s">
        <v>504</v>
      </c>
      <c r="D77" s="7" t="s">
        <v>260</v>
      </c>
      <c r="E77" s="7" t="s">
        <v>409</v>
      </c>
      <c r="F77" s="13" t="n">
        <v>4</v>
      </c>
      <c r="G77" s="7" t="s">
        <v>410</v>
      </c>
      <c r="H77" s="7" t="s">
        <v>513</v>
      </c>
    </row>
    <row r="78" customFormat="false" ht="15" hidden="false" customHeight="false" outlineLevel="0" collapsed="false">
      <c r="A78" s="7" t="s">
        <v>285</v>
      </c>
      <c r="B78" s="13" t="n">
        <v>61</v>
      </c>
      <c r="C78" s="7" t="s">
        <v>504</v>
      </c>
      <c r="D78" s="7" t="s">
        <v>266</v>
      </c>
      <c r="E78" s="7" t="s">
        <v>411</v>
      </c>
      <c r="F78" s="13" t="n">
        <v>5</v>
      </c>
      <c r="G78" s="7" t="s">
        <v>412</v>
      </c>
      <c r="H78" s="7" t="s">
        <v>513</v>
      </c>
    </row>
    <row r="79" customFormat="false" ht="15" hidden="false" customHeight="false" outlineLevel="0" collapsed="false">
      <c r="A79" s="7" t="s">
        <v>285</v>
      </c>
      <c r="B79" s="13" t="n">
        <v>62</v>
      </c>
      <c r="C79" s="7" t="s">
        <v>504</v>
      </c>
      <c r="D79" s="7" t="s">
        <v>266</v>
      </c>
      <c r="E79" s="7" t="s">
        <v>413</v>
      </c>
      <c r="F79" s="13" t="n">
        <v>8</v>
      </c>
      <c r="G79" s="7" t="s">
        <v>414</v>
      </c>
      <c r="H79" s="7" t="s">
        <v>513</v>
      </c>
    </row>
    <row r="80" customFormat="false" ht="15" hidden="false" customHeight="false" outlineLevel="0" collapsed="false">
      <c r="A80" s="7" t="s">
        <v>285</v>
      </c>
      <c r="B80" s="13" t="n">
        <v>63</v>
      </c>
      <c r="C80" s="7" t="s">
        <v>504</v>
      </c>
      <c r="D80" s="7" t="s">
        <v>266</v>
      </c>
      <c r="E80" s="7" t="s">
        <v>415</v>
      </c>
      <c r="F80" s="13" t="n">
        <v>5</v>
      </c>
      <c r="G80" s="7" t="s">
        <v>416</v>
      </c>
      <c r="H80" s="7" t="s">
        <v>513</v>
      </c>
    </row>
    <row r="81" customFormat="false" ht="15" hidden="false" customHeight="false" outlineLevel="0" collapsed="false">
      <c r="A81" s="7" t="s">
        <v>285</v>
      </c>
      <c r="B81" s="13" t="n">
        <v>64</v>
      </c>
      <c r="C81" s="7" t="s">
        <v>504</v>
      </c>
      <c r="D81" s="7" t="s">
        <v>266</v>
      </c>
      <c r="E81" s="7" t="s">
        <v>417</v>
      </c>
      <c r="F81" s="13" t="n">
        <v>4</v>
      </c>
      <c r="G81" s="7" t="s">
        <v>418</v>
      </c>
      <c r="H81" s="7" t="s">
        <v>513</v>
      </c>
    </row>
    <row r="82" customFormat="false" ht="15" hidden="false" customHeight="false" outlineLevel="0" collapsed="false">
      <c r="A82" s="7" t="s">
        <v>285</v>
      </c>
      <c r="B82" s="13" t="n">
        <v>65</v>
      </c>
      <c r="C82" s="7" t="s">
        <v>504</v>
      </c>
      <c r="D82" s="7" t="s">
        <v>271</v>
      </c>
      <c r="E82" s="7" t="s">
        <v>419</v>
      </c>
      <c r="F82" s="13" t="n">
        <v>4</v>
      </c>
      <c r="G82" s="7" t="s">
        <v>420</v>
      </c>
      <c r="H82" s="7" t="s">
        <v>513</v>
      </c>
    </row>
    <row r="83" customFormat="false" ht="15" hidden="false" customHeight="false" outlineLevel="0" collapsed="false">
      <c r="A83" s="7" t="s">
        <v>285</v>
      </c>
      <c r="B83" s="13" t="n">
        <v>66</v>
      </c>
      <c r="C83" s="7" t="s">
        <v>504</v>
      </c>
      <c r="D83" s="7" t="s">
        <v>271</v>
      </c>
      <c r="E83" s="7" t="s">
        <v>421</v>
      </c>
      <c r="F83" s="13" t="n">
        <v>5</v>
      </c>
      <c r="G83" s="7" t="s">
        <v>422</v>
      </c>
      <c r="H83" s="7" t="s">
        <v>513</v>
      </c>
    </row>
    <row r="84" customFormat="false" ht="15" hidden="false" customHeight="false" outlineLevel="0" collapsed="false">
      <c r="A84" s="7" t="s">
        <v>285</v>
      </c>
      <c r="B84" s="13" t="n">
        <v>67</v>
      </c>
      <c r="C84" s="7" t="s">
        <v>504</v>
      </c>
      <c r="D84" s="7" t="s">
        <v>276</v>
      </c>
      <c r="E84" s="7" t="s">
        <v>423</v>
      </c>
      <c r="F84" s="13" t="n">
        <v>20</v>
      </c>
      <c r="G84" s="7" t="s">
        <v>424</v>
      </c>
      <c r="H84" s="7" t="s">
        <v>513</v>
      </c>
    </row>
    <row r="85" customFormat="false" ht="15" hidden="false" customHeight="false" outlineLevel="0" collapsed="false">
      <c r="A85" s="7" t="s">
        <v>285</v>
      </c>
      <c r="B85" s="13" t="n">
        <v>68</v>
      </c>
      <c r="C85" s="7" t="s">
        <v>504</v>
      </c>
      <c r="D85" s="7" t="s">
        <v>276</v>
      </c>
      <c r="E85" s="7" t="s">
        <v>425</v>
      </c>
      <c r="F85" s="13" t="n">
        <v>4</v>
      </c>
      <c r="G85" s="7" t="s">
        <v>426</v>
      </c>
      <c r="H85" s="7" t="s">
        <v>513</v>
      </c>
    </row>
    <row r="86" customFormat="false" ht="15" hidden="false" customHeight="false" outlineLevel="0" collapsed="false">
      <c r="A86" s="7" t="s">
        <v>285</v>
      </c>
      <c r="B86" s="13" t="n">
        <v>69</v>
      </c>
      <c r="C86" s="7" t="s">
        <v>504</v>
      </c>
      <c r="D86" s="7" t="s">
        <v>276</v>
      </c>
      <c r="E86" s="7" t="s">
        <v>427</v>
      </c>
      <c r="F86" s="13" t="n">
        <v>3</v>
      </c>
      <c r="G86" s="7" t="s">
        <v>428</v>
      </c>
      <c r="H86" s="7" t="s">
        <v>513</v>
      </c>
    </row>
    <row r="87" customFormat="false" ht="15" hidden="false" customHeight="false" outlineLevel="0" collapsed="false">
      <c r="A87" s="7" t="s">
        <v>285</v>
      </c>
      <c r="B87" s="13" t="n">
        <v>70</v>
      </c>
      <c r="C87" s="7" t="s">
        <v>504</v>
      </c>
      <c r="D87" s="7" t="s">
        <v>276</v>
      </c>
      <c r="E87" s="7" t="s">
        <v>429</v>
      </c>
      <c r="F87" s="13" t="n">
        <v>6</v>
      </c>
      <c r="G87" s="7" t="s">
        <v>430</v>
      </c>
      <c r="H87" s="7" t="s">
        <v>513</v>
      </c>
    </row>
    <row r="88" customFormat="false" ht="15" hidden="false" customHeight="false" outlineLevel="0" collapsed="false">
      <c r="A88" s="7" t="s">
        <v>285</v>
      </c>
      <c r="B88" s="13" t="n">
        <v>71</v>
      </c>
      <c r="C88" s="7" t="s">
        <v>504</v>
      </c>
      <c r="D88" s="7" t="s">
        <v>276</v>
      </c>
      <c r="E88" s="7" t="s">
        <v>431</v>
      </c>
      <c r="F88" s="13" t="n">
        <v>10</v>
      </c>
      <c r="G88" s="7" t="s">
        <v>432</v>
      </c>
      <c r="H88" s="7" t="s">
        <v>513</v>
      </c>
    </row>
    <row r="89" customFormat="false" ht="15" hidden="false" customHeight="false" outlineLevel="0" collapsed="false">
      <c r="A89" s="7" t="s">
        <v>285</v>
      </c>
      <c r="B89" s="13" t="n">
        <v>72</v>
      </c>
      <c r="C89" s="7" t="s">
        <v>504</v>
      </c>
      <c r="D89" s="7" t="s">
        <v>246</v>
      </c>
      <c r="E89" s="7" t="s">
        <v>514</v>
      </c>
      <c r="F89" s="13" t="n">
        <v>3</v>
      </c>
      <c r="G89" s="7" t="s">
        <v>515</v>
      </c>
      <c r="H89" s="7" t="s">
        <v>513</v>
      </c>
    </row>
    <row r="90" customFormat="false" ht="15" hidden="false" customHeight="false" outlineLevel="0" collapsed="false">
      <c r="A90" s="7" t="s">
        <v>285</v>
      </c>
      <c r="B90" s="13" t="n">
        <v>73</v>
      </c>
      <c r="C90" s="7" t="s">
        <v>504</v>
      </c>
      <c r="D90" s="7" t="s">
        <v>246</v>
      </c>
      <c r="E90" s="7" t="s">
        <v>516</v>
      </c>
      <c r="F90" s="13" t="n">
        <v>3</v>
      </c>
      <c r="G90" s="7" t="s">
        <v>517</v>
      </c>
      <c r="H90" s="7" t="s">
        <v>513</v>
      </c>
    </row>
    <row r="91" customFormat="false" ht="15" hidden="false" customHeight="false" outlineLevel="0" collapsed="false">
      <c r="A91" s="7" t="s">
        <v>285</v>
      </c>
      <c r="B91" s="13" t="n">
        <v>74</v>
      </c>
      <c r="C91" s="7" t="s">
        <v>504</v>
      </c>
      <c r="D91" s="7" t="s">
        <v>246</v>
      </c>
      <c r="E91" s="7" t="s">
        <v>518</v>
      </c>
      <c r="F91" s="13" t="n">
        <v>4</v>
      </c>
      <c r="G91" s="7" t="s">
        <v>519</v>
      </c>
      <c r="H91" s="7" t="s">
        <v>513</v>
      </c>
    </row>
    <row r="92" customFormat="false" ht="15" hidden="false" customHeight="false" outlineLevel="0" collapsed="false">
      <c r="A92" s="7" t="s">
        <v>285</v>
      </c>
      <c r="B92" s="13" t="n">
        <v>75</v>
      </c>
      <c r="C92" s="7" t="s">
        <v>504</v>
      </c>
      <c r="D92" s="7" t="s">
        <v>246</v>
      </c>
      <c r="E92" s="7" t="s">
        <v>520</v>
      </c>
      <c r="F92" s="13" t="n">
        <v>4</v>
      </c>
      <c r="G92" s="7" t="s">
        <v>521</v>
      </c>
      <c r="H92" s="7" t="s">
        <v>513</v>
      </c>
    </row>
    <row r="93" customFormat="false" ht="15" hidden="false" customHeight="false" outlineLevel="0" collapsed="false">
      <c r="A93" s="7" t="s">
        <v>285</v>
      </c>
      <c r="B93" s="13" t="n">
        <v>76</v>
      </c>
      <c r="C93" s="7" t="s">
        <v>504</v>
      </c>
      <c r="D93" s="7" t="s">
        <v>246</v>
      </c>
      <c r="E93" s="7" t="s">
        <v>522</v>
      </c>
      <c r="F93" s="13" t="n">
        <v>5</v>
      </c>
      <c r="G93" s="7" t="s">
        <v>523</v>
      </c>
      <c r="H93" s="7" t="s">
        <v>513</v>
      </c>
    </row>
    <row r="94" customFormat="false" ht="15" hidden="false" customHeight="false" outlineLevel="0" collapsed="false">
      <c r="A94" s="7" t="s">
        <v>285</v>
      </c>
      <c r="B94" s="13" t="n">
        <v>77</v>
      </c>
      <c r="C94" s="7" t="s">
        <v>504</v>
      </c>
      <c r="D94" s="7" t="s">
        <v>246</v>
      </c>
      <c r="E94" s="7" t="s">
        <v>524</v>
      </c>
      <c r="F94" s="13" t="n">
        <v>3</v>
      </c>
      <c r="G94" s="7" t="s">
        <v>525</v>
      </c>
      <c r="H94" s="7" t="s">
        <v>513</v>
      </c>
    </row>
    <row r="95" customFormat="false" ht="15" hidden="false" customHeight="false" outlineLevel="0" collapsed="false">
      <c r="A95" s="7" t="s">
        <v>285</v>
      </c>
      <c r="B95" s="13" t="n">
        <v>78</v>
      </c>
      <c r="C95" s="7" t="s">
        <v>504</v>
      </c>
      <c r="D95" s="7" t="s">
        <v>266</v>
      </c>
      <c r="E95" s="7" t="s">
        <v>526</v>
      </c>
      <c r="F95" s="13" t="n">
        <v>4</v>
      </c>
      <c r="G95" s="7" t="s">
        <v>527</v>
      </c>
      <c r="H95" s="7" t="s">
        <v>513</v>
      </c>
    </row>
    <row r="96" customFormat="false" ht="15" hidden="false" customHeight="false" outlineLevel="0" collapsed="false">
      <c r="A96" s="7" t="s">
        <v>285</v>
      </c>
      <c r="B96" s="13" t="n">
        <v>79</v>
      </c>
      <c r="C96" s="7" t="s">
        <v>504</v>
      </c>
      <c r="D96" s="7" t="s">
        <v>266</v>
      </c>
      <c r="E96" s="7" t="s">
        <v>528</v>
      </c>
      <c r="F96" s="13" t="n">
        <v>6</v>
      </c>
      <c r="G96" s="7" t="s">
        <v>529</v>
      </c>
      <c r="H96" s="7" t="s">
        <v>513</v>
      </c>
    </row>
    <row r="97" customFormat="false" ht="15" hidden="false" customHeight="false" outlineLevel="0" collapsed="false">
      <c r="A97" s="7" t="s">
        <v>285</v>
      </c>
      <c r="B97" s="13" t="n">
        <v>80</v>
      </c>
      <c r="C97" s="7" t="s">
        <v>504</v>
      </c>
      <c r="D97" s="7" t="s">
        <v>266</v>
      </c>
      <c r="E97" s="7" t="s">
        <v>530</v>
      </c>
      <c r="F97" s="13" t="n">
        <v>5</v>
      </c>
      <c r="G97" s="7" t="s">
        <v>531</v>
      </c>
      <c r="H97" s="7" t="s">
        <v>513</v>
      </c>
    </row>
    <row r="98" customFormat="false" ht="15" hidden="false" customHeight="false" outlineLevel="0" collapsed="false">
      <c r="A98" s="7" t="s">
        <v>285</v>
      </c>
      <c r="B98" s="13" t="n">
        <v>81</v>
      </c>
      <c r="C98" s="7" t="s">
        <v>504</v>
      </c>
      <c r="D98" s="7" t="s">
        <v>266</v>
      </c>
      <c r="E98" s="7" t="s">
        <v>532</v>
      </c>
      <c r="F98" s="13" t="n">
        <v>5</v>
      </c>
      <c r="G98" s="7" t="s">
        <v>533</v>
      </c>
      <c r="H98" s="7" t="s">
        <v>513</v>
      </c>
    </row>
    <row r="99" customFormat="false" ht="15" hidden="false" customHeight="false" outlineLevel="0" collapsed="false">
      <c r="A99" s="7" t="s">
        <v>285</v>
      </c>
      <c r="B99" s="13" t="n">
        <v>82</v>
      </c>
      <c r="C99" s="7" t="s">
        <v>504</v>
      </c>
      <c r="D99" s="7" t="s">
        <v>266</v>
      </c>
      <c r="E99" s="7" t="s">
        <v>534</v>
      </c>
      <c r="F99" s="13" t="n">
        <v>3</v>
      </c>
      <c r="G99" s="7" t="s">
        <v>535</v>
      </c>
      <c r="H99" s="7" t="s">
        <v>513</v>
      </c>
    </row>
    <row r="100" customFormat="false" ht="15" hidden="false" customHeight="false" outlineLevel="0" collapsed="false">
      <c r="A100" s="7" t="s">
        <v>285</v>
      </c>
      <c r="B100" s="13" t="n">
        <v>83</v>
      </c>
      <c r="C100" s="7" t="s">
        <v>504</v>
      </c>
      <c r="D100" s="7" t="s">
        <v>266</v>
      </c>
      <c r="E100" s="7" t="s">
        <v>536</v>
      </c>
      <c r="F100" s="13" t="n">
        <v>4</v>
      </c>
      <c r="G100" s="7" t="s">
        <v>537</v>
      </c>
      <c r="H100" s="7" t="s">
        <v>513</v>
      </c>
    </row>
    <row r="101" customFormat="false" ht="15" hidden="false" customHeight="false" outlineLevel="0" collapsed="false">
      <c r="A101" s="7" t="s">
        <v>285</v>
      </c>
      <c r="B101" s="13" t="n">
        <v>84</v>
      </c>
      <c r="C101" s="7" t="s">
        <v>504</v>
      </c>
      <c r="D101" s="7" t="s">
        <v>276</v>
      </c>
      <c r="E101" s="7" t="s">
        <v>538</v>
      </c>
      <c r="F101" s="13" t="n">
        <v>5</v>
      </c>
      <c r="G101" s="7" t="s">
        <v>539</v>
      </c>
      <c r="H101" s="7" t="s">
        <v>513</v>
      </c>
    </row>
    <row r="102" customFormat="false" ht="15" hidden="false" customHeight="false" outlineLevel="0" collapsed="false">
      <c r="A102" s="7" t="s">
        <v>285</v>
      </c>
      <c r="B102" s="13" t="n">
        <v>85</v>
      </c>
      <c r="C102" s="7" t="s">
        <v>504</v>
      </c>
      <c r="D102" s="7" t="s">
        <v>276</v>
      </c>
      <c r="E102" s="7" t="s">
        <v>540</v>
      </c>
      <c r="F102" s="13" t="n">
        <v>3</v>
      </c>
      <c r="G102" s="7" t="s">
        <v>541</v>
      </c>
      <c r="H102" s="7" t="s">
        <v>513</v>
      </c>
    </row>
    <row r="103" customFormat="false" ht="15" hidden="false" customHeight="false" outlineLevel="0" collapsed="false">
      <c r="A103" s="7" t="s">
        <v>285</v>
      </c>
      <c r="B103" s="13" t="n">
        <v>86</v>
      </c>
      <c r="C103" s="7" t="s">
        <v>504</v>
      </c>
      <c r="D103" s="7" t="s">
        <v>276</v>
      </c>
      <c r="E103" s="7" t="s">
        <v>542</v>
      </c>
      <c r="F103" s="13" t="n">
        <v>3</v>
      </c>
      <c r="G103" s="7" t="s">
        <v>543</v>
      </c>
      <c r="H103" s="7" t="s">
        <v>513</v>
      </c>
    </row>
    <row r="104" customFormat="false" ht="15" hidden="false" customHeight="false" outlineLevel="0" collapsed="false">
      <c r="A104" s="7" t="s">
        <v>285</v>
      </c>
      <c r="B104" s="13" t="n">
        <v>87</v>
      </c>
      <c r="C104" s="7" t="s">
        <v>504</v>
      </c>
      <c r="D104" s="7" t="s">
        <v>276</v>
      </c>
      <c r="E104" s="7" t="s">
        <v>544</v>
      </c>
      <c r="F104" s="13" t="n">
        <v>6</v>
      </c>
      <c r="G104" s="7" t="s">
        <v>545</v>
      </c>
      <c r="H104" s="7" t="s">
        <v>513</v>
      </c>
    </row>
    <row r="105" customFormat="false" ht="15" hidden="false" customHeight="false" outlineLevel="0" collapsed="false">
      <c r="A105" s="7" t="s">
        <v>285</v>
      </c>
      <c r="B105" s="13" t="n">
        <v>88</v>
      </c>
      <c r="C105" s="7" t="s">
        <v>504</v>
      </c>
      <c r="D105" s="7" t="s">
        <v>276</v>
      </c>
      <c r="E105" s="7" t="s">
        <v>546</v>
      </c>
      <c r="F105" s="13" t="n">
        <v>5</v>
      </c>
      <c r="G105" s="7" t="s">
        <v>547</v>
      </c>
      <c r="H105" s="7" t="s">
        <v>513</v>
      </c>
    </row>
    <row r="106" customFormat="false" ht="15" hidden="false" customHeight="false" outlineLevel="0" collapsed="false">
      <c r="A106" s="7" t="s">
        <v>285</v>
      </c>
      <c r="B106" s="13" t="n">
        <v>89</v>
      </c>
      <c r="C106" s="7" t="s">
        <v>504</v>
      </c>
      <c r="D106" s="7" t="s">
        <v>276</v>
      </c>
      <c r="E106" s="7" t="s">
        <v>548</v>
      </c>
      <c r="F106" s="13" t="n">
        <v>4</v>
      </c>
      <c r="G106" s="7" t="s">
        <v>549</v>
      </c>
      <c r="H106" s="7" t="s">
        <v>513</v>
      </c>
    </row>
    <row r="107" customFormat="false" ht="15" hidden="false" customHeight="false" outlineLevel="0" collapsed="false">
      <c r="A107" s="7" t="s">
        <v>285</v>
      </c>
      <c r="B107" s="13" t="n">
        <v>90</v>
      </c>
      <c r="C107" s="7" t="s">
        <v>504</v>
      </c>
      <c r="D107" s="7" t="s">
        <v>276</v>
      </c>
      <c r="E107" s="7" t="s">
        <v>550</v>
      </c>
      <c r="F107" s="13" t="n">
        <v>5</v>
      </c>
      <c r="G107" s="7" t="s">
        <v>551</v>
      </c>
      <c r="H107" s="7" t="s">
        <v>513</v>
      </c>
    </row>
    <row r="108" customFormat="false" ht="15" hidden="false" customHeight="false" outlineLevel="0" collapsed="false">
      <c r="A108" s="7" t="s">
        <v>285</v>
      </c>
      <c r="B108" s="13" t="n">
        <v>91</v>
      </c>
      <c r="C108" s="7" t="s">
        <v>504</v>
      </c>
      <c r="D108" s="7" t="s">
        <v>240</v>
      </c>
      <c r="E108" s="7" t="s">
        <v>552</v>
      </c>
      <c r="F108" s="13" t="n">
        <v>4</v>
      </c>
      <c r="G108" s="7" t="s">
        <v>553</v>
      </c>
      <c r="H108" s="7" t="s">
        <v>513</v>
      </c>
    </row>
    <row r="109" customFormat="false" ht="15" hidden="false" customHeight="false" outlineLevel="0" collapsed="false">
      <c r="A109" s="7" t="s">
        <v>285</v>
      </c>
      <c r="B109" s="13" t="n">
        <v>92</v>
      </c>
      <c r="C109" s="7" t="s">
        <v>504</v>
      </c>
      <c r="D109" s="7" t="s">
        <v>240</v>
      </c>
      <c r="E109" s="7" t="s">
        <v>554</v>
      </c>
      <c r="F109" s="13" t="n">
        <v>4</v>
      </c>
      <c r="G109" s="7" t="s">
        <v>555</v>
      </c>
      <c r="H109" s="7" t="s">
        <v>513</v>
      </c>
    </row>
    <row r="110" customFormat="false" ht="15" hidden="false" customHeight="false" outlineLevel="0" collapsed="false">
      <c r="A110" s="7" t="s">
        <v>285</v>
      </c>
      <c r="B110" s="13" t="n">
        <v>93</v>
      </c>
      <c r="C110" s="7" t="s">
        <v>504</v>
      </c>
      <c r="D110" s="7" t="s">
        <v>240</v>
      </c>
      <c r="E110" s="7" t="s">
        <v>556</v>
      </c>
      <c r="F110" s="13" t="n">
        <v>3</v>
      </c>
      <c r="G110" s="7" t="s">
        <v>557</v>
      </c>
      <c r="H110" s="7" t="s">
        <v>513</v>
      </c>
    </row>
    <row r="111" customFormat="false" ht="15" hidden="false" customHeight="false" outlineLevel="0" collapsed="false">
      <c r="A111" s="7" t="s">
        <v>285</v>
      </c>
      <c r="B111" s="13" t="n">
        <v>94</v>
      </c>
      <c r="C111" s="7" t="s">
        <v>504</v>
      </c>
      <c r="D111" s="7" t="s">
        <v>240</v>
      </c>
      <c r="E111" s="7" t="s">
        <v>558</v>
      </c>
      <c r="F111" s="13" t="n">
        <v>5</v>
      </c>
      <c r="G111" s="7" t="s">
        <v>559</v>
      </c>
      <c r="H111" s="7" t="s">
        <v>513</v>
      </c>
    </row>
    <row r="112" customFormat="false" ht="15" hidden="false" customHeight="false" outlineLevel="0" collapsed="false">
      <c r="A112" s="7" t="s">
        <v>285</v>
      </c>
      <c r="B112" s="13" t="n">
        <v>95</v>
      </c>
      <c r="C112" s="7" t="s">
        <v>504</v>
      </c>
      <c r="D112" s="7" t="s">
        <v>290</v>
      </c>
      <c r="E112" s="7" t="s">
        <v>560</v>
      </c>
      <c r="F112" s="13" t="n">
        <v>3</v>
      </c>
      <c r="G112" s="7" t="s">
        <v>561</v>
      </c>
      <c r="H112" s="7" t="s">
        <v>513</v>
      </c>
    </row>
    <row r="113" customFormat="false" ht="15" hidden="false" customHeight="false" outlineLevel="0" collapsed="false">
      <c r="A113" s="7" t="s">
        <v>285</v>
      </c>
      <c r="B113" s="13" t="n">
        <v>96</v>
      </c>
      <c r="C113" s="7" t="s">
        <v>504</v>
      </c>
      <c r="D113" s="7" t="s">
        <v>290</v>
      </c>
      <c r="E113" s="7" t="s">
        <v>562</v>
      </c>
      <c r="F113" s="13" t="n">
        <v>3</v>
      </c>
      <c r="G113" s="7" t="s">
        <v>563</v>
      </c>
      <c r="H113" s="7" t="s">
        <v>513</v>
      </c>
    </row>
    <row r="114" customFormat="false" ht="15" hidden="false" customHeight="false" outlineLevel="0" collapsed="false">
      <c r="A114" s="7" t="s">
        <v>285</v>
      </c>
      <c r="B114" s="13" t="n">
        <v>97</v>
      </c>
      <c r="C114" s="7" t="s">
        <v>504</v>
      </c>
      <c r="D114" s="7" t="s">
        <v>290</v>
      </c>
      <c r="E114" s="7" t="s">
        <v>564</v>
      </c>
      <c r="F114" s="13" t="n">
        <v>4</v>
      </c>
      <c r="G114" s="7" t="s">
        <v>565</v>
      </c>
      <c r="H114" s="7" t="s">
        <v>513</v>
      </c>
    </row>
    <row r="115" customFormat="false" ht="15" hidden="false" customHeight="false" outlineLevel="0" collapsed="false">
      <c r="A115" s="7" t="s">
        <v>285</v>
      </c>
      <c r="B115" s="13" t="n">
        <v>98</v>
      </c>
      <c r="C115" s="7" t="s">
        <v>504</v>
      </c>
      <c r="D115" s="7" t="s">
        <v>235</v>
      </c>
      <c r="E115" s="7" t="s">
        <v>566</v>
      </c>
      <c r="F115" s="13" t="n">
        <v>3</v>
      </c>
      <c r="G115" s="7" t="s">
        <v>567</v>
      </c>
      <c r="H115" s="7" t="s">
        <v>513</v>
      </c>
    </row>
    <row r="116" customFormat="false" ht="15" hidden="false" customHeight="false" outlineLevel="0" collapsed="false">
      <c r="A116" s="7" t="s">
        <v>285</v>
      </c>
      <c r="B116" s="13" t="n">
        <v>99</v>
      </c>
      <c r="C116" s="7" t="s">
        <v>504</v>
      </c>
      <c r="D116" s="7" t="s">
        <v>235</v>
      </c>
      <c r="E116" s="7" t="s">
        <v>568</v>
      </c>
      <c r="F116" s="13" t="n">
        <v>3</v>
      </c>
      <c r="G116" s="7" t="s">
        <v>569</v>
      </c>
      <c r="H116" s="7" t="s">
        <v>513</v>
      </c>
    </row>
    <row r="117" customFormat="false" ht="15" hidden="false" customHeight="false" outlineLevel="0" collapsed="false">
      <c r="A117" s="7" t="s">
        <v>285</v>
      </c>
      <c r="B117" s="13" t="n">
        <v>100</v>
      </c>
      <c r="C117" s="7" t="s">
        <v>504</v>
      </c>
      <c r="D117" s="7" t="s">
        <v>235</v>
      </c>
      <c r="E117" s="7" t="s">
        <v>570</v>
      </c>
      <c r="F117" s="13" t="n">
        <v>4</v>
      </c>
      <c r="G117" s="7" t="s">
        <v>571</v>
      </c>
      <c r="H117" s="7" t="s">
        <v>513</v>
      </c>
    </row>
    <row r="118" customFormat="false" ht="15" hidden="false" customHeight="false" outlineLevel="0" collapsed="false">
      <c r="A118" s="7" t="s">
        <v>285</v>
      </c>
      <c r="B118" s="13" t="n">
        <v>101</v>
      </c>
      <c r="C118" s="7" t="s">
        <v>504</v>
      </c>
      <c r="D118" s="7" t="s">
        <v>235</v>
      </c>
      <c r="E118" s="7" t="s">
        <v>572</v>
      </c>
      <c r="F118" s="13" t="n">
        <v>4</v>
      </c>
      <c r="G118" s="7" t="s">
        <v>573</v>
      </c>
      <c r="H118" s="7" t="s">
        <v>513</v>
      </c>
    </row>
    <row r="119" customFormat="false" ht="15" hidden="false" customHeight="false" outlineLevel="0" collapsed="false">
      <c r="A119" s="7" t="s">
        <v>285</v>
      </c>
      <c r="B119" s="13" t="n">
        <v>102</v>
      </c>
      <c r="C119" s="7" t="s">
        <v>504</v>
      </c>
      <c r="D119" s="7" t="s">
        <v>394</v>
      </c>
      <c r="E119" s="7" t="s">
        <v>574</v>
      </c>
      <c r="F119" s="13" t="n">
        <v>3</v>
      </c>
      <c r="G119" s="7" t="s">
        <v>575</v>
      </c>
      <c r="H119" s="7" t="s">
        <v>513</v>
      </c>
    </row>
    <row r="120" customFormat="false" ht="15" hidden="false" customHeight="false" outlineLevel="0" collapsed="false">
      <c r="A120" s="7" t="s">
        <v>285</v>
      </c>
      <c r="B120" s="13" t="n">
        <v>103</v>
      </c>
      <c r="C120" s="7" t="s">
        <v>504</v>
      </c>
      <c r="D120" s="7" t="s">
        <v>394</v>
      </c>
      <c r="E120" s="7" t="s">
        <v>576</v>
      </c>
      <c r="F120" s="13" t="n">
        <v>4</v>
      </c>
      <c r="G120" s="7" t="s">
        <v>577</v>
      </c>
      <c r="H120" s="7" t="s">
        <v>513</v>
      </c>
    </row>
    <row r="121" customFormat="false" ht="15" hidden="false" customHeight="false" outlineLevel="0" collapsed="false">
      <c r="A121" s="7" t="s">
        <v>285</v>
      </c>
      <c r="B121" s="13" t="n">
        <v>104</v>
      </c>
      <c r="C121" s="7" t="s">
        <v>504</v>
      </c>
      <c r="D121" s="7" t="s">
        <v>394</v>
      </c>
      <c r="E121" s="7" t="s">
        <v>578</v>
      </c>
      <c r="F121" s="13" t="n">
        <v>4</v>
      </c>
      <c r="G121" s="7" t="s">
        <v>579</v>
      </c>
      <c r="H121" s="7" t="s">
        <v>513</v>
      </c>
    </row>
    <row r="122" customFormat="false" ht="15" hidden="false" customHeight="false" outlineLevel="0" collapsed="false">
      <c r="A122" s="7" t="s">
        <v>285</v>
      </c>
      <c r="B122" s="13" t="n">
        <v>105</v>
      </c>
      <c r="C122" s="7" t="s">
        <v>504</v>
      </c>
      <c r="D122" s="7" t="s">
        <v>394</v>
      </c>
      <c r="E122" s="7" t="s">
        <v>580</v>
      </c>
      <c r="F122" s="13" t="n">
        <v>3</v>
      </c>
      <c r="G122" s="7" t="s">
        <v>581</v>
      </c>
      <c r="H122" s="7" t="s">
        <v>513</v>
      </c>
    </row>
    <row r="123" customFormat="false" ht="15" hidden="false" customHeight="false" outlineLevel="0" collapsed="false">
      <c r="A123" s="7" t="s">
        <v>285</v>
      </c>
      <c r="B123" s="13" t="n">
        <v>106</v>
      </c>
      <c r="C123" s="7" t="s">
        <v>504</v>
      </c>
      <c r="D123" s="7" t="s">
        <v>394</v>
      </c>
      <c r="E123" s="7" t="s">
        <v>582</v>
      </c>
      <c r="F123" s="13" t="n">
        <v>4</v>
      </c>
      <c r="G123" s="7" t="s">
        <v>583</v>
      </c>
      <c r="H123" s="7" t="s">
        <v>513</v>
      </c>
    </row>
    <row r="124" customFormat="false" ht="15" hidden="false" customHeight="false" outlineLevel="0" collapsed="false">
      <c r="A124" s="7" t="s">
        <v>285</v>
      </c>
      <c r="B124" s="13" t="n">
        <v>107</v>
      </c>
      <c r="C124" s="7" t="s">
        <v>504</v>
      </c>
      <c r="D124" s="7" t="s">
        <v>260</v>
      </c>
      <c r="E124" s="7" t="s">
        <v>584</v>
      </c>
      <c r="F124" s="13" t="n">
        <v>5</v>
      </c>
      <c r="G124" s="7" t="s">
        <v>585</v>
      </c>
      <c r="H124" s="7" t="s">
        <v>513</v>
      </c>
    </row>
    <row r="125" customFormat="false" ht="15" hidden="false" customHeight="false" outlineLevel="0" collapsed="false">
      <c r="A125" s="7" t="s">
        <v>285</v>
      </c>
      <c r="B125" s="13" t="n">
        <v>108</v>
      </c>
      <c r="C125" s="7" t="s">
        <v>504</v>
      </c>
      <c r="D125" s="7" t="s">
        <v>260</v>
      </c>
      <c r="E125" s="7" t="s">
        <v>586</v>
      </c>
      <c r="F125" s="13" t="n">
        <v>4</v>
      </c>
      <c r="G125" s="7" t="s">
        <v>587</v>
      </c>
      <c r="H125" s="7" t="s">
        <v>513</v>
      </c>
    </row>
    <row r="126" customFormat="false" ht="15" hidden="false" customHeight="false" outlineLevel="0" collapsed="false">
      <c r="A126" s="7" t="s">
        <v>285</v>
      </c>
      <c r="B126" s="13" t="n">
        <v>109</v>
      </c>
      <c r="C126" s="7" t="s">
        <v>504</v>
      </c>
      <c r="D126" s="7" t="s">
        <v>260</v>
      </c>
      <c r="E126" s="7" t="s">
        <v>588</v>
      </c>
      <c r="F126" s="13" t="n">
        <v>3</v>
      </c>
      <c r="G126" s="7" t="s">
        <v>589</v>
      </c>
      <c r="H126" s="7" t="s">
        <v>513</v>
      </c>
    </row>
    <row r="127" customFormat="false" ht="15" hidden="false" customHeight="false" outlineLevel="0" collapsed="false">
      <c r="A127" s="7" t="s">
        <v>285</v>
      </c>
      <c r="B127" s="13" t="n">
        <v>110</v>
      </c>
      <c r="C127" s="7" t="s">
        <v>504</v>
      </c>
      <c r="D127" s="7" t="s">
        <v>260</v>
      </c>
      <c r="E127" s="7" t="s">
        <v>590</v>
      </c>
      <c r="F127" s="13" t="n">
        <v>3</v>
      </c>
      <c r="G127" s="7" t="s">
        <v>591</v>
      </c>
      <c r="H127" s="7" t="s">
        <v>513</v>
      </c>
    </row>
    <row r="128" customFormat="false" ht="15" hidden="false" customHeight="false" outlineLevel="0" collapsed="false">
      <c r="A128" s="7" t="s">
        <v>285</v>
      </c>
      <c r="B128" s="13" t="n">
        <v>111</v>
      </c>
      <c r="C128" s="7" t="s">
        <v>504</v>
      </c>
      <c r="D128" s="7" t="s">
        <v>260</v>
      </c>
      <c r="E128" s="7" t="s">
        <v>592</v>
      </c>
      <c r="F128" s="13" t="n">
        <v>3</v>
      </c>
      <c r="G128" s="7" t="s">
        <v>593</v>
      </c>
      <c r="H128" s="7" t="s">
        <v>513</v>
      </c>
    </row>
    <row r="129" customFormat="false" ht="15" hidden="false" customHeight="false" outlineLevel="0" collapsed="false">
      <c r="A129" s="7" t="s">
        <v>285</v>
      </c>
      <c r="B129" s="13" t="n">
        <v>112</v>
      </c>
      <c r="C129" s="7" t="s">
        <v>504</v>
      </c>
      <c r="D129" s="7" t="s">
        <v>260</v>
      </c>
      <c r="E129" s="7" t="s">
        <v>594</v>
      </c>
      <c r="F129" s="13" t="n">
        <v>3</v>
      </c>
      <c r="G129" s="7" t="s">
        <v>595</v>
      </c>
      <c r="H129" s="7" t="s">
        <v>513</v>
      </c>
    </row>
    <row r="130" customFormat="false" ht="15" hidden="false" customHeight="false" outlineLevel="0" collapsed="false">
      <c r="A130" s="7" t="s">
        <v>285</v>
      </c>
      <c r="B130" s="13" t="n">
        <v>113</v>
      </c>
      <c r="C130" s="7" t="s">
        <v>504</v>
      </c>
      <c r="D130" s="7" t="s">
        <v>260</v>
      </c>
      <c r="E130" s="7" t="s">
        <v>596</v>
      </c>
      <c r="F130" s="13" t="n">
        <v>6</v>
      </c>
      <c r="G130" s="7" t="s">
        <v>597</v>
      </c>
      <c r="H130" s="7" t="s">
        <v>513</v>
      </c>
    </row>
    <row r="131" customFormat="false" ht="15" hidden="false" customHeight="false" outlineLevel="0" collapsed="false">
      <c r="A131" s="7" t="s">
        <v>285</v>
      </c>
      <c r="B131" s="13" t="n">
        <v>114</v>
      </c>
      <c r="C131" s="7" t="s">
        <v>504</v>
      </c>
      <c r="D131" s="7" t="s">
        <v>260</v>
      </c>
      <c r="E131" s="7" t="s">
        <v>598</v>
      </c>
      <c r="F131" s="13" t="n">
        <v>3</v>
      </c>
      <c r="G131" s="7" t="s">
        <v>599</v>
      </c>
      <c r="H131" s="7" t="s">
        <v>513</v>
      </c>
    </row>
    <row r="132" customFormat="false" ht="15" hidden="false" customHeight="false" outlineLevel="0" collapsed="false">
      <c r="A132" s="7" t="s">
        <v>285</v>
      </c>
      <c r="B132" s="13" t="n">
        <v>115</v>
      </c>
      <c r="C132" s="7" t="s">
        <v>504</v>
      </c>
      <c r="D132" s="7" t="s">
        <v>271</v>
      </c>
      <c r="E132" s="7" t="s">
        <v>600</v>
      </c>
      <c r="F132" s="13" t="n">
        <v>4</v>
      </c>
      <c r="G132" s="7" t="s">
        <v>601</v>
      </c>
      <c r="H132" s="7" t="s">
        <v>513</v>
      </c>
    </row>
    <row r="133" customFormat="false" ht="15" hidden="false" customHeight="false" outlineLevel="0" collapsed="false">
      <c r="A133" s="7" t="s">
        <v>285</v>
      </c>
      <c r="B133" s="13" t="n">
        <v>116</v>
      </c>
      <c r="C133" s="7" t="s">
        <v>504</v>
      </c>
      <c r="D133" s="7" t="s">
        <v>271</v>
      </c>
      <c r="E133" s="7" t="s">
        <v>602</v>
      </c>
      <c r="F133" s="13" t="n">
        <v>6</v>
      </c>
      <c r="G133" s="7" t="s">
        <v>603</v>
      </c>
      <c r="H133" s="7" t="s">
        <v>513</v>
      </c>
    </row>
    <row r="134" customFormat="false" ht="15" hidden="false" customHeight="false" outlineLevel="0" collapsed="false">
      <c r="A134" s="7" t="s">
        <v>285</v>
      </c>
      <c r="B134" s="13" t="n">
        <v>117</v>
      </c>
      <c r="C134" s="7" t="s">
        <v>504</v>
      </c>
      <c r="D134" s="7" t="s">
        <v>271</v>
      </c>
      <c r="E134" s="7" t="s">
        <v>604</v>
      </c>
      <c r="F134" s="13" t="n">
        <v>4</v>
      </c>
      <c r="G134" s="7" t="s">
        <v>605</v>
      </c>
      <c r="H134" s="7" t="s">
        <v>513</v>
      </c>
    </row>
    <row r="135" customFormat="false" ht="15" hidden="false" customHeight="false" outlineLevel="0" collapsed="false">
      <c r="A135" s="7" t="s">
        <v>285</v>
      </c>
      <c r="B135" s="13" t="n">
        <v>118</v>
      </c>
      <c r="C135" s="7" t="s">
        <v>504</v>
      </c>
      <c r="D135" s="7" t="s">
        <v>271</v>
      </c>
      <c r="E135" s="7" t="s">
        <v>606</v>
      </c>
      <c r="F135" s="13" t="n">
        <v>3</v>
      </c>
      <c r="G135" s="7" t="s">
        <v>607</v>
      </c>
      <c r="H135" s="7" t="s">
        <v>513</v>
      </c>
    </row>
    <row r="136" customFormat="false" ht="15" hidden="false" customHeight="false" outlineLevel="0" collapsed="false">
      <c r="A136" s="7" t="s">
        <v>285</v>
      </c>
      <c r="B136" s="13" t="n">
        <v>119</v>
      </c>
      <c r="C136" s="7" t="s">
        <v>504</v>
      </c>
      <c r="D136" s="7" t="s">
        <v>271</v>
      </c>
      <c r="E136" s="7" t="s">
        <v>608</v>
      </c>
      <c r="F136" s="13" t="n">
        <v>6</v>
      </c>
      <c r="G136" s="7" t="s">
        <v>609</v>
      </c>
      <c r="H136" s="7" t="s">
        <v>513</v>
      </c>
    </row>
    <row r="137" customFormat="false" ht="15" hidden="false" customHeight="false" outlineLevel="0" collapsed="false">
      <c r="A137" s="7" t="s">
        <v>285</v>
      </c>
      <c r="B137" s="13" t="n">
        <v>120</v>
      </c>
      <c r="C137" s="7" t="s">
        <v>504</v>
      </c>
      <c r="D137" s="7" t="s">
        <v>271</v>
      </c>
      <c r="E137" s="7" t="s">
        <v>610</v>
      </c>
      <c r="F137" s="13" t="n">
        <v>3</v>
      </c>
      <c r="G137" s="7" t="s">
        <v>611</v>
      </c>
      <c r="H137" s="7" t="s">
        <v>513</v>
      </c>
    </row>
    <row r="138" customFormat="false" ht="23.85" hidden="false" customHeight="false" outlineLevel="0" collapsed="false">
      <c r="A138" s="7" t="s">
        <v>285</v>
      </c>
      <c r="B138" s="13" t="n">
        <v>121</v>
      </c>
      <c r="C138" s="7" t="s">
        <v>505</v>
      </c>
      <c r="D138" s="7" t="s">
        <v>246</v>
      </c>
      <c r="E138" s="7" t="s">
        <v>612</v>
      </c>
      <c r="F138" s="13" t="n">
        <v>8</v>
      </c>
      <c r="G138" s="7" t="s">
        <v>613</v>
      </c>
      <c r="H138" s="7" t="s">
        <v>614</v>
      </c>
    </row>
    <row r="139" customFormat="false" ht="23.85" hidden="false" customHeight="false" outlineLevel="0" collapsed="false">
      <c r="A139" s="7" t="s">
        <v>285</v>
      </c>
      <c r="B139" s="13" t="n">
        <v>122</v>
      </c>
      <c r="C139" s="7" t="s">
        <v>505</v>
      </c>
      <c r="D139" s="7" t="s">
        <v>246</v>
      </c>
      <c r="E139" s="7" t="s">
        <v>615</v>
      </c>
      <c r="F139" s="13" t="n">
        <v>6</v>
      </c>
      <c r="G139" s="7" t="s">
        <v>616</v>
      </c>
      <c r="H139" s="7" t="s">
        <v>617</v>
      </c>
    </row>
    <row r="140" customFormat="false" ht="23.85" hidden="false" customHeight="false" outlineLevel="0" collapsed="false">
      <c r="A140" s="7" t="s">
        <v>285</v>
      </c>
      <c r="B140" s="13" t="n">
        <v>123</v>
      </c>
      <c r="C140" s="7" t="s">
        <v>505</v>
      </c>
      <c r="D140" s="7" t="s">
        <v>246</v>
      </c>
      <c r="E140" s="7" t="s">
        <v>618</v>
      </c>
      <c r="F140" s="13" t="n">
        <v>3</v>
      </c>
      <c r="G140" s="7" t="s">
        <v>619</v>
      </c>
      <c r="H140" s="7" t="s">
        <v>620</v>
      </c>
    </row>
    <row r="141" customFormat="false" ht="23.85" hidden="false" customHeight="false" outlineLevel="0" collapsed="false">
      <c r="A141" s="7" t="s">
        <v>285</v>
      </c>
      <c r="B141" s="13" t="n">
        <v>124</v>
      </c>
      <c r="C141" s="7" t="s">
        <v>505</v>
      </c>
      <c r="D141" s="7" t="s">
        <v>246</v>
      </c>
      <c r="E141" s="7" t="s">
        <v>621</v>
      </c>
      <c r="F141" s="13" t="n">
        <v>6</v>
      </c>
      <c r="G141" s="7" t="s">
        <v>622</v>
      </c>
      <c r="H141" s="7" t="s">
        <v>623</v>
      </c>
    </row>
    <row r="142" customFormat="false" ht="23.85" hidden="false" customHeight="false" outlineLevel="0" collapsed="false">
      <c r="A142" s="7" t="s">
        <v>285</v>
      </c>
      <c r="B142" s="13" t="n">
        <v>125</v>
      </c>
      <c r="C142" s="7" t="s">
        <v>505</v>
      </c>
      <c r="D142" s="7" t="s">
        <v>246</v>
      </c>
      <c r="E142" s="7" t="s">
        <v>624</v>
      </c>
      <c r="F142" s="13" t="n">
        <v>5</v>
      </c>
      <c r="G142" s="7" t="s">
        <v>625</v>
      </c>
      <c r="H142" s="7" t="s">
        <v>626</v>
      </c>
    </row>
    <row r="143" customFormat="false" ht="23.85" hidden="false" customHeight="false" outlineLevel="0" collapsed="false">
      <c r="A143" s="7" t="s">
        <v>285</v>
      </c>
      <c r="B143" s="13" t="n">
        <v>126</v>
      </c>
      <c r="C143" s="7" t="s">
        <v>505</v>
      </c>
      <c r="D143" s="7" t="s">
        <v>246</v>
      </c>
      <c r="E143" s="7" t="s">
        <v>627</v>
      </c>
      <c r="F143" s="13" t="n">
        <v>6</v>
      </c>
      <c r="G143" s="7" t="s">
        <v>628</v>
      </c>
      <c r="H143" s="7" t="s">
        <v>629</v>
      </c>
    </row>
    <row r="144" customFormat="false" ht="23.85" hidden="false" customHeight="false" outlineLevel="0" collapsed="false">
      <c r="A144" s="7" t="s">
        <v>285</v>
      </c>
      <c r="B144" s="13" t="n">
        <v>127</v>
      </c>
      <c r="C144" s="7" t="s">
        <v>505</v>
      </c>
      <c r="D144" s="7" t="s">
        <v>246</v>
      </c>
      <c r="E144" s="7" t="s">
        <v>630</v>
      </c>
      <c r="F144" s="13" t="n">
        <v>6</v>
      </c>
      <c r="G144" s="7" t="s">
        <v>631</v>
      </c>
      <c r="H144" s="7" t="s">
        <v>632</v>
      </c>
    </row>
    <row r="145" customFormat="false" ht="23.85" hidden="false" customHeight="false" outlineLevel="0" collapsed="false">
      <c r="A145" s="7" t="s">
        <v>285</v>
      </c>
      <c r="B145" s="13" t="n">
        <v>128</v>
      </c>
      <c r="C145" s="7" t="s">
        <v>505</v>
      </c>
      <c r="D145" s="7" t="s">
        <v>246</v>
      </c>
      <c r="E145" s="7" t="s">
        <v>633</v>
      </c>
      <c r="F145" s="13" t="n">
        <v>4</v>
      </c>
      <c r="G145" s="7" t="s">
        <v>634</v>
      </c>
      <c r="H145" s="7" t="s">
        <v>635</v>
      </c>
    </row>
    <row r="146" customFormat="false" ht="23.85" hidden="false" customHeight="false" outlineLevel="0" collapsed="false">
      <c r="A146" s="7" t="s">
        <v>285</v>
      </c>
      <c r="B146" s="13" t="n">
        <v>129</v>
      </c>
      <c r="C146" s="7" t="s">
        <v>505</v>
      </c>
      <c r="D146" s="7" t="s">
        <v>246</v>
      </c>
      <c r="E146" s="7" t="s">
        <v>636</v>
      </c>
      <c r="F146" s="13" t="n">
        <v>6</v>
      </c>
      <c r="G146" s="7" t="s">
        <v>637</v>
      </c>
      <c r="H146" s="7" t="s">
        <v>638</v>
      </c>
    </row>
    <row r="147" customFormat="false" ht="15" hidden="false" customHeight="false" outlineLevel="0" collapsed="false">
      <c r="A147" s="7" t="s">
        <v>285</v>
      </c>
      <c r="B147" s="13" t="n">
        <v>130</v>
      </c>
      <c r="C147" s="7" t="s">
        <v>505</v>
      </c>
      <c r="D147" s="7" t="s">
        <v>246</v>
      </c>
      <c r="E147" s="7" t="s">
        <v>639</v>
      </c>
      <c r="F147" s="13" t="n">
        <v>4</v>
      </c>
      <c r="G147" s="7" t="s">
        <v>640</v>
      </c>
      <c r="H147" s="7" t="s">
        <v>641</v>
      </c>
    </row>
    <row r="148" customFormat="false" ht="23.85" hidden="false" customHeight="false" outlineLevel="0" collapsed="false">
      <c r="A148" s="7" t="s">
        <v>285</v>
      </c>
      <c r="B148" s="13" t="n">
        <v>131</v>
      </c>
      <c r="C148" s="7" t="s">
        <v>505</v>
      </c>
      <c r="D148" s="7" t="s">
        <v>246</v>
      </c>
      <c r="E148" s="7" t="s">
        <v>642</v>
      </c>
      <c r="F148" s="13" t="n">
        <v>6</v>
      </c>
      <c r="G148" s="7" t="s">
        <v>643</v>
      </c>
      <c r="H148" s="7" t="s">
        <v>644</v>
      </c>
    </row>
    <row r="149" customFormat="false" ht="15" hidden="false" customHeight="false" outlineLevel="0" collapsed="false">
      <c r="A149" s="7" t="s">
        <v>285</v>
      </c>
      <c r="B149" s="13" t="n">
        <v>132</v>
      </c>
      <c r="C149" s="7" t="s">
        <v>505</v>
      </c>
      <c r="D149" s="7" t="s">
        <v>246</v>
      </c>
      <c r="E149" s="7" t="s">
        <v>645</v>
      </c>
      <c r="F149" s="13" t="n">
        <v>4</v>
      </c>
      <c r="G149" s="7" t="s">
        <v>646</v>
      </c>
      <c r="H149" s="7" t="s">
        <v>647</v>
      </c>
    </row>
    <row r="150" customFormat="false" ht="23.85" hidden="false" customHeight="false" outlineLevel="0" collapsed="false">
      <c r="A150" s="7" t="s">
        <v>285</v>
      </c>
      <c r="B150" s="13" t="n">
        <v>133</v>
      </c>
      <c r="C150" s="7" t="s">
        <v>505</v>
      </c>
      <c r="D150" s="7" t="s">
        <v>246</v>
      </c>
      <c r="E150" s="7" t="s">
        <v>648</v>
      </c>
      <c r="F150" s="13" t="n">
        <v>4</v>
      </c>
      <c r="G150" s="7" t="s">
        <v>649</v>
      </c>
      <c r="H150" s="7" t="s">
        <v>650</v>
      </c>
    </row>
    <row r="151" customFormat="false" ht="23.85" hidden="false" customHeight="false" outlineLevel="0" collapsed="false">
      <c r="A151" s="7" t="s">
        <v>285</v>
      </c>
      <c r="B151" s="13" t="n">
        <v>134</v>
      </c>
      <c r="C151" s="7" t="s">
        <v>505</v>
      </c>
      <c r="D151" s="7" t="s">
        <v>266</v>
      </c>
      <c r="E151" s="7" t="s">
        <v>651</v>
      </c>
      <c r="F151" s="13" t="n">
        <v>6</v>
      </c>
      <c r="G151" s="7" t="s">
        <v>652</v>
      </c>
      <c r="H151" s="7" t="s">
        <v>653</v>
      </c>
    </row>
    <row r="152" customFormat="false" ht="23.85" hidden="false" customHeight="false" outlineLevel="0" collapsed="false">
      <c r="A152" s="7" t="s">
        <v>285</v>
      </c>
      <c r="B152" s="13" t="n">
        <v>135</v>
      </c>
      <c r="C152" s="7" t="s">
        <v>505</v>
      </c>
      <c r="D152" s="7" t="s">
        <v>266</v>
      </c>
      <c r="E152" s="7" t="s">
        <v>654</v>
      </c>
      <c r="F152" s="13" t="n">
        <v>4</v>
      </c>
      <c r="G152" s="7" t="s">
        <v>655</v>
      </c>
      <c r="H152" s="7" t="s">
        <v>656</v>
      </c>
    </row>
    <row r="153" customFormat="false" ht="23.85" hidden="false" customHeight="false" outlineLevel="0" collapsed="false">
      <c r="A153" s="7" t="s">
        <v>285</v>
      </c>
      <c r="B153" s="13" t="n">
        <v>136</v>
      </c>
      <c r="C153" s="7" t="s">
        <v>505</v>
      </c>
      <c r="D153" s="7" t="s">
        <v>266</v>
      </c>
      <c r="E153" s="7" t="s">
        <v>657</v>
      </c>
      <c r="F153" s="13" t="n">
        <v>5</v>
      </c>
      <c r="G153" s="7" t="s">
        <v>658</v>
      </c>
      <c r="H153" s="7" t="s">
        <v>659</v>
      </c>
    </row>
    <row r="154" customFormat="false" ht="15" hidden="false" customHeight="false" outlineLevel="0" collapsed="false">
      <c r="A154" s="7" t="s">
        <v>285</v>
      </c>
      <c r="B154" s="13" t="n">
        <v>137</v>
      </c>
      <c r="C154" s="7" t="s">
        <v>505</v>
      </c>
      <c r="D154" s="7" t="s">
        <v>266</v>
      </c>
      <c r="E154" s="7" t="s">
        <v>660</v>
      </c>
      <c r="F154" s="13" t="n">
        <v>5</v>
      </c>
      <c r="G154" s="7" t="s">
        <v>661</v>
      </c>
      <c r="H154" s="7" t="s">
        <v>662</v>
      </c>
    </row>
    <row r="155" customFormat="false" ht="15" hidden="false" customHeight="false" outlineLevel="0" collapsed="false">
      <c r="A155" s="7" t="s">
        <v>285</v>
      </c>
      <c r="B155" s="13" t="n">
        <v>138</v>
      </c>
      <c r="C155" s="7" t="s">
        <v>505</v>
      </c>
      <c r="D155" s="7" t="s">
        <v>266</v>
      </c>
      <c r="E155" s="7" t="s">
        <v>663</v>
      </c>
      <c r="F155" s="13" t="n">
        <v>5</v>
      </c>
      <c r="G155" s="7" t="s">
        <v>664</v>
      </c>
      <c r="H155" s="7" t="s">
        <v>665</v>
      </c>
    </row>
    <row r="156" customFormat="false" ht="23.85" hidden="false" customHeight="false" outlineLevel="0" collapsed="false">
      <c r="A156" s="7" t="s">
        <v>285</v>
      </c>
      <c r="B156" s="13" t="n">
        <v>139</v>
      </c>
      <c r="C156" s="7" t="s">
        <v>505</v>
      </c>
      <c r="D156" s="7" t="s">
        <v>266</v>
      </c>
      <c r="E156" s="7" t="s">
        <v>666</v>
      </c>
      <c r="F156" s="13" t="n">
        <v>4</v>
      </c>
      <c r="G156" s="7" t="s">
        <v>667</v>
      </c>
      <c r="H156" s="7" t="s">
        <v>668</v>
      </c>
    </row>
    <row r="157" customFormat="false" ht="15" hidden="false" customHeight="false" outlineLevel="0" collapsed="false">
      <c r="A157" s="7" t="s">
        <v>285</v>
      </c>
      <c r="B157" s="13" t="n">
        <v>140</v>
      </c>
      <c r="C157" s="7" t="s">
        <v>505</v>
      </c>
      <c r="D157" s="7" t="s">
        <v>266</v>
      </c>
      <c r="E157" s="7" t="s">
        <v>669</v>
      </c>
      <c r="F157" s="13" t="n">
        <v>6</v>
      </c>
      <c r="G157" s="7" t="s">
        <v>670</v>
      </c>
      <c r="H157" s="7" t="s">
        <v>671</v>
      </c>
    </row>
    <row r="158" customFormat="false" ht="15" hidden="false" customHeight="false" outlineLevel="0" collapsed="false">
      <c r="A158" s="7" t="s">
        <v>285</v>
      </c>
      <c r="B158" s="13" t="n">
        <v>141</v>
      </c>
      <c r="C158" s="7" t="s">
        <v>505</v>
      </c>
      <c r="D158" s="7" t="s">
        <v>266</v>
      </c>
      <c r="E158" s="7" t="s">
        <v>672</v>
      </c>
      <c r="F158" s="13" t="n">
        <v>3</v>
      </c>
      <c r="G158" s="7" t="s">
        <v>673</v>
      </c>
      <c r="H158" s="7" t="s">
        <v>674</v>
      </c>
    </row>
    <row r="159" customFormat="false" ht="23.85" hidden="false" customHeight="false" outlineLevel="0" collapsed="false">
      <c r="A159" s="7" t="s">
        <v>285</v>
      </c>
      <c r="B159" s="13" t="n">
        <v>142</v>
      </c>
      <c r="C159" s="7" t="s">
        <v>505</v>
      </c>
      <c r="D159" s="7" t="s">
        <v>266</v>
      </c>
      <c r="E159" s="7" t="s">
        <v>675</v>
      </c>
      <c r="F159" s="13" t="n">
        <v>4</v>
      </c>
      <c r="G159" s="7" t="s">
        <v>676</v>
      </c>
      <c r="H159" s="7" t="s">
        <v>677</v>
      </c>
    </row>
    <row r="160" customFormat="false" ht="15" hidden="false" customHeight="false" outlineLevel="0" collapsed="false">
      <c r="A160" s="7" t="s">
        <v>285</v>
      </c>
      <c r="B160" s="13" t="n">
        <v>143</v>
      </c>
      <c r="C160" s="7" t="s">
        <v>505</v>
      </c>
      <c r="D160" s="7" t="s">
        <v>266</v>
      </c>
      <c r="E160" s="7" t="s">
        <v>678</v>
      </c>
      <c r="F160" s="13" t="n">
        <v>3</v>
      </c>
      <c r="G160" s="7" t="s">
        <v>679</v>
      </c>
      <c r="H160" s="7" t="s">
        <v>680</v>
      </c>
    </row>
    <row r="161" customFormat="false" ht="15" hidden="false" customHeight="false" outlineLevel="0" collapsed="false">
      <c r="A161" s="7" t="s">
        <v>285</v>
      </c>
      <c r="B161" s="13" t="n">
        <v>144</v>
      </c>
      <c r="C161" s="7" t="s">
        <v>505</v>
      </c>
      <c r="D161" s="7" t="s">
        <v>266</v>
      </c>
      <c r="E161" s="7" t="s">
        <v>681</v>
      </c>
      <c r="F161" s="13" t="n">
        <v>6</v>
      </c>
      <c r="G161" s="7" t="s">
        <v>682</v>
      </c>
      <c r="H161" s="7" t="s">
        <v>683</v>
      </c>
    </row>
    <row r="162" customFormat="false" ht="15" hidden="false" customHeight="false" outlineLevel="0" collapsed="false">
      <c r="A162" s="7" t="s">
        <v>285</v>
      </c>
      <c r="B162" s="13" t="n">
        <v>145</v>
      </c>
      <c r="C162" s="7" t="s">
        <v>505</v>
      </c>
      <c r="D162" s="7" t="s">
        <v>266</v>
      </c>
      <c r="E162" s="7" t="s">
        <v>684</v>
      </c>
      <c r="F162" s="13" t="n">
        <v>5</v>
      </c>
      <c r="G162" s="7" t="s">
        <v>685</v>
      </c>
      <c r="H162" s="7" t="s">
        <v>686</v>
      </c>
    </row>
    <row r="163" customFormat="false" ht="15" hidden="false" customHeight="false" outlineLevel="0" collapsed="false">
      <c r="A163" s="7" t="s">
        <v>285</v>
      </c>
      <c r="B163" s="13" t="n">
        <v>146</v>
      </c>
      <c r="C163" s="7" t="s">
        <v>505</v>
      </c>
      <c r="D163" s="7" t="s">
        <v>266</v>
      </c>
      <c r="E163" s="7" t="s">
        <v>687</v>
      </c>
      <c r="F163" s="13" t="n">
        <v>5</v>
      </c>
      <c r="G163" s="7" t="s">
        <v>688</v>
      </c>
      <c r="H163" s="7" t="s">
        <v>689</v>
      </c>
    </row>
    <row r="164" customFormat="false" ht="23.85" hidden="false" customHeight="false" outlineLevel="0" collapsed="false">
      <c r="A164" s="7" t="s">
        <v>285</v>
      </c>
      <c r="B164" s="13" t="n">
        <v>147</v>
      </c>
      <c r="C164" s="7" t="s">
        <v>505</v>
      </c>
      <c r="D164" s="7" t="s">
        <v>266</v>
      </c>
      <c r="E164" s="7" t="s">
        <v>690</v>
      </c>
      <c r="F164" s="13" t="n">
        <v>4</v>
      </c>
      <c r="G164" s="7" t="s">
        <v>691</v>
      </c>
      <c r="H164" s="7" t="s">
        <v>692</v>
      </c>
    </row>
    <row r="165" customFormat="false" ht="23.85" hidden="false" customHeight="false" outlineLevel="0" collapsed="false">
      <c r="A165" s="7" t="s">
        <v>285</v>
      </c>
      <c r="B165" s="13" t="n">
        <v>148</v>
      </c>
      <c r="C165" s="7" t="s">
        <v>505</v>
      </c>
      <c r="D165" s="7" t="s">
        <v>276</v>
      </c>
      <c r="E165" s="7" t="s">
        <v>693</v>
      </c>
      <c r="F165" s="13" t="n">
        <v>6</v>
      </c>
      <c r="G165" s="7" t="s">
        <v>694</v>
      </c>
      <c r="H165" s="7" t="s">
        <v>695</v>
      </c>
    </row>
    <row r="166" customFormat="false" ht="23.85" hidden="false" customHeight="false" outlineLevel="0" collapsed="false">
      <c r="A166" s="7" t="s">
        <v>285</v>
      </c>
      <c r="B166" s="13" t="n">
        <v>149</v>
      </c>
      <c r="C166" s="7" t="s">
        <v>505</v>
      </c>
      <c r="D166" s="7" t="s">
        <v>276</v>
      </c>
      <c r="E166" s="7" t="s">
        <v>696</v>
      </c>
      <c r="F166" s="13" t="n">
        <v>6</v>
      </c>
      <c r="G166" s="7" t="s">
        <v>697</v>
      </c>
      <c r="H166" s="7" t="s">
        <v>698</v>
      </c>
    </row>
    <row r="167" customFormat="false" ht="15" hidden="false" customHeight="false" outlineLevel="0" collapsed="false">
      <c r="A167" s="7" t="s">
        <v>285</v>
      </c>
      <c r="B167" s="13" t="n">
        <v>150</v>
      </c>
      <c r="C167" s="7" t="s">
        <v>505</v>
      </c>
      <c r="D167" s="7" t="s">
        <v>276</v>
      </c>
      <c r="E167" s="7" t="s">
        <v>699</v>
      </c>
      <c r="F167" s="13" t="n">
        <v>8</v>
      </c>
      <c r="G167" s="7" t="s">
        <v>700</v>
      </c>
      <c r="H167" s="7" t="s">
        <v>701</v>
      </c>
    </row>
    <row r="168" customFormat="false" ht="23.85" hidden="false" customHeight="false" outlineLevel="0" collapsed="false">
      <c r="A168" s="7" t="s">
        <v>285</v>
      </c>
      <c r="B168" s="13" t="n">
        <v>151</v>
      </c>
      <c r="C168" s="7" t="s">
        <v>505</v>
      </c>
      <c r="D168" s="7" t="s">
        <v>276</v>
      </c>
      <c r="E168" s="7" t="s">
        <v>702</v>
      </c>
      <c r="F168" s="13" t="n">
        <v>4</v>
      </c>
      <c r="G168" s="7" t="s">
        <v>703</v>
      </c>
      <c r="H168" s="7" t="s">
        <v>704</v>
      </c>
    </row>
    <row r="169" customFormat="false" ht="23.85" hidden="false" customHeight="false" outlineLevel="0" collapsed="false">
      <c r="A169" s="7" t="s">
        <v>285</v>
      </c>
      <c r="B169" s="13" t="n">
        <v>152</v>
      </c>
      <c r="C169" s="7" t="s">
        <v>505</v>
      </c>
      <c r="D169" s="7" t="s">
        <v>276</v>
      </c>
      <c r="E169" s="7" t="s">
        <v>705</v>
      </c>
      <c r="F169" s="13" t="n">
        <v>6</v>
      </c>
      <c r="G169" s="7" t="s">
        <v>706</v>
      </c>
      <c r="H169" s="7" t="s">
        <v>707</v>
      </c>
    </row>
    <row r="170" customFormat="false" ht="15" hidden="false" customHeight="false" outlineLevel="0" collapsed="false">
      <c r="A170" s="7" t="s">
        <v>285</v>
      </c>
      <c r="B170" s="13" t="n">
        <v>153</v>
      </c>
      <c r="C170" s="7" t="s">
        <v>505</v>
      </c>
      <c r="D170" s="7" t="s">
        <v>276</v>
      </c>
      <c r="E170" s="7" t="s">
        <v>708</v>
      </c>
      <c r="F170" s="13" t="n">
        <v>5</v>
      </c>
      <c r="G170" s="7" t="s">
        <v>709</v>
      </c>
      <c r="H170" s="7" t="s">
        <v>710</v>
      </c>
    </row>
    <row r="171" customFormat="false" ht="15" hidden="false" customHeight="false" outlineLevel="0" collapsed="false">
      <c r="A171" s="7" t="s">
        <v>285</v>
      </c>
      <c r="B171" s="13" t="n">
        <v>154</v>
      </c>
      <c r="C171" s="7" t="s">
        <v>505</v>
      </c>
      <c r="D171" s="7" t="s">
        <v>276</v>
      </c>
      <c r="E171" s="7" t="s">
        <v>711</v>
      </c>
      <c r="F171" s="13" t="n">
        <v>8</v>
      </c>
      <c r="G171" s="7" t="s">
        <v>712</v>
      </c>
      <c r="H171" s="7" t="s">
        <v>713</v>
      </c>
    </row>
    <row r="172" customFormat="false" ht="15" hidden="false" customHeight="false" outlineLevel="0" collapsed="false">
      <c r="A172" s="7" t="s">
        <v>285</v>
      </c>
      <c r="B172" s="13" t="n">
        <v>155</v>
      </c>
      <c r="C172" s="7" t="s">
        <v>505</v>
      </c>
      <c r="D172" s="7" t="s">
        <v>276</v>
      </c>
      <c r="E172" s="7" t="s">
        <v>714</v>
      </c>
      <c r="F172" s="13" t="n">
        <v>8</v>
      </c>
      <c r="G172" s="7" t="s">
        <v>715</v>
      </c>
      <c r="H172" s="7" t="s">
        <v>716</v>
      </c>
    </row>
    <row r="173" customFormat="false" ht="15" hidden="false" customHeight="false" outlineLevel="0" collapsed="false">
      <c r="A173" s="7" t="s">
        <v>285</v>
      </c>
      <c r="B173" s="13" t="n">
        <v>156</v>
      </c>
      <c r="C173" s="7" t="s">
        <v>505</v>
      </c>
      <c r="D173" s="7" t="s">
        <v>276</v>
      </c>
      <c r="E173" s="7" t="s">
        <v>717</v>
      </c>
      <c r="F173" s="13" t="n">
        <v>4</v>
      </c>
      <c r="G173" s="7" t="s">
        <v>718</v>
      </c>
      <c r="H173" s="7" t="s">
        <v>719</v>
      </c>
    </row>
    <row r="174" customFormat="false" ht="23.85" hidden="false" customHeight="false" outlineLevel="0" collapsed="false">
      <c r="A174" s="7" t="s">
        <v>285</v>
      </c>
      <c r="B174" s="13" t="n">
        <v>157</v>
      </c>
      <c r="C174" s="7" t="s">
        <v>505</v>
      </c>
      <c r="D174" s="7" t="s">
        <v>276</v>
      </c>
      <c r="E174" s="7" t="s">
        <v>720</v>
      </c>
      <c r="F174" s="13" t="n">
        <v>6</v>
      </c>
      <c r="G174" s="7" t="s">
        <v>721</v>
      </c>
      <c r="H174" s="7" t="s">
        <v>722</v>
      </c>
    </row>
    <row r="175" customFormat="false" ht="15" hidden="false" customHeight="false" outlineLevel="0" collapsed="false">
      <c r="A175" s="7" t="s">
        <v>285</v>
      </c>
      <c r="B175" s="13" t="n">
        <v>158</v>
      </c>
      <c r="C175" s="7" t="s">
        <v>505</v>
      </c>
      <c r="D175" s="7" t="s">
        <v>240</v>
      </c>
      <c r="E175" s="7" t="s">
        <v>723</v>
      </c>
      <c r="F175" s="13" t="n">
        <v>4</v>
      </c>
      <c r="G175" s="7" t="s">
        <v>724</v>
      </c>
      <c r="H175" s="7" t="s">
        <v>725</v>
      </c>
    </row>
    <row r="176" customFormat="false" ht="15" hidden="false" customHeight="false" outlineLevel="0" collapsed="false">
      <c r="A176" s="7" t="s">
        <v>285</v>
      </c>
      <c r="B176" s="13" t="n">
        <v>159</v>
      </c>
      <c r="C176" s="7" t="s">
        <v>505</v>
      </c>
      <c r="D176" s="7" t="s">
        <v>240</v>
      </c>
      <c r="E176" s="7" t="s">
        <v>726</v>
      </c>
      <c r="F176" s="13" t="n">
        <v>4</v>
      </c>
      <c r="G176" s="7" t="s">
        <v>727</v>
      </c>
      <c r="H176" s="7" t="s">
        <v>728</v>
      </c>
    </row>
    <row r="177" customFormat="false" ht="15" hidden="false" customHeight="false" outlineLevel="0" collapsed="false">
      <c r="A177" s="7" t="s">
        <v>285</v>
      </c>
      <c r="B177" s="13" t="n">
        <v>160</v>
      </c>
      <c r="C177" s="7" t="s">
        <v>505</v>
      </c>
      <c r="D177" s="7" t="s">
        <v>240</v>
      </c>
      <c r="E177" s="7" t="s">
        <v>729</v>
      </c>
      <c r="F177" s="13" t="n">
        <v>5</v>
      </c>
      <c r="G177" s="7" t="s">
        <v>730</v>
      </c>
      <c r="H177" s="7" t="s">
        <v>731</v>
      </c>
    </row>
    <row r="178" customFormat="false" ht="15" hidden="false" customHeight="false" outlineLevel="0" collapsed="false">
      <c r="A178" s="7" t="s">
        <v>285</v>
      </c>
      <c r="B178" s="13" t="n">
        <v>161</v>
      </c>
      <c r="C178" s="7" t="s">
        <v>505</v>
      </c>
      <c r="D178" s="7" t="s">
        <v>240</v>
      </c>
      <c r="E178" s="7" t="s">
        <v>732</v>
      </c>
      <c r="F178" s="13" t="n">
        <v>6</v>
      </c>
      <c r="G178" s="7" t="s">
        <v>733</v>
      </c>
      <c r="H178" s="7" t="s">
        <v>734</v>
      </c>
    </row>
    <row r="179" customFormat="false" ht="15" hidden="false" customHeight="false" outlineLevel="0" collapsed="false">
      <c r="A179" s="7" t="s">
        <v>285</v>
      </c>
      <c r="B179" s="13" t="n">
        <v>162</v>
      </c>
      <c r="C179" s="7" t="s">
        <v>505</v>
      </c>
      <c r="D179" s="7" t="s">
        <v>240</v>
      </c>
      <c r="E179" s="7" t="s">
        <v>735</v>
      </c>
      <c r="F179" s="13" t="n">
        <v>5</v>
      </c>
      <c r="G179" s="7" t="s">
        <v>736</v>
      </c>
      <c r="H179" s="7" t="s">
        <v>737</v>
      </c>
    </row>
    <row r="180" customFormat="false" ht="15" hidden="false" customHeight="false" outlineLevel="0" collapsed="false">
      <c r="A180" s="7" t="s">
        <v>285</v>
      </c>
      <c r="B180" s="13" t="n">
        <v>163</v>
      </c>
      <c r="C180" s="7" t="s">
        <v>505</v>
      </c>
      <c r="D180" s="7" t="s">
        <v>240</v>
      </c>
      <c r="E180" s="7" t="s">
        <v>738</v>
      </c>
      <c r="F180" s="13" t="n">
        <v>4</v>
      </c>
      <c r="G180" s="7" t="s">
        <v>739</v>
      </c>
      <c r="H180" s="7" t="s">
        <v>740</v>
      </c>
    </row>
    <row r="181" customFormat="false" ht="23.85" hidden="false" customHeight="false" outlineLevel="0" collapsed="false">
      <c r="A181" s="7" t="s">
        <v>285</v>
      </c>
      <c r="B181" s="13" t="n">
        <v>164</v>
      </c>
      <c r="C181" s="7" t="s">
        <v>505</v>
      </c>
      <c r="D181" s="7" t="s">
        <v>240</v>
      </c>
      <c r="E181" s="7" t="s">
        <v>741</v>
      </c>
      <c r="F181" s="13" t="n">
        <v>5</v>
      </c>
      <c r="G181" s="7" t="s">
        <v>742</v>
      </c>
      <c r="H181" s="7" t="s">
        <v>743</v>
      </c>
    </row>
    <row r="182" customFormat="false" ht="15" hidden="false" customHeight="false" outlineLevel="0" collapsed="false">
      <c r="A182" s="7" t="s">
        <v>285</v>
      </c>
      <c r="B182" s="13" t="n">
        <v>165</v>
      </c>
      <c r="C182" s="7" t="s">
        <v>505</v>
      </c>
      <c r="D182" s="7" t="s">
        <v>240</v>
      </c>
      <c r="E182" s="7" t="s">
        <v>744</v>
      </c>
      <c r="F182" s="13" t="n">
        <v>3</v>
      </c>
      <c r="G182" s="7" t="s">
        <v>745</v>
      </c>
      <c r="H182" s="7" t="s">
        <v>746</v>
      </c>
    </row>
    <row r="183" customFormat="false" ht="15" hidden="false" customHeight="false" outlineLevel="0" collapsed="false">
      <c r="A183" s="7" t="s">
        <v>285</v>
      </c>
      <c r="B183" s="13" t="n">
        <v>166</v>
      </c>
      <c r="C183" s="7" t="s">
        <v>505</v>
      </c>
      <c r="D183" s="7" t="s">
        <v>240</v>
      </c>
      <c r="E183" s="7" t="s">
        <v>747</v>
      </c>
      <c r="F183" s="13" t="n">
        <v>4</v>
      </c>
      <c r="G183" s="7" t="s">
        <v>748</v>
      </c>
      <c r="H183" s="7" t="s">
        <v>749</v>
      </c>
    </row>
    <row r="184" customFormat="false" ht="15" hidden="false" customHeight="false" outlineLevel="0" collapsed="false">
      <c r="A184" s="7" t="s">
        <v>285</v>
      </c>
      <c r="B184" s="13" t="n">
        <v>167</v>
      </c>
      <c r="C184" s="7" t="s">
        <v>505</v>
      </c>
      <c r="D184" s="7" t="s">
        <v>240</v>
      </c>
      <c r="E184" s="7" t="s">
        <v>750</v>
      </c>
      <c r="F184" s="13" t="n">
        <v>4</v>
      </c>
      <c r="G184" s="7" t="s">
        <v>751</v>
      </c>
      <c r="H184" s="7" t="s">
        <v>752</v>
      </c>
    </row>
    <row r="185" customFormat="false" ht="23.85" hidden="false" customHeight="false" outlineLevel="0" collapsed="false">
      <c r="A185" s="7" t="s">
        <v>285</v>
      </c>
      <c r="B185" s="13" t="n">
        <v>168</v>
      </c>
      <c r="C185" s="7" t="s">
        <v>505</v>
      </c>
      <c r="D185" s="7" t="s">
        <v>290</v>
      </c>
      <c r="E185" s="7" t="s">
        <v>753</v>
      </c>
      <c r="F185" s="13" t="n">
        <v>3</v>
      </c>
      <c r="G185" s="7" t="s">
        <v>754</v>
      </c>
      <c r="H185" s="7" t="s">
        <v>755</v>
      </c>
    </row>
    <row r="186" customFormat="false" ht="23.85" hidden="false" customHeight="false" outlineLevel="0" collapsed="false">
      <c r="A186" s="7" t="s">
        <v>285</v>
      </c>
      <c r="B186" s="13" t="n">
        <v>169</v>
      </c>
      <c r="C186" s="7" t="s">
        <v>505</v>
      </c>
      <c r="D186" s="7" t="s">
        <v>290</v>
      </c>
      <c r="E186" s="7" t="s">
        <v>756</v>
      </c>
      <c r="F186" s="13" t="n">
        <v>4</v>
      </c>
      <c r="G186" s="7" t="s">
        <v>757</v>
      </c>
      <c r="H186" s="7" t="s">
        <v>758</v>
      </c>
    </row>
    <row r="187" customFormat="false" ht="23.85" hidden="false" customHeight="false" outlineLevel="0" collapsed="false">
      <c r="A187" s="7" t="s">
        <v>285</v>
      </c>
      <c r="B187" s="13" t="n">
        <v>170</v>
      </c>
      <c r="C187" s="7" t="s">
        <v>505</v>
      </c>
      <c r="D187" s="7" t="s">
        <v>290</v>
      </c>
      <c r="E187" s="7" t="s">
        <v>759</v>
      </c>
      <c r="F187" s="13" t="n">
        <v>4</v>
      </c>
      <c r="G187" s="7" t="s">
        <v>760</v>
      </c>
      <c r="H187" s="7" t="s">
        <v>761</v>
      </c>
    </row>
    <row r="188" customFormat="false" ht="23.85" hidden="false" customHeight="false" outlineLevel="0" collapsed="false">
      <c r="A188" s="7" t="s">
        <v>285</v>
      </c>
      <c r="B188" s="13" t="n">
        <v>171</v>
      </c>
      <c r="C188" s="7" t="s">
        <v>505</v>
      </c>
      <c r="D188" s="7" t="s">
        <v>290</v>
      </c>
      <c r="E188" s="7" t="s">
        <v>762</v>
      </c>
      <c r="F188" s="13" t="n">
        <v>4</v>
      </c>
      <c r="G188" s="7" t="s">
        <v>763</v>
      </c>
      <c r="H188" s="7" t="s">
        <v>764</v>
      </c>
    </row>
    <row r="189" customFormat="false" ht="15" hidden="false" customHeight="false" outlineLevel="0" collapsed="false">
      <c r="A189" s="7" t="s">
        <v>285</v>
      </c>
      <c r="B189" s="13" t="n">
        <v>172</v>
      </c>
      <c r="C189" s="7" t="s">
        <v>505</v>
      </c>
      <c r="D189" s="7" t="s">
        <v>290</v>
      </c>
      <c r="E189" s="7" t="s">
        <v>765</v>
      </c>
      <c r="F189" s="13" t="n">
        <v>4</v>
      </c>
      <c r="G189" s="7" t="s">
        <v>766</v>
      </c>
      <c r="H189" s="7" t="s">
        <v>767</v>
      </c>
    </row>
    <row r="190" customFormat="false" ht="15" hidden="false" customHeight="false" outlineLevel="0" collapsed="false">
      <c r="A190" s="7" t="s">
        <v>285</v>
      </c>
      <c r="B190" s="13" t="n">
        <v>173</v>
      </c>
      <c r="C190" s="7" t="s">
        <v>505</v>
      </c>
      <c r="D190" s="7" t="s">
        <v>290</v>
      </c>
      <c r="E190" s="7" t="s">
        <v>768</v>
      </c>
      <c r="F190" s="13" t="n">
        <v>5</v>
      </c>
      <c r="G190" s="7" t="s">
        <v>769</v>
      </c>
      <c r="H190" s="7" t="s">
        <v>770</v>
      </c>
    </row>
    <row r="191" customFormat="false" ht="15" hidden="false" customHeight="false" outlineLevel="0" collapsed="false">
      <c r="A191" s="7" t="s">
        <v>285</v>
      </c>
      <c r="B191" s="13" t="n">
        <v>174</v>
      </c>
      <c r="C191" s="7" t="s">
        <v>505</v>
      </c>
      <c r="D191" s="7" t="s">
        <v>290</v>
      </c>
      <c r="E191" s="7" t="s">
        <v>771</v>
      </c>
      <c r="F191" s="13" t="n">
        <v>3</v>
      </c>
      <c r="G191" s="7" t="s">
        <v>772</v>
      </c>
      <c r="H191" s="7" t="s">
        <v>773</v>
      </c>
    </row>
    <row r="192" customFormat="false" ht="23.85" hidden="false" customHeight="false" outlineLevel="0" collapsed="false">
      <c r="A192" s="7" t="s">
        <v>285</v>
      </c>
      <c r="B192" s="13" t="n">
        <v>175</v>
      </c>
      <c r="C192" s="7" t="s">
        <v>505</v>
      </c>
      <c r="D192" s="7" t="s">
        <v>290</v>
      </c>
      <c r="E192" s="7" t="s">
        <v>774</v>
      </c>
      <c r="F192" s="13" t="n">
        <v>3</v>
      </c>
      <c r="G192" s="7" t="s">
        <v>775</v>
      </c>
      <c r="H192" s="7" t="s">
        <v>776</v>
      </c>
    </row>
    <row r="193" customFormat="false" ht="15" hidden="false" customHeight="false" outlineLevel="0" collapsed="false">
      <c r="A193" s="7" t="s">
        <v>285</v>
      </c>
      <c r="B193" s="13" t="n">
        <v>176</v>
      </c>
      <c r="C193" s="7" t="s">
        <v>505</v>
      </c>
      <c r="D193" s="7" t="s">
        <v>235</v>
      </c>
      <c r="E193" s="7" t="s">
        <v>777</v>
      </c>
      <c r="F193" s="13" t="n">
        <v>3</v>
      </c>
      <c r="G193" s="7" t="s">
        <v>778</v>
      </c>
      <c r="H193" s="7" t="s">
        <v>779</v>
      </c>
    </row>
    <row r="194" customFormat="false" ht="15" hidden="false" customHeight="false" outlineLevel="0" collapsed="false">
      <c r="A194" s="7" t="s">
        <v>285</v>
      </c>
      <c r="B194" s="13" t="n">
        <v>177</v>
      </c>
      <c r="C194" s="7" t="s">
        <v>505</v>
      </c>
      <c r="D194" s="7" t="s">
        <v>235</v>
      </c>
      <c r="E194" s="7" t="s">
        <v>780</v>
      </c>
      <c r="F194" s="13" t="n">
        <v>3</v>
      </c>
      <c r="G194" s="7" t="s">
        <v>781</v>
      </c>
      <c r="H194" s="7" t="s">
        <v>782</v>
      </c>
    </row>
    <row r="195" customFormat="false" ht="23.85" hidden="false" customHeight="false" outlineLevel="0" collapsed="false">
      <c r="A195" s="7" t="s">
        <v>285</v>
      </c>
      <c r="B195" s="13" t="n">
        <v>178</v>
      </c>
      <c r="C195" s="7" t="s">
        <v>505</v>
      </c>
      <c r="D195" s="7" t="s">
        <v>235</v>
      </c>
      <c r="E195" s="7" t="s">
        <v>783</v>
      </c>
      <c r="F195" s="13" t="n">
        <v>4</v>
      </c>
      <c r="G195" s="7" t="s">
        <v>784</v>
      </c>
      <c r="H195" s="7" t="s">
        <v>785</v>
      </c>
    </row>
    <row r="196" customFormat="false" ht="23.85" hidden="false" customHeight="false" outlineLevel="0" collapsed="false">
      <c r="A196" s="7" t="s">
        <v>285</v>
      </c>
      <c r="B196" s="13" t="n">
        <v>179</v>
      </c>
      <c r="C196" s="7" t="s">
        <v>505</v>
      </c>
      <c r="D196" s="7" t="s">
        <v>235</v>
      </c>
      <c r="E196" s="7" t="s">
        <v>786</v>
      </c>
      <c r="F196" s="13" t="n">
        <v>5</v>
      </c>
      <c r="G196" s="7" t="s">
        <v>787</v>
      </c>
      <c r="H196" s="7" t="s">
        <v>788</v>
      </c>
    </row>
    <row r="197" customFormat="false" ht="23.85" hidden="false" customHeight="false" outlineLevel="0" collapsed="false">
      <c r="A197" s="7" t="s">
        <v>285</v>
      </c>
      <c r="B197" s="13" t="n">
        <v>180</v>
      </c>
      <c r="C197" s="7" t="s">
        <v>505</v>
      </c>
      <c r="D197" s="7" t="s">
        <v>235</v>
      </c>
      <c r="E197" s="7" t="s">
        <v>789</v>
      </c>
      <c r="F197" s="13" t="n">
        <v>5</v>
      </c>
      <c r="G197" s="7" t="s">
        <v>790</v>
      </c>
      <c r="H197" s="7" t="s">
        <v>791</v>
      </c>
    </row>
    <row r="198" customFormat="false" ht="15" hidden="false" customHeight="false" outlineLevel="0" collapsed="false">
      <c r="A198" s="7" t="s">
        <v>285</v>
      </c>
      <c r="B198" s="13" t="n">
        <v>181</v>
      </c>
      <c r="C198" s="7" t="s">
        <v>505</v>
      </c>
      <c r="D198" s="7" t="s">
        <v>235</v>
      </c>
      <c r="E198" s="7" t="s">
        <v>792</v>
      </c>
      <c r="F198" s="13" t="n">
        <v>4</v>
      </c>
      <c r="G198" s="7" t="s">
        <v>793</v>
      </c>
      <c r="H198" s="7" t="s">
        <v>794</v>
      </c>
    </row>
    <row r="199" customFormat="false" ht="23.85" hidden="false" customHeight="false" outlineLevel="0" collapsed="false">
      <c r="A199" s="7" t="s">
        <v>285</v>
      </c>
      <c r="B199" s="13" t="n">
        <v>182</v>
      </c>
      <c r="C199" s="7" t="s">
        <v>505</v>
      </c>
      <c r="D199" s="7" t="s">
        <v>394</v>
      </c>
      <c r="E199" s="7" t="s">
        <v>795</v>
      </c>
      <c r="F199" s="13" t="n">
        <v>4</v>
      </c>
      <c r="G199" s="7" t="s">
        <v>796</v>
      </c>
      <c r="H199" s="7" t="s">
        <v>797</v>
      </c>
    </row>
    <row r="200" customFormat="false" ht="15" hidden="false" customHeight="false" outlineLevel="0" collapsed="false">
      <c r="A200" s="7" t="s">
        <v>285</v>
      </c>
      <c r="B200" s="13" t="n">
        <v>183</v>
      </c>
      <c r="C200" s="7" t="s">
        <v>505</v>
      </c>
      <c r="D200" s="7" t="s">
        <v>394</v>
      </c>
      <c r="E200" s="7" t="s">
        <v>798</v>
      </c>
      <c r="F200" s="13" t="n">
        <v>4</v>
      </c>
      <c r="G200" s="7" t="s">
        <v>799</v>
      </c>
      <c r="H200" s="7" t="s">
        <v>800</v>
      </c>
    </row>
    <row r="201" customFormat="false" ht="23.85" hidden="false" customHeight="false" outlineLevel="0" collapsed="false">
      <c r="A201" s="7" t="s">
        <v>285</v>
      </c>
      <c r="B201" s="13" t="n">
        <v>184</v>
      </c>
      <c r="C201" s="7" t="s">
        <v>505</v>
      </c>
      <c r="D201" s="7" t="s">
        <v>394</v>
      </c>
      <c r="E201" s="7" t="s">
        <v>801</v>
      </c>
      <c r="F201" s="13" t="n">
        <v>3</v>
      </c>
      <c r="G201" s="7" t="s">
        <v>802</v>
      </c>
      <c r="H201" s="7" t="s">
        <v>803</v>
      </c>
    </row>
    <row r="202" customFormat="false" ht="15" hidden="false" customHeight="false" outlineLevel="0" collapsed="false">
      <c r="A202" s="7" t="s">
        <v>285</v>
      </c>
      <c r="B202" s="13" t="n">
        <v>185</v>
      </c>
      <c r="C202" s="7" t="s">
        <v>505</v>
      </c>
      <c r="D202" s="7" t="s">
        <v>394</v>
      </c>
      <c r="E202" s="7" t="s">
        <v>804</v>
      </c>
      <c r="F202" s="13" t="n">
        <v>3</v>
      </c>
      <c r="G202" s="7" t="s">
        <v>805</v>
      </c>
      <c r="H202" s="7" t="s">
        <v>806</v>
      </c>
    </row>
    <row r="203" customFormat="false" ht="15" hidden="false" customHeight="false" outlineLevel="0" collapsed="false">
      <c r="A203" s="7" t="s">
        <v>285</v>
      </c>
      <c r="B203" s="13" t="n">
        <v>186</v>
      </c>
      <c r="C203" s="7" t="s">
        <v>505</v>
      </c>
      <c r="D203" s="7" t="s">
        <v>394</v>
      </c>
      <c r="E203" s="7" t="s">
        <v>807</v>
      </c>
      <c r="F203" s="13" t="n">
        <v>4</v>
      </c>
      <c r="G203" s="7" t="s">
        <v>808</v>
      </c>
      <c r="H203" s="7" t="s">
        <v>809</v>
      </c>
    </row>
    <row r="204" customFormat="false" ht="15" hidden="false" customHeight="false" outlineLevel="0" collapsed="false">
      <c r="A204" s="7" t="s">
        <v>285</v>
      </c>
      <c r="B204" s="13" t="n">
        <v>187</v>
      </c>
      <c r="C204" s="7" t="s">
        <v>505</v>
      </c>
      <c r="D204" s="7" t="s">
        <v>394</v>
      </c>
      <c r="E204" s="7" t="s">
        <v>810</v>
      </c>
      <c r="F204" s="13" t="n">
        <v>4</v>
      </c>
      <c r="G204" s="7" t="s">
        <v>811</v>
      </c>
      <c r="H204" s="7" t="s">
        <v>812</v>
      </c>
    </row>
    <row r="205" customFormat="false" ht="15" hidden="false" customHeight="false" outlineLevel="0" collapsed="false">
      <c r="A205" s="7" t="s">
        <v>285</v>
      </c>
      <c r="B205" s="13" t="n">
        <v>188</v>
      </c>
      <c r="C205" s="7" t="s">
        <v>505</v>
      </c>
      <c r="D205" s="7" t="s">
        <v>394</v>
      </c>
      <c r="E205" s="7" t="s">
        <v>813</v>
      </c>
      <c r="F205" s="13" t="n">
        <v>4</v>
      </c>
      <c r="G205" s="7" t="s">
        <v>814</v>
      </c>
      <c r="H205" s="7" t="s">
        <v>815</v>
      </c>
    </row>
    <row r="206" customFormat="false" ht="23.85" hidden="false" customHeight="false" outlineLevel="0" collapsed="false">
      <c r="A206" s="7" t="s">
        <v>285</v>
      </c>
      <c r="B206" s="13" t="n">
        <v>189</v>
      </c>
      <c r="C206" s="7" t="s">
        <v>505</v>
      </c>
      <c r="D206" s="7" t="s">
        <v>394</v>
      </c>
      <c r="E206" s="7" t="s">
        <v>816</v>
      </c>
      <c r="F206" s="13" t="n">
        <v>4</v>
      </c>
      <c r="G206" s="7" t="s">
        <v>817</v>
      </c>
      <c r="H206" s="7" t="s">
        <v>818</v>
      </c>
    </row>
    <row r="207" customFormat="false" ht="15" hidden="false" customHeight="false" outlineLevel="0" collapsed="false">
      <c r="A207" s="7" t="s">
        <v>285</v>
      </c>
      <c r="B207" s="13" t="n">
        <v>190</v>
      </c>
      <c r="C207" s="7" t="s">
        <v>505</v>
      </c>
      <c r="D207" s="7" t="s">
        <v>394</v>
      </c>
      <c r="E207" s="7" t="s">
        <v>819</v>
      </c>
      <c r="F207" s="13" t="n">
        <v>4</v>
      </c>
      <c r="G207" s="7" t="s">
        <v>820</v>
      </c>
      <c r="H207" s="7" t="s">
        <v>821</v>
      </c>
    </row>
    <row r="208" customFormat="false" ht="23.85" hidden="false" customHeight="false" outlineLevel="0" collapsed="false">
      <c r="A208" s="7" t="s">
        <v>285</v>
      </c>
      <c r="B208" s="13" t="n">
        <v>191</v>
      </c>
      <c r="C208" s="7" t="s">
        <v>505</v>
      </c>
      <c r="D208" s="7" t="s">
        <v>394</v>
      </c>
      <c r="E208" s="7" t="s">
        <v>822</v>
      </c>
      <c r="F208" s="13" t="n">
        <v>3</v>
      </c>
      <c r="G208" s="7" t="s">
        <v>823</v>
      </c>
      <c r="H208" s="7" t="s">
        <v>824</v>
      </c>
    </row>
    <row r="209" customFormat="false" ht="15" hidden="false" customHeight="false" outlineLevel="0" collapsed="false">
      <c r="A209" s="7" t="s">
        <v>285</v>
      </c>
      <c r="B209" s="13" t="n">
        <v>192</v>
      </c>
      <c r="C209" s="7" t="s">
        <v>505</v>
      </c>
      <c r="D209" s="7" t="s">
        <v>260</v>
      </c>
      <c r="E209" s="7" t="s">
        <v>825</v>
      </c>
      <c r="F209" s="13" t="n">
        <v>3</v>
      </c>
      <c r="G209" s="7" t="s">
        <v>826</v>
      </c>
      <c r="H209" s="7" t="s">
        <v>827</v>
      </c>
    </row>
    <row r="210" customFormat="false" ht="15" hidden="false" customHeight="false" outlineLevel="0" collapsed="false">
      <c r="A210" s="7" t="s">
        <v>285</v>
      </c>
      <c r="B210" s="13" t="n">
        <v>193</v>
      </c>
      <c r="C210" s="7" t="s">
        <v>505</v>
      </c>
      <c r="D210" s="7" t="s">
        <v>260</v>
      </c>
      <c r="E210" s="7" t="s">
        <v>828</v>
      </c>
      <c r="F210" s="13" t="n">
        <v>3</v>
      </c>
      <c r="G210" s="7" t="s">
        <v>829</v>
      </c>
      <c r="H210" s="7" t="s">
        <v>830</v>
      </c>
    </row>
    <row r="211" customFormat="false" ht="15" hidden="false" customHeight="false" outlineLevel="0" collapsed="false">
      <c r="A211" s="7" t="s">
        <v>285</v>
      </c>
      <c r="B211" s="13" t="n">
        <v>194</v>
      </c>
      <c r="C211" s="7" t="s">
        <v>505</v>
      </c>
      <c r="D211" s="7" t="s">
        <v>260</v>
      </c>
      <c r="E211" s="7" t="s">
        <v>831</v>
      </c>
      <c r="F211" s="13" t="n">
        <v>3</v>
      </c>
      <c r="G211" s="7" t="s">
        <v>832</v>
      </c>
      <c r="H211" s="7" t="s">
        <v>833</v>
      </c>
    </row>
    <row r="212" customFormat="false" ht="23.85" hidden="false" customHeight="false" outlineLevel="0" collapsed="false">
      <c r="A212" s="7" t="s">
        <v>285</v>
      </c>
      <c r="B212" s="13" t="n">
        <v>195</v>
      </c>
      <c r="C212" s="7" t="s">
        <v>505</v>
      </c>
      <c r="D212" s="7" t="s">
        <v>260</v>
      </c>
      <c r="E212" s="7" t="s">
        <v>834</v>
      </c>
      <c r="F212" s="13" t="n">
        <v>3</v>
      </c>
      <c r="G212" s="7" t="s">
        <v>835</v>
      </c>
      <c r="H212" s="7" t="s">
        <v>836</v>
      </c>
    </row>
    <row r="213" customFormat="false" ht="15" hidden="false" customHeight="false" outlineLevel="0" collapsed="false">
      <c r="A213" s="7" t="s">
        <v>285</v>
      </c>
      <c r="B213" s="13" t="n">
        <v>196</v>
      </c>
      <c r="C213" s="7" t="s">
        <v>505</v>
      </c>
      <c r="D213" s="7" t="s">
        <v>260</v>
      </c>
      <c r="E213" s="7" t="s">
        <v>837</v>
      </c>
      <c r="F213" s="13" t="n">
        <v>3</v>
      </c>
      <c r="G213" s="7" t="s">
        <v>838</v>
      </c>
      <c r="H213" s="7" t="s">
        <v>839</v>
      </c>
    </row>
    <row r="214" customFormat="false" ht="15" hidden="false" customHeight="false" outlineLevel="0" collapsed="false">
      <c r="A214" s="7" t="s">
        <v>285</v>
      </c>
      <c r="B214" s="13" t="n">
        <v>197</v>
      </c>
      <c r="C214" s="7" t="s">
        <v>505</v>
      </c>
      <c r="D214" s="7" t="s">
        <v>271</v>
      </c>
      <c r="E214" s="7" t="s">
        <v>840</v>
      </c>
      <c r="F214" s="13" t="n">
        <v>6</v>
      </c>
      <c r="G214" s="7" t="s">
        <v>841</v>
      </c>
      <c r="H214" s="7" t="s">
        <v>842</v>
      </c>
    </row>
    <row r="215" customFormat="false" ht="15" hidden="false" customHeight="false" outlineLevel="0" collapsed="false">
      <c r="A215" s="7" t="s">
        <v>285</v>
      </c>
      <c r="B215" s="13" t="n">
        <v>198</v>
      </c>
      <c r="C215" s="7" t="s">
        <v>505</v>
      </c>
      <c r="D215" s="7" t="s">
        <v>271</v>
      </c>
      <c r="E215" s="7" t="s">
        <v>843</v>
      </c>
      <c r="F215" s="13" t="n">
        <v>4</v>
      </c>
      <c r="G215" s="7" t="s">
        <v>844</v>
      </c>
      <c r="H215" s="7" t="s">
        <v>845</v>
      </c>
    </row>
    <row r="216" customFormat="false" ht="15" hidden="false" customHeight="false" outlineLevel="0" collapsed="false">
      <c r="A216" s="7" t="s">
        <v>285</v>
      </c>
      <c r="B216" s="13" t="n">
        <v>199</v>
      </c>
      <c r="C216" s="7" t="s">
        <v>505</v>
      </c>
      <c r="D216" s="7" t="s">
        <v>271</v>
      </c>
      <c r="E216" s="7" t="s">
        <v>846</v>
      </c>
      <c r="F216" s="13" t="n">
        <v>4</v>
      </c>
      <c r="G216" s="7" t="s">
        <v>847</v>
      </c>
      <c r="H216" s="7" t="s">
        <v>848</v>
      </c>
    </row>
    <row r="217" customFormat="false" ht="15" hidden="false" customHeight="false" outlineLevel="0" collapsed="false">
      <c r="A217" s="7" t="s">
        <v>285</v>
      </c>
      <c r="B217" s="13" t="n">
        <v>200</v>
      </c>
      <c r="C217" s="7" t="s">
        <v>505</v>
      </c>
      <c r="D217" s="7" t="s">
        <v>271</v>
      </c>
      <c r="E217" s="7" t="s">
        <v>849</v>
      </c>
      <c r="F217" s="13" t="n">
        <v>4</v>
      </c>
      <c r="G217" s="7" t="s">
        <v>850</v>
      </c>
      <c r="H217" s="7" t="s">
        <v>851</v>
      </c>
    </row>
    <row r="218" customFormat="false" ht="15" hidden="false" customHeight="false" outlineLevel="0" collapsed="false">
      <c r="A218" s="7" t="s">
        <v>286</v>
      </c>
      <c r="B218" s="13" t="n">
        <v>1</v>
      </c>
      <c r="C218" s="7" t="s">
        <v>504</v>
      </c>
      <c r="D218" s="7" t="s">
        <v>290</v>
      </c>
      <c r="E218" s="7" t="s">
        <v>291</v>
      </c>
      <c r="F218" s="13" t="n">
        <v>6</v>
      </c>
      <c r="G218" s="7" t="s">
        <v>292</v>
      </c>
      <c r="H218" s="7" t="s">
        <v>513</v>
      </c>
    </row>
    <row r="219" customFormat="false" ht="15" hidden="false" customHeight="false" outlineLevel="0" collapsed="false">
      <c r="A219" s="7" t="s">
        <v>286</v>
      </c>
      <c r="B219" s="13" t="n">
        <v>2</v>
      </c>
      <c r="C219" s="7" t="s">
        <v>504</v>
      </c>
      <c r="D219" s="7" t="s">
        <v>290</v>
      </c>
      <c r="E219" s="7" t="s">
        <v>293</v>
      </c>
      <c r="F219" s="13" t="n">
        <v>8</v>
      </c>
      <c r="G219" s="7" t="s">
        <v>294</v>
      </c>
      <c r="H219" s="7" t="s">
        <v>513</v>
      </c>
    </row>
    <row r="220" customFormat="false" ht="15" hidden="false" customHeight="false" outlineLevel="0" collapsed="false">
      <c r="A220" s="7" t="s">
        <v>286</v>
      </c>
      <c r="B220" s="13" t="n">
        <v>3</v>
      </c>
      <c r="C220" s="7" t="s">
        <v>504</v>
      </c>
      <c r="D220" s="7" t="s">
        <v>290</v>
      </c>
      <c r="E220" s="7" t="s">
        <v>295</v>
      </c>
      <c r="F220" s="13" t="n">
        <v>4</v>
      </c>
      <c r="G220" s="7" t="s">
        <v>296</v>
      </c>
      <c r="H220" s="7" t="s">
        <v>513</v>
      </c>
    </row>
    <row r="221" customFormat="false" ht="15" hidden="false" customHeight="false" outlineLevel="0" collapsed="false">
      <c r="A221" s="7" t="s">
        <v>286</v>
      </c>
      <c r="B221" s="13" t="n">
        <v>4</v>
      </c>
      <c r="C221" s="7" t="s">
        <v>504</v>
      </c>
      <c r="D221" s="7" t="s">
        <v>290</v>
      </c>
      <c r="E221" s="7" t="s">
        <v>297</v>
      </c>
      <c r="F221" s="13" t="n">
        <v>8</v>
      </c>
      <c r="G221" s="7" t="s">
        <v>298</v>
      </c>
      <c r="H221" s="7" t="s">
        <v>513</v>
      </c>
    </row>
    <row r="222" customFormat="false" ht="15" hidden="false" customHeight="false" outlineLevel="0" collapsed="false">
      <c r="A222" s="7" t="s">
        <v>286</v>
      </c>
      <c r="B222" s="13" t="n">
        <v>5</v>
      </c>
      <c r="C222" s="7" t="s">
        <v>504</v>
      </c>
      <c r="D222" s="7" t="s">
        <v>290</v>
      </c>
      <c r="E222" s="7" t="s">
        <v>299</v>
      </c>
      <c r="F222" s="13" t="n">
        <v>4</v>
      </c>
      <c r="G222" s="7" t="s">
        <v>300</v>
      </c>
      <c r="H222" s="7" t="s">
        <v>513</v>
      </c>
    </row>
    <row r="223" customFormat="false" ht="15" hidden="false" customHeight="false" outlineLevel="0" collapsed="false">
      <c r="A223" s="7" t="s">
        <v>286</v>
      </c>
      <c r="B223" s="13" t="n">
        <v>6</v>
      </c>
      <c r="C223" s="7" t="s">
        <v>504</v>
      </c>
      <c r="D223" s="7" t="s">
        <v>290</v>
      </c>
      <c r="E223" s="7" t="s">
        <v>301</v>
      </c>
      <c r="F223" s="13" t="n">
        <v>3</v>
      </c>
      <c r="G223" s="7" t="s">
        <v>302</v>
      </c>
      <c r="H223" s="7" t="s">
        <v>513</v>
      </c>
    </row>
    <row r="224" customFormat="false" ht="15" hidden="false" customHeight="false" outlineLevel="0" collapsed="false">
      <c r="A224" s="7" t="s">
        <v>286</v>
      </c>
      <c r="B224" s="13" t="n">
        <v>7</v>
      </c>
      <c r="C224" s="7" t="s">
        <v>504</v>
      </c>
      <c r="D224" s="7" t="s">
        <v>290</v>
      </c>
      <c r="E224" s="7" t="s">
        <v>303</v>
      </c>
      <c r="F224" s="13" t="n">
        <v>5</v>
      </c>
      <c r="G224" s="7" t="s">
        <v>304</v>
      </c>
      <c r="H224" s="7" t="s">
        <v>513</v>
      </c>
    </row>
    <row r="225" customFormat="false" ht="15" hidden="false" customHeight="false" outlineLevel="0" collapsed="false">
      <c r="A225" s="7" t="s">
        <v>286</v>
      </c>
      <c r="B225" s="13" t="n">
        <v>8</v>
      </c>
      <c r="C225" s="7" t="s">
        <v>504</v>
      </c>
      <c r="D225" s="7" t="s">
        <v>290</v>
      </c>
      <c r="E225" s="7" t="s">
        <v>305</v>
      </c>
      <c r="F225" s="13" t="n">
        <v>6</v>
      </c>
      <c r="G225" s="7" t="s">
        <v>306</v>
      </c>
      <c r="H225" s="7" t="s">
        <v>513</v>
      </c>
    </row>
    <row r="226" customFormat="false" ht="15" hidden="false" customHeight="false" outlineLevel="0" collapsed="false">
      <c r="A226" s="7" t="s">
        <v>286</v>
      </c>
      <c r="B226" s="13" t="n">
        <v>9</v>
      </c>
      <c r="C226" s="7" t="s">
        <v>504</v>
      </c>
      <c r="D226" s="7" t="s">
        <v>290</v>
      </c>
      <c r="E226" s="7" t="s">
        <v>307</v>
      </c>
      <c r="F226" s="13" t="n">
        <v>6</v>
      </c>
      <c r="G226" s="7" t="s">
        <v>308</v>
      </c>
      <c r="H226" s="7" t="s">
        <v>513</v>
      </c>
    </row>
    <row r="227" customFormat="false" ht="15" hidden="false" customHeight="false" outlineLevel="0" collapsed="false">
      <c r="A227" s="7" t="s">
        <v>286</v>
      </c>
      <c r="B227" s="13" t="n">
        <v>10</v>
      </c>
      <c r="C227" s="7" t="s">
        <v>504</v>
      </c>
      <c r="D227" s="7" t="s">
        <v>290</v>
      </c>
      <c r="E227" s="7" t="s">
        <v>309</v>
      </c>
      <c r="F227" s="13" t="n">
        <v>4</v>
      </c>
      <c r="G227" s="7" t="s">
        <v>310</v>
      </c>
      <c r="H227" s="7" t="s">
        <v>513</v>
      </c>
    </row>
    <row r="228" customFormat="false" ht="15" hidden="false" customHeight="false" outlineLevel="0" collapsed="false">
      <c r="A228" s="7" t="s">
        <v>286</v>
      </c>
      <c r="B228" s="13" t="n">
        <v>11</v>
      </c>
      <c r="C228" s="7" t="s">
        <v>504</v>
      </c>
      <c r="D228" s="7" t="s">
        <v>290</v>
      </c>
      <c r="E228" s="7" t="s">
        <v>311</v>
      </c>
      <c r="F228" s="13" t="n">
        <v>10</v>
      </c>
      <c r="G228" s="7" t="s">
        <v>312</v>
      </c>
      <c r="H228" s="7" t="s">
        <v>513</v>
      </c>
    </row>
    <row r="229" customFormat="false" ht="15" hidden="false" customHeight="false" outlineLevel="0" collapsed="false">
      <c r="A229" s="7" t="s">
        <v>286</v>
      </c>
      <c r="B229" s="13" t="n">
        <v>12</v>
      </c>
      <c r="C229" s="7" t="s">
        <v>504</v>
      </c>
      <c r="D229" s="7" t="s">
        <v>290</v>
      </c>
      <c r="E229" s="7" t="s">
        <v>313</v>
      </c>
      <c r="F229" s="13" t="n">
        <v>6</v>
      </c>
      <c r="G229" s="7" t="s">
        <v>314</v>
      </c>
      <c r="H229" s="7" t="s">
        <v>513</v>
      </c>
    </row>
    <row r="230" customFormat="false" ht="15" hidden="false" customHeight="false" outlineLevel="0" collapsed="false">
      <c r="A230" s="7" t="s">
        <v>286</v>
      </c>
      <c r="B230" s="13" t="n">
        <v>13</v>
      </c>
      <c r="C230" s="7" t="s">
        <v>504</v>
      </c>
      <c r="D230" s="7" t="s">
        <v>290</v>
      </c>
      <c r="E230" s="7" t="s">
        <v>315</v>
      </c>
      <c r="F230" s="13" t="n">
        <v>4</v>
      </c>
      <c r="G230" s="7" t="s">
        <v>316</v>
      </c>
      <c r="H230" s="7" t="s">
        <v>513</v>
      </c>
    </row>
    <row r="231" customFormat="false" ht="15" hidden="false" customHeight="false" outlineLevel="0" collapsed="false">
      <c r="A231" s="7" t="s">
        <v>286</v>
      </c>
      <c r="B231" s="13" t="n">
        <v>14</v>
      </c>
      <c r="C231" s="7" t="s">
        <v>504</v>
      </c>
      <c r="D231" s="7" t="s">
        <v>290</v>
      </c>
      <c r="E231" s="7" t="s">
        <v>317</v>
      </c>
      <c r="F231" s="13" t="n">
        <v>4</v>
      </c>
      <c r="G231" s="7" t="s">
        <v>318</v>
      </c>
      <c r="H231" s="7" t="s">
        <v>513</v>
      </c>
    </row>
    <row r="232" customFormat="false" ht="15" hidden="false" customHeight="false" outlineLevel="0" collapsed="false">
      <c r="A232" s="7" t="s">
        <v>286</v>
      </c>
      <c r="B232" s="13" t="n">
        <v>15</v>
      </c>
      <c r="C232" s="7" t="s">
        <v>504</v>
      </c>
      <c r="D232" s="7" t="s">
        <v>290</v>
      </c>
      <c r="E232" s="7" t="s">
        <v>319</v>
      </c>
      <c r="F232" s="13" t="n">
        <v>3</v>
      </c>
      <c r="G232" s="7" t="s">
        <v>320</v>
      </c>
      <c r="H232" s="7" t="s">
        <v>513</v>
      </c>
    </row>
    <row r="233" customFormat="false" ht="15" hidden="false" customHeight="false" outlineLevel="0" collapsed="false">
      <c r="A233" s="7" t="s">
        <v>286</v>
      </c>
      <c r="B233" s="13" t="n">
        <v>16</v>
      </c>
      <c r="C233" s="7" t="s">
        <v>504</v>
      </c>
      <c r="D233" s="7" t="s">
        <v>290</v>
      </c>
      <c r="E233" s="7" t="s">
        <v>321</v>
      </c>
      <c r="F233" s="13" t="n">
        <v>4</v>
      </c>
      <c r="G233" s="7" t="s">
        <v>322</v>
      </c>
      <c r="H233" s="7" t="s">
        <v>513</v>
      </c>
    </row>
    <row r="234" customFormat="false" ht="15" hidden="false" customHeight="false" outlineLevel="0" collapsed="false">
      <c r="A234" s="7" t="s">
        <v>286</v>
      </c>
      <c r="B234" s="13" t="n">
        <v>17</v>
      </c>
      <c r="C234" s="7" t="s">
        <v>504</v>
      </c>
      <c r="D234" s="7" t="s">
        <v>290</v>
      </c>
      <c r="E234" s="7" t="s">
        <v>323</v>
      </c>
      <c r="F234" s="13" t="n">
        <v>6</v>
      </c>
      <c r="G234" s="7" t="s">
        <v>324</v>
      </c>
      <c r="H234" s="7" t="s">
        <v>513</v>
      </c>
    </row>
    <row r="235" customFormat="false" ht="15" hidden="false" customHeight="false" outlineLevel="0" collapsed="false">
      <c r="A235" s="7" t="s">
        <v>286</v>
      </c>
      <c r="B235" s="13" t="n">
        <v>18</v>
      </c>
      <c r="C235" s="7" t="s">
        <v>504</v>
      </c>
      <c r="D235" s="7" t="s">
        <v>290</v>
      </c>
      <c r="E235" s="7" t="s">
        <v>325</v>
      </c>
      <c r="F235" s="13" t="n">
        <v>6</v>
      </c>
      <c r="G235" s="7" t="s">
        <v>326</v>
      </c>
      <c r="H235" s="7" t="s">
        <v>513</v>
      </c>
    </row>
    <row r="236" customFormat="false" ht="15" hidden="false" customHeight="false" outlineLevel="0" collapsed="false">
      <c r="A236" s="7" t="s">
        <v>286</v>
      </c>
      <c r="B236" s="13" t="n">
        <v>19</v>
      </c>
      <c r="C236" s="7" t="s">
        <v>504</v>
      </c>
      <c r="D236" s="7" t="s">
        <v>290</v>
      </c>
      <c r="E236" s="7" t="s">
        <v>327</v>
      </c>
      <c r="F236" s="13" t="n">
        <v>5</v>
      </c>
      <c r="G236" s="7" t="s">
        <v>328</v>
      </c>
      <c r="H236" s="7" t="s">
        <v>513</v>
      </c>
    </row>
    <row r="237" customFormat="false" ht="15" hidden="false" customHeight="false" outlineLevel="0" collapsed="false">
      <c r="A237" s="7" t="s">
        <v>286</v>
      </c>
      <c r="B237" s="13" t="n">
        <v>20</v>
      </c>
      <c r="C237" s="7" t="s">
        <v>504</v>
      </c>
      <c r="D237" s="7" t="s">
        <v>290</v>
      </c>
      <c r="E237" s="7" t="s">
        <v>329</v>
      </c>
      <c r="F237" s="13" t="n">
        <v>6</v>
      </c>
      <c r="G237" s="7" t="s">
        <v>330</v>
      </c>
      <c r="H237" s="7" t="s">
        <v>513</v>
      </c>
    </row>
    <row r="238" customFormat="false" ht="15" hidden="false" customHeight="false" outlineLevel="0" collapsed="false">
      <c r="A238" s="7" t="s">
        <v>286</v>
      </c>
      <c r="B238" s="13" t="n">
        <v>21</v>
      </c>
      <c r="C238" s="7" t="s">
        <v>504</v>
      </c>
      <c r="D238" s="7" t="s">
        <v>235</v>
      </c>
      <c r="E238" s="7" t="s">
        <v>331</v>
      </c>
      <c r="F238" s="13" t="n">
        <v>2</v>
      </c>
      <c r="G238" s="7" t="s">
        <v>332</v>
      </c>
      <c r="H238" s="7" t="s">
        <v>513</v>
      </c>
    </row>
    <row r="239" customFormat="false" ht="15" hidden="false" customHeight="false" outlineLevel="0" collapsed="false">
      <c r="A239" s="7" t="s">
        <v>286</v>
      </c>
      <c r="B239" s="13" t="n">
        <v>22</v>
      </c>
      <c r="C239" s="7" t="s">
        <v>504</v>
      </c>
      <c r="D239" s="7" t="s">
        <v>235</v>
      </c>
      <c r="E239" s="7" t="s">
        <v>333</v>
      </c>
      <c r="F239" s="13" t="n">
        <v>3</v>
      </c>
      <c r="G239" s="7" t="s">
        <v>334</v>
      </c>
      <c r="H239" s="7" t="s">
        <v>513</v>
      </c>
    </row>
    <row r="240" customFormat="false" ht="15" hidden="false" customHeight="false" outlineLevel="0" collapsed="false">
      <c r="A240" s="7" t="s">
        <v>286</v>
      </c>
      <c r="B240" s="13" t="n">
        <v>23</v>
      </c>
      <c r="C240" s="7" t="s">
        <v>504</v>
      </c>
      <c r="D240" s="7" t="s">
        <v>235</v>
      </c>
      <c r="E240" s="7" t="s">
        <v>335</v>
      </c>
      <c r="F240" s="13" t="n">
        <v>6</v>
      </c>
      <c r="G240" s="7" t="s">
        <v>336</v>
      </c>
      <c r="H240" s="7" t="s">
        <v>513</v>
      </c>
    </row>
    <row r="241" customFormat="false" ht="15" hidden="false" customHeight="false" outlineLevel="0" collapsed="false">
      <c r="A241" s="7" t="s">
        <v>286</v>
      </c>
      <c r="B241" s="13" t="n">
        <v>24</v>
      </c>
      <c r="C241" s="7" t="s">
        <v>504</v>
      </c>
      <c r="D241" s="7" t="s">
        <v>235</v>
      </c>
      <c r="E241" s="7" t="s">
        <v>337</v>
      </c>
      <c r="F241" s="13" t="n">
        <v>4</v>
      </c>
      <c r="G241" s="7" t="s">
        <v>338</v>
      </c>
      <c r="H241" s="7" t="s">
        <v>513</v>
      </c>
    </row>
    <row r="242" customFormat="false" ht="15" hidden="false" customHeight="false" outlineLevel="0" collapsed="false">
      <c r="A242" s="7" t="s">
        <v>286</v>
      </c>
      <c r="B242" s="13" t="n">
        <v>25</v>
      </c>
      <c r="C242" s="7" t="s">
        <v>504</v>
      </c>
      <c r="D242" s="7" t="s">
        <v>235</v>
      </c>
      <c r="E242" s="7" t="s">
        <v>339</v>
      </c>
      <c r="F242" s="13" t="n">
        <v>8</v>
      </c>
      <c r="G242" s="7" t="s">
        <v>340</v>
      </c>
      <c r="H242" s="7" t="s">
        <v>513</v>
      </c>
    </row>
    <row r="243" customFormat="false" ht="15" hidden="false" customHeight="false" outlineLevel="0" collapsed="false">
      <c r="A243" s="7" t="s">
        <v>286</v>
      </c>
      <c r="B243" s="13" t="n">
        <v>26</v>
      </c>
      <c r="C243" s="7" t="s">
        <v>504</v>
      </c>
      <c r="D243" s="7" t="s">
        <v>235</v>
      </c>
      <c r="E243" s="7" t="s">
        <v>341</v>
      </c>
      <c r="F243" s="13" t="n">
        <v>10</v>
      </c>
      <c r="G243" s="7" t="s">
        <v>342</v>
      </c>
      <c r="H243" s="7" t="s">
        <v>513</v>
      </c>
    </row>
    <row r="244" customFormat="false" ht="15" hidden="false" customHeight="false" outlineLevel="0" collapsed="false">
      <c r="A244" s="7" t="s">
        <v>286</v>
      </c>
      <c r="B244" s="13" t="n">
        <v>27</v>
      </c>
      <c r="C244" s="7" t="s">
        <v>504</v>
      </c>
      <c r="D244" s="7" t="s">
        <v>235</v>
      </c>
      <c r="E244" s="7" t="s">
        <v>343</v>
      </c>
      <c r="F244" s="13" t="n">
        <v>6</v>
      </c>
      <c r="G244" s="7" t="s">
        <v>344</v>
      </c>
      <c r="H244" s="7" t="s">
        <v>513</v>
      </c>
    </row>
    <row r="245" customFormat="false" ht="15" hidden="false" customHeight="false" outlineLevel="0" collapsed="false">
      <c r="A245" s="7" t="s">
        <v>286</v>
      </c>
      <c r="B245" s="13" t="n">
        <v>28</v>
      </c>
      <c r="C245" s="7" t="s">
        <v>504</v>
      </c>
      <c r="D245" s="7" t="s">
        <v>235</v>
      </c>
      <c r="E245" s="7" t="s">
        <v>345</v>
      </c>
      <c r="F245" s="13" t="n">
        <v>4</v>
      </c>
      <c r="G245" s="7" t="s">
        <v>346</v>
      </c>
      <c r="H245" s="7" t="s">
        <v>513</v>
      </c>
    </row>
    <row r="246" customFormat="false" ht="15" hidden="false" customHeight="false" outlineLevel="0" collapsed="false">
      <c r="A246" s="7" t="s">
        <v>286</v>
      </c>
      <c r="B246" s="13" t="n">
        <v>29</v>
      </c>
      <c r="C246" s="7" t="s">
        <v>504</v>
      </c>
      <c r="D246" s="7" t="s">
        <v>235</v>
      </c>
      <c r="E246" s="7" t="s">
        <v>347</v>
      </c>
      <c r="F246" s="13" t="n">
        <v>3</v>
      </c>
      <c r="G246" s="7" t="s">
        <v>348</v>
      </c>
      <c r="H246" s="7" t="s">
        <v>513</v>
      </c>
    </row>
    <row r="247" customFormat="false" ht="15" hidden="false" customHeight="false" outlineLevel="0" collapsed="false">
      <c r="A247" s="7" t="s">
        <v>286</v>
      </c>
      <c r="B247" s="13" t="n">
        <v>30</v>
      </c>
      <c r="C247" s="7" t="s">
        <v>504</v>
      </c>
      <c r="D247" s="7" t="s">
        <v>235</v>
      </c>
      <c r="E247" s="7" t="s">
        <v>349</v>
      </c>
      <c r="F247" s="13" t="n">
        <v>3</v>
      </c>
      <c r="G247" s="7" t="s">
        <v>350</v>
      </c>
      <c r="H247" s="7" t="s">
        <v>513</v>
      </c>
    </row>
    <row r="248" customFormat="false" ht="15" hidden="false" customHeight="false" outlineLevel="0" collapsed="false">
      <c r="A248" s="7" t="s">
        <v>286</v>
      </c>
      <c r="B248" s="13" t="n">
        <v>31</v>
      </c>
      <c r="C248" s="7" t="s">
        <v>504</v>
      </c>
      <c r="D248" s="7" t="s">
        <v>235</v>
      </c>
      <c r="E248" s="7" t="s">
        <v>351</v>
      </c>
      <c r="F248" s="13" t="n">
        <v>6</v>
      </c>
      <c r="G248" s="7" t="s">
        <v>352</v>
      </c>
      <c r="H248" s="7" t="s">
        <v>513</v>
      </c>
    </row>
    <row r="249" customFormat="false" ht="15" hidden="false" customHeight="false" outlineLevel="0" collapsed="false">
      <c r="A249" s="7" t="s">
        <v>286</v>
      </c>
      <c r="B249" s="13" t="n">
        <v>32</v>
      </c>
      <c r="C249" s="7" t="s">
        <v>504</v>
      </c>
      <c r="D249" s="7" t="s">
        <v>235</v>
      </c>
      <c r="E249" s="7" t="s">
        <v>353</v>
      </c>
      <c r="F249" s="13" t="n">
        <v>4</v>
      </c>
      <c r="G249" s="7" t="s">
        <v>354</v>
      </c>
      <c r="H249" s="7" t="s">
        <v>513</v>
      </c>
    </row>
    <row r="250" customFormat="false" ht="15" hidden="false" customHeight="false" outlineLevel="0" collapsed="false">
      <c r="A250" s="7" t="s">
        <v>286</v>
      </c>
      <c r="B250" s="13" t="n">
        <v>33</v>
      </c>
      <c r="C250" s="7" t="s">
        <v>504</v>
      </c>
      <c r="D250" s="7" t="s">
        <v>235</v>
      </c>
      <c r="E250" s="7" t="s">
        <v>355</v>
      </c>
      <c r="F250" s="13" t="n">
        <v>5</v>
      </c>
      <c r="G250" s="7" t="s">
        <v>356</v>
      </c>
      <c r="H250" s="7" t="s">
        <v>513</v>
      </c>
    </row>
    <row r="251" customFormat="false" ht="15" hidden="false" customHeight="false" outlineLevel="0" collapsed="false">
      <c r="A251" s="7" t="s">
        <v>286</v>
      </c>
      <c r="B251" s="13" t="n">
        <v>34</v>
      </c>
      <c r="C251" s="7" t="s">
        <v>504</v>
      </c>
      <c r="D251" s="7" t="s">
        <v>235</v>
      </c>
      <c r="E251" s="7" t="s">
        <v>357</v>
      </c>
      <c r="F251" s="13" t="n">
        <v>3</v>
      </c>
      <c r="G251" s="7" t="s">
        <v>358</v>
      </c>
      <c r="H251" s="7" t="s">
        <v>513</v>
      </c>
    </row>
    <row r="252" customFormat="false" ht="15" hidden="false" customHeight="false" outlineLevel="0" collapsed="false">
      <c r="A252" s="7" t="s">
        <v>286</v>
      </c>
      <c r="B252" s="13" t="n">
        <v>35</v>
      </c>
      <c r="C252" s="7" t="s">
        <v>504</v>
      </c>
      <c r="D252" s="7" t="s">
        <v>235</v>
      </c>
      <c r="E252" s="7" t="s">
        <v>359</v>
      </c>
      <c r="F252" s="13" t="n">
        <v>8</v>
      </c>
      <c r="G252" s="7" t="s">
        <v>360</v>
      </c>
      <c r="H252" s="7" t="s">
        <v>513</v>
      </c>
    </row>
    <row r="253" customFormat="false" ht="15" hidden="false" customHeight="false" outlineLevel="0" collapsed="false">
      <c r="A253" s="7" t="s">
        <v>286</v>
      </c>
      <c r="B253" s="13" t="n">
        <v>36</v>
      </c>
      <c r="C253" s="7" t="s">
        <v>504</v>
      </c>
      <c r="D253" s="7" t="s">
        <v>235</v>
      </c>
      <c r="E253" s="7" t="s">
        <v>361</v>
      </c>
      <c r="F253" s="13" t="n">
        <v>8</v>
      </c>
      <c r="G253" s="7" t="s">
        <v>362</v>
      </c>
      <c r="H253" s="7" t="s">
        <v>513</v>
      </c>
    </row>
    <row r="254" customFormat="false" ht="15" hidden="false" customHeight="false" outlineLevel="0" collapsed="false">
      <c r="A254" s="7" t="s">
        <v>286</v>
      </c>
      <c r="B254" s="13" t="n">
        <v>37</v>
      </c>
      <c r="C254" s="7" t="s">
        <v>504</v>
      </c>
      <c r="D254" s="7" t="s">
        <v>235</v>
      </c>
      <c r="E254" s="7" t="s">
        <v>363</v>
      </c>
      <c r="F254" s="13" t="n">
        <v>10</v>
      </c>
      <c r="G254" s="7" t="s">
        <v>364</v>
      </c>
      <c r="H254" s="7" t="s">
        <v>513</v>
      </c>
    </row>
    <row r="255" customFormat="false" ht="15" hidden="false" customHeight="false" outlineLevel="0" collapsed="false">
      <c r="A255" s="7" t="s">
        <v>286</v>
      </c>
      <c r="B255" s="13" t="n">
        <v>38</v>
      </c>
      <c r="C255" s="7" t="s">
        <v>504</v>
      </c>
      <c r="D255" s="7" t="s">
        <v>235</v>
      </c>
      <c r="E255" s="7" t="s">
        <v>365</v>
      </c>
      <c r="F255" s="13" t="n">
        <v>10</v>
      </c>
      <c r="G255" s="7" t="s">
        <v>364</v>
      </c>
      <c r="H255" s="7" t="s">
        <v>513</v>
      </c>
    </row>
    <row r="256" customFormat="false" ht="15" hidden="false" customHeight="false" outlineLevel="0" collapsed="false">
      <c r="A256" s="7" t="s">
        <v>286</v>
      </c>
      <c r="B256" s="13" t="n">
        <v>39</v>
      </c>
      <c r="C256" s="7" t="s">
        <v>504</v>
      </c>
      <c r="D256" s="7" t="s">
        <v>240</v>
      </c>
      <c r="E256" s="7" t="s">
        <v>366</v>
      </c>
      <c r="F256" s="13" t="n">
        <v>8</v>
      </c>
      <c r="G256" s="7" t="s">
        <v>367</v>
      </c>
      <c r="H256" s="7" t="s">
        <v>513</v>
      </c>
    </row>
    <row r="257" customFormat="false" ht="15" hidden="false" customHeight="false" outlineLevel="0" collapsed="false">
      <c r="A257" s="7" t="s">
        <v>286</v>
      </c>
      <c r="B257" s="13" t="n">
        <v>40</v>
      </c>
      <c r="C257" s="7" t="s">
        <v>504</v>
      </c>
      <c r="D257" s="7" t="s">
        <v>240</v>
      </c>
      <c r="E257" s="7" t="s">
        <v>368</v>
      </c>
      <c r="F257" s="13" t="n">
        <v>6</v>
      </c>
      <c r="G257" s="7" t="s">
        <v>369</v>
      </c>
      <c r="H257" s="7" t="s">
        <v>513</v>
      </c>
    </row>
    <row r="258" customFormat="false" ht="15" hidden="false" customHeight="false" outlineLevel="0" collapsed="false">
      <c r="A258" s="7" t="s">
        <v>286</v>
      </c>
      <c r="B258" s="13" t="n">
        <v>41</v>
      </c>
      <c r="C258" s="7" t="s">
        <v>504</v>
      </c>
      <c r="D258" s="7" t="s">
        <v>240</v>
      </c>
      <c r="E258" s="7" t="s">
        <v>370</v>
      </c>
      <c r="F258" s="13" t="n">
        <v>6</v>
      </c>
      <c r="G258" s="7" t="s">
        <v>371</v>
      </c>
      <c r="H258" s="7" t="s">
        <v>513</v>
      </c>
    </row>
    <row r="259" customFormat="false" ht="15" hidden="false" customHeight="false" outlineLevel="0" collapsed="false">
      <c r="A259" s="7" t="s">
        <v>286</v>
      </c>
      <c r="B259" s="13" t="n">
        <v>42</v>
      </c>
      <c r="C259" s="7" t="s">
        <v>504</v>
      </c>
      <c r="D259" s="7" t="s">
        <v>240</v>
      </c>
      <c r="E259" s="7" t="s">
        <v>372</v>
      </c>
      <c r="F259" s="13" t="n">
        <v>6</v>
      </c>
      <c r="G259" s="7" t="s">
        <v>373</v>
      </c>
      <c r="H259" s="7" t="s">
        <v>513</v>
      </c>
    </row>
    <row r="260" customFormat="false" ht="15" hidden="false" customHeight="false" outlineLevel="0" collapsed="false">
      <c r="A260" s="7" t="s">
        <v>286</v>
      </c>
      <c r="B260" s="13" t="n">
        <v>43</v>
      </c>
      <c r="C260" s="7" t="s">
        <v>504</v>
      </c>
      <c r="D260" s="7" t="s">
        <v>240</v>
      </c>
      <c r="E260" s="7" t="s">
        <v>374</v>
      </c>
      <c r="F260" s="13" t="n">
        <v>8</v>
      </c>
      <c r="G260" s="7" t="s">
        <v>375</v>
      </c>
      <c r="H260" s="7" t="s">
        <v>513</v>
      </c>
    </row>
    <row r="261" customFormat="false" ht="15" hidden="false" customHeight="false" outlineLevel="0" collapsed="false">
      <c r="A261" s="7" t="s">
        <v>286</v>
      </c>
      <c r="B261" s="13" t="n">
        <v>44</v>
      </c>
      <c r="C261" s="7" t="s">
        <v>504</v>
      </c>
      <c r="D261" s="7" t="s">
        <v>240</v>
      </c>
      <c r="E261" s="7" t="s">
        <v>376</v>
      </c>
      <c r="F261" s="13" t="n">
        <v>4</v>
      </c>
      <c r="G261" s="7" t="s">
        <v>377</v>
      </c>
      <c r="H261" s="7" t="s">
        <v>513</v>
      </c>
    </row>
    <row r="262" customFormat="false" ht="15" hidden="false" customHeight="false" outlineLevel="0" collapsed="false">
      <c r="A262" s="7" t="s">
        <v>286</v>
      </c>
      <c r="B262" s="13" t="n">
        <v>45</v>
      </c>
      <c r="C262" s="7" t="s">
        <v>504</v>
      </c>
      <c r="D262" s="7" t="s">
        <v>240</v>
      </c>
      <c r="E262" s="7" t="s">
        <v>378</v>
      </c>
      <c r="F262" s="13" t="n">
        <v>6</v>
      </c>
      <c r="G262" s="7" t="s">
        <v>379</v>
      </c>
      <c r="H262" s="7" t="s">
        <v>513</v>
      </c>
    </row>
    <row r="263" customFormat="false" ht="15" hidden="false" customHeight="false" outlineLevel="0" collapsed="false">
      <c r="A263" s="7" t="s">
        <v>286</v>
      </c>
      <c r="B263" s="13" t="n">
        <v>46</v>
      </c>
      <c r="C263" s="7" t="s">
        <v>504</v>
      </c>
      <c r="D263" s="7" t="s">
        <v>240</v>
      </c>
      <c r="E263" s="7" t="s">
        <v>380</v>
      </c>
      <c r="F263" s="13" t="n">
        <v>8</v>
      </c>
      <c r="G263" s="7" t="s">
        <v>381</v>
      </c>
      <c r="H263" s="7" t="s">
        <v>513</v>
      </c>
    </row>
    <row r="264" customFormat="false" ht="15" hidden="false" customHeight="false" outlineLevel="0" collapsed="false">
      <c r="A264" s="7" t="s">
        <v>286</v>
      </c>
      <c r="B264" s="13" t="n">
        <v>47</v>
      </c>
      <c r="C264" s="7" t="s">
        <v>504</v>
      </c>
      <c r="D264" s="7" t="s">
        <v>246</v>
      </c>
      <c r="E264" s="7" t="s">
        <v>382</v>
      </c>
      <c r="F264" s="13" t="n">
        <v>4</v>
      </c>
      <c r="G264" s="7" t="s">
        <v>383</v>
      </c>
      <c r="H264" s="7" t="s">
        <v>513</v>
      </c>
    </row>
    <row r="265" customFormat="false" ht="15" hidden="false" customHeight="false" outlineLevel="0" collapsed="false">
      <c r="A265" s="7" t="s">
        <v>286</v>
      </c>
      <c r="B265" s="13" t="n">
        <v>48</v>
      </c>
      <c r="C265" s="7" t="s">
        <v>504</v>
      </c>
      <c r="D265" s="7" t="s">
        <v>246</v>
      </c>
      <c r="E265" s="7" t="s">
        <v>384</v>
      </c>
      <c r="F265" s="13" t="n">
        <v>4</v>
      </c>
      <c r="G265" s="7" t="s">
        <v>385</v>
      </c>
      <c r="H265" s="7" t="s">
        <v>513</v>
      </c>
    </row>
    <row r="266" customFormat="false" ht="15" hidden="false" customHeight="false" outlineLevel="0" collapsed="false">
      <c r="A266" s="7" t="s">
        <v>286</v>
      </c>
      <c r="B266" s="13" t="n">
        <v>49</v>
      </c>
      <c r="C266" s="7" t="s">
        <v>504</v>
      </c>
      <c r="D266" s="7" t="s">
        <v>246</v>
      </c>
      <c r="E266" s="7" t="s">
        <v>386</v>
      </c>
      <c r="F266" s="13" t="n">
        <v>10</v>
      </c>
      <c r="G266" s="7" t="s">
        <v>387</v>
      </c>
      <c r="H266" s="7" t="s">
        <v>513</v>
      </c>
    </row>
    <row r="267" customFormat="false" ht="15" hidden="false" customHeight="false" outlineLevel="0" collapsed="false">
      <c r="A267" s="7" t="s">
        <v>286</v>
      </c>
      <c r="B267" s="13" t="n">
        <v>50</v>
      </c>
      <c r="C267" s="7" t="s">
        <v>504</v>
      </c>
      <c r="D267" s="7" t="s">
        <v>246</v>
      </c>
      <c r="E267" s="7" t="s">
        <v>388</v>
      </c>
      <c r="F267" s="13" t="n">
        <v>6</v>
      </c>
      <c r="G267" s="7" t="s">
        <v>389</v>
      </c>
      <c r="H267" s="7" t="s">
        <v>513</v>
      </c>
    </row>
    <row r="268" customFormat="false" ht="15" hidden="false" customHeight="false" outlineLevel="0" collapsed="false">
      <c r="A268" s="7" t="s">
        <v>286</v>
      </c>
      <c r="B268" s="13" t="n">
        <v>51</v>
      </c>
      <c r="C268" s="7" t="s">
        <v>504</v>
      </c>
      <c r="D268" s="7" t="s">
        <v>246</v>
      </c>
      <c r="E268" s="7" t="s">
        <v>390</v>
      </c>
      <c r="F268" s="13" t="n">
        <v>6</v>
      </c>
      <c r="G268" s="7" t="s">
        <v>391</v>
      </c>
      <c r="H268" s="7" t="s">
        <v>513</v>
      </c>
    </row>
    <row r="269" customFormat="false" ht="15" hidden="false" customHeight="false" outlineLevel="0" collapsed="false">
      <c r="A269" s="7" t="s">
        <v>286</v>
      </c>
      <c r="B269" s="13" t="n">
        <v>52</v>
      </c>
      <c r="C269" s="7" t="s">
        <v>504</v>
      </c>
      <c r="D269" s="7" t="s">
        <v>246</v>
      </c>
      <c r="E269" s="7" t="s">
        <v>392</v>
      </c>
      <c r="F269" s="13" t="n">
        <v>6</v>
      </c>
      <c r="G269" s="7" t="s">
        <v>393</v>
      </c>
      <c r="H269" s="7" t="s">
        <v>513</v>
      </c>
    </row>
    <row r="270" customFormat="false" ht="15" hidden="false" customHeight="false" outlineLevel="0" collapsed="false">
      <c r="A270" s="7" t="s">
        <v>286</v>
      </c>
      <c r="B270" s="13" t="n">
        <v>53</v>
      </c>
      <c r="C270" s="7" t="s">
        <v>504</v>
      </c>
      <c r="D270" s="7" t="s">
        <v>394</v>
      </c>
      <c r="E270" s="7" t="s">
        <v>395</v>
      </c>
      <c r="F270" s="13" t="n">
        <v>8</v>
      </c>
      <c r="G270" s="7" t="s">
        <v>396</v>
      </c>
      <c r="H270" s="7" t="s">
        <v>513</v>
      </c>
    </row>
    <row r="271" customFormat="false" ht="15" hidden="false" customHeight="false" outlineLevel="0" collapsed="false">
      <c r="A271" s="7" t="s">
        <v>286</v>
      </c>
      <c r="B271" s="13" t="n">
        <v>54</v>
      </c>
      <c r="C271" s="7" t="s">
        <v>504</v>
      </c>
      <c r="D271" s="7" t="s">
        <v>394</v>
      </c>
      <c r="E271" s="7" t="s">
        <v>397</v>
      </c>
      <c r="F271" s="13" t="n">
        <v>4</v>
      </c>
      <c r="G271" s="7" t="s">
        <v>398</v>
      </c>
      <c r="H271" s="7" t="s">
        <v>513</v>
      </c>
    </row>
    <row r="272" customFormat="false" ht="15" hidden="false" customHeight="false" outlineLevel="0" collapsed="false">
      <c r="A272" s="7" t="s">
        <v>286</v>
      </c>
      <c r="B272" s="13" t="n">
        <v>55</v>
      </c>
      <c r="C272" s="7" t="s">
        <v>504</v>
      </c>
      <c r="D272" s="7" t="s">
        <v>394</v>
      </c>
      <c r="E272" s="7" t="s">
        <v>399</v>
      </c>
      <c r="F272" s="13" t="n">
        <v>4</v>
      </c>
      <c r="G272" s="7" t="s">
        <v>400</v>
      </c>
      <c r="H272" s="7" t="s">
        <v>513</v>
      </c>
    </row>
    <row r="273" customFormat="false" ht="15" hidden="false" customHeight="false" outlineLevel="0" collapsed="false">
      <c r="A273" s="7" t="s">
        <v>286</v>
      </c>
      <c r="B273" s="13" t="n">
        <v>56</v>
      </c>
      <c r="C273" s="7" t="s">
        <v>504</v>
      </c>
      <c r="D273" s="7" t="s">
        <v>394</v>
      </c>
      <c r="E273" s="7" t="s">
        <v>401</v>
      </c>
      <c r="F273" s="13" t="n">
        <v>5</v>
      </c>
      <c r="G273" s="7" t="s">
        <v>402</v>
      </c>
      <c r="H273" s="7" t="s">
        <v>513</v>
      </c>
    </row>
    <row r="274" customFormat="false" ht="15" hidden="false" customHeight="false" outlineLevel="0" collapsed="false">
      <c r="A274" s="7" t="s">
        <v>286</v>
      </c>
      <c r="B274" s="13" t="n">
        <v>57</v>
      </c>
      <c r="C274" s="7" t="s">
        <v>504</v>
      </c>
      <c r="D274" s="7" t="s">
        <v>394</v>
      </c>
      <c r="E274" s="7" t="s">
        <v>403</v>
      </c>
      <c r="F274" s="13" t="n">
        <v>8</v>
      </c>
      <c r="G274" s="7" t="s">
        <v>404</v>
      </c>
      <c r="H274" s="7" t="s">
        <v>513</v>
      </c>
    </row>
    <row r="275" customFormat="false" ht="15" hidden="false" customHeight="false" outlineLevel="0" collapsed="false">
      <c r="A275" s="7" t="s">
        <v>286</v>
      </c>
      <c r="B275" s="13" t="n">
        <v>58</v>
      </c>
      <c r="C275" s="7" t="s">
        <v>504</v>
      </c>
      <c r="D275" s="7" t="s">
        <v>394</v>
      </c>
      <c r="E275" s="7" t="s">
        <v>405</v>
      </c>
      <c r="F275" s="13" t="n">
        <v>3</v>
      </c>
      <c r="G275" s="7" t="s">
        <v>406</v>
      </c>
      <c r="H275" s="7" t="s">
        <v>513</v>
      </c>
    </row>
    <row r="276" customFormat="false" ht="15" hidden="false" customHeight="false" outlineLevel="0" collapsed="false">
      <c r="A276" s="7" t="s">
        <v>286</v>
      </c>
      <c r="B276" s="13" t="n">
        <v>59</v>
      </c>
      <c r="C276" s="7" t="s">
        <v>504</v>
      </c>
      <c r="D276" s="7" t="s">
        <v>260</v>
      </c>
      <c r="E276" s="7" t="s">
        <v>407</v>
      </c>
      <c r="F276" s="13" t="n">
        <v>6</v>
      </c>
      <c r="G276" s="7" t="s">
        <v>408</v>
      </c>
      <c r="H276" s="7" t="s">
        <v>513</v>
      </c>
    </row>
    <row r="277" customFormat="false" ht="15" hidden="false" customHeight="false" outlineLevel="0" collapsed="false">
      <c r="A277" s="7" t="s">
        <v>286</v>
      </c>
      <c r="B277" s="13" t="n">
        <v>60</v>
      </c>
      <c r="C277" s="7" t="s">
        <v>504</v>
      </c>
      <c r="D277" s="7" t="s">
        <v>260</v>
      </c>
      <c r="E277" s="7" t="s">
        <v>409</v>
      </c>
      <c r="F277" s="13" t="n">
        <v>4</v>
      </c>
      <c r="G277" s="7" t="s">
        <v>410</v>
      </c>
      <c r="H277" s="7" t="s">
        <v>513</v>
      </c>
    </row>
    <row r="278" customFormat="false" ht="15" hidden="false" customHeight="false" outlineLevel="0" collapsed="false">
      <c r="A278" s="7" t="s">
        <v>286</v>
      </c>
      <c r="B278" s="13" t="n">
        <v>61</v>
      </c>
      <c r="C278" s="7" t="s">
        <v>504</v>
      </c>
      <c r="D278" s="7" t="s">
        <v>266</v>
      </c>
      <c r="E278" s="7" t="s">
        <v>411</v>
      </c>
      <c r="F278" s="13" t="n">
        <v>5</v>
      </c>
      <c r="G278" s="7" t="s">
        <v>412</v>
      </c>
      <c r="H278" s="7" t="s">
        <v>513</v>
      </c>
    </row>
    <row r="279" customFormat="false" ht="15" hidden="false" customHeight="false" outlineLevel="0" collapsed="false">
      <c r="A279" s="7" t="s">
        <v>286</v>
      </c>
      <c r="B279" s="13" t="n">
        <v>62</v>
      </c>
      <c r="C279" s="7" t="s">
        <v>504</v>
      </c>
      <c r="D279" s="7" t="s">
        <v>266</v>
      </c>
      <c r="E279" s="7" t="s">
        <v>413</v>
      </c>
      <c r="F279" s="13" t="n">
        <v>8</v>
      </c>
      <c r="G279" s="7" t="s">
        <v>414</v>
      </c>
      <c r="H279" s="7" t="s">
        <v>513</v>
      </c>
    </row>
    <row r="280" customFormat="false" ht="15" hidden="false" customHeight="false" outlineLevel="0" collapsed="false">
      <c r="A280" s="7" t="s">
        <v>286</v>
      </c>
      <c r="B280" s="13" t="n">
        <v>63</v>
      </c>
      <c r="C280" s="7" t="s">
        <v>504</v>
      </c>
      <c r="D280" s="7" t="s">
        <v>266</v>
      </c>
      <c r="E280" s="7" t="s">
        <v>415</v>
      </c>
      <c r="F280" s="13" t="n">
        <v>5</v>
      </c>
      <c r="G280" s="7" t="s">
        <v>416</v>
      </c>
      <c r="H280" s="7" t="s">
        <v>513</v>
      </c>
    </row>
    <row r="281" customFormat="false" ht="15" hidden="false" customHeight="false" outlineLevel="0" collapsed="false">
      <c r="A281" s="7" t="s">
        <v>286</v>
      </c>
      <c r="B281" s="13" t="n">
        <v>64</v>
      </c>
      <c r="C281" s="7" t="s">
        <v>504</v>
      </c>
      <c r="D281" s="7" t="s">
        <v>266</v>
      </c>
      <c r="E281" s="7" t="s">
        <v>417</v>
      </c>
      <c r="F281" s="13" t="n">
        <v>4</v>
      </c>
      <c r="G281" s="7" t="s">
        <v>418</v>
      </c>
      <c r="H281" s="7" t="s">
        <v>513</v>
      </c>
    </row>
    <row r="282" customFormat="false" ht="15" hidden="false" customHeight="false" outlineLevel="0" collapsed="false">
      <c r="A282" s="7" t="s">
        <v>286</v>
      </c>
      <c r="B282" s="13" t="n">
        <v>65</v>
      </c>
      <c r="C282" s="7" t="s">
        <v>504</v>
      </c>
      <c r="D282" s="7" t="s">
        <v>271</v>
      </c>
      <c r="E282" s="7" t="s">
        <v>419</v>
      </c>
      <c r="F282" s="13" t="n">
        <v>4</v>
      </c>
      <c r="G282" s="7" t="s">
        <v>420</v>
      </c>
      <c r="H282" s="7" t="s">
        <v>513</v>
      </c>
    </row>
    <row r="283" customFormat="false" ht="15" hidden="false" customHeight="false" outlineLevel="0" collapsed="false">
      <c r="A283" s="7" t="s">
        <v>286</v>
      </c>
      <c r="B283" s="13" t="n">
        <v>66</v>
      </c>
      <c r="C283" s="7" t="s">
        <v>504</v>
      </c>
      <c r="D283" s="7" t="s">
        <v>271</v>
      </c>
      <c r="E283" s="7" t="s">
        <v>421</v>
      </c>
      <c r="F283" s="13" t="n">
        <v>5</v>
      </c>
      <c r="G283" s="7" t="s">
        <v>422</v>
      </c>
      <c r="H283" s="7" t="s">
        <v>513</v>
      </c>
    </row>
    <row r="284" customFormat="false" ht="15" hidden="false" customHeight="false" outlineLevel="0" collapsed="false">
      <c r="A284" s="7" t="s">
        <v>286</v>
      </c>
      <c r="B284" s="13" t="n">
        <v>67</v>
      </c>
      <c r="C284" s="7" t="s">
        <v>504</v>
      </c>
      <c r="D284" s="7" t="s">
        <v>276</v>
      </c>
      <c r="E284" s="7" t="s">
        <v>423</v>
      </c>
      <c r="F284" s="13" t="n">
        <v>20</v>
      </c>
      <c r="G284" s="7" t="s">
        <v>424</v>
      </c>
      <c r="H284" s="7" t="s">
        <v>513</v>
      </c>
    </row>
    <row r="285" customFormat="false" ht="15" hidden="false" customHeight="false" outlineLevel="0" collapsed="false">
      <c r="A285" s="7" t="s">
        <v>286</v>
      </c>
      <c r="B285" s="13" t="n">
        <v>68</v>
      </c>
      <c r="C285" s="7" t="s">
        <v>504</v>
      </c>
      <c r="D285" s="7" t="s">
        <v>276</v>
      </c>
      <c r="E285" s="7" t="s">
        <v>425</v>
      </c>
      <c r="F285" s="13" t="n">
        <v>4</v>
      </c>
      <c r="G285" s="7" t="s">
        <v>426</v>
      </c>
      <c r="H285" s="7" t="s">
        <v>513</v>
      </c>
    </row>
    <row r="286" customFormat="false" ht="15" hidden="false" customHeight="false" outlineLevel="0" collapsed="false">
      <c r="A286" s="7" t="s">
        <v>286</v>
      </c>
      <c r="B286" s="13" t="n">
        <v>69</v>
      </c>
      <c r="C286" s="7" t="s">
        <v>504</v>
      </c>
      <c r="D286" s="7" t="s">
        <v>276</v>
      </c>
      <c r="E286" s="7" t="s">
        <v>427</v>
      </c>
      <c r="F286" s="13" t="n">
        <v>3</v>
      </c>
      <c r="G286" s="7" t="s">
        <v>428</v>
      </c>
      <c r="H286" s="7" t="s">
        <v>513</v>
      </c>
    </row>
    <row r="287" customFormat="false" ht="15" hidden="false" customHeight="false" outlineLevel="0" collapsed="false">
      <c r="A287" s="7" t="s">
        <v>286</v>
      </c>
      <c r="B287" s="13" t="n">
        <v>70</v>
      </c>
      <c r="C287" s="7" t="s">
        <v>504</v>
      </c>
      <c r="D287" s="7" t="s">
        <v>276</v>
      </c>
      <c r="E287" s="7" t="s">
        <v>429</v>
      </c>
      <c r="F287" s="13" t="n">
        <v>6</v>
      </c>
      <c r="G287" s="7" t="s">
        <v>430</v>
      </c>
      <c r="H287" s="7" t="s">
        <v>513</v>
      </c>
    </row>
    <row r="288" customFormat="false" ht="15" hidden="false" customHeight="false" outlineLevel="0" collapsed="false">
      <c r="A288" s="7" t="s">
        <v>286</v>
      </c>
      <c r="B288" s="13" t="n">
        <v>71</v>
      </c>
      <c r="C288" s="7" t="s">
        <v>504</v>
      </c>
      <c r="D288" s="7" t="s">
        <v>276</v>
      </c>
      <c r="E288" s="7" t="s">
        <v>431</v>
      </c>
      <c r="F288" s="13" t="n">
        <v>10</v>
      </c>
      <c r="G288" s="7" t="s">
        <v>432</v>
      </c>
      <c r="H288" s="7" t="s">
        <v>513</v>
      </c>
    </row>
    <row r="289" customFormat="false" ht="15" hidden="false" customHeight="false" outlineLevel="0" collapsed="false">
      <c r="A289" s="7" t="s">
        <v>286</v>
      </c>
      <c r="B289" s="13" t="n">
        <v>72</v>
      </c>
      <c r="C289" s="7" t="s">
        <v>504</v>
      </c>
      <c r="D289" s="7" t="s">
        <v>246</v>
      </c>
      <c r="E289" s="7" t="s">
        <v>514</v>
      </c>
      <c r="F289" s="13" t="n">
        <v>3</v>
      </c>
      <c r="G289" s="7" t="s">
        <v>515</v>
      </c>
      <c r="H289" s="7" t="s">
        <v>513</v>
      </c>
    </row>
    <row r="290" customFormat="false" ht="15" hidden="false" customHeight="false" outlineLevel="0" collapsed="false">
      <c r="A290" s="7" t="s">
        <v>286</v>
      </c>
      <c r="B290" s="13" t="n">
        <v>73</v>
      </c>
      <c r="C290" s="7" t="s">
        <v>504</v>
      </c>
      <c r="D290" s="7" t="s">
        <v>246</v>
      </c>
      <c r="E290" s="7" t="s">
        <v>516</v>
      </c>
      <c r="F290" s="13" t="n">
        <v>3</v>
      </c>
      <c r="G290" s="7" t="s">
        <v>517</v>
      </c>
      <c r="H290" s="7" t="s">
        <v>513</v>
      </c>
    </row>
    <row r="291" customFormat="false" ht="15" hidden="false" customHeight="false" outlineLevel="0" collapsed="false">
      <c r="A291" s="7" t="s">
        <v>286</v>
      </c>
      <c r="B291" s="13" t="n">
        <v>74</v>
      </c>
      <c r="C291" s="7" t="s">
        <v>504</v>
      </c>
      <c r="D291" s="7" t="s">
        <v>246</v>
      </c>
      <c r="E291" s="7" t="s">
        <v>518</v>
      </c>
      <c r="F291" s="13" t="n">
        <v>4</v>
      </c>
      <c r="G291" s="7" t="s">
        <v>519</v>
      </c>
      <c r="H291" s="7" t="s">
        <v>513</v>
      </c>
    </row>
    <row r="292" customFormat="false" ht="15" hidden="false" customHeight="false" outlineLevel="0" collapsed="false">
      <c r="A292" s="7" t="s">
        <v>286</v>
      </c>
      <c r="B292" s="13" t="n">
        <v>75</v>
      </c>
      <c r="C292" s="7" t="s">
        <v>504</v>
      </c>
      <c r="D292" s="7" t="s">
        <v>246</v>
      </c>
      <c r="E292" s="7" t="s">
        <v>520</v>
      </c>
      <c r="F292" s="13" t="n">
        <v>4</v>
      </c>
      <c r="G292" s="7" t="s">
        <v>521</v>
      </c>
      <c r="H292" s="7" t="s">
        <v>513</v>
      </c>
    </row>
    <row r="293" customFormat="false" ht="15" hidden="false" customHeight="false" outlineLevel="0" collapsed="false">
      <c r="A293" s="7" t="s">
        <v>286</v>
      </c>
      <c r="B293" s="13" t="n">
        <v>76</v>
      </c>
      <c r="C293" s="7" t="s">
        <v>504</v>
      </c>
      <c r="D293" s="7" t="s">
        <v>246</v>
      </c>
      <c r="E293" s="7" t="s">
        <v>522</v>
      </c>
      <c r="F293" s="13" t="n">
        <v>5</v>
      </c>
      <c r="G293" s="7" t="s">
        <v>523</v>
      </c>
      <c r="H293" s="7" t="s">
        <v>513</v>
      </c>
    </row>
    <row r="294" customFormat="false" ht="15" hidden="false" customHeight="false" outlineLevel="0" collapsed="false">
      <c r="A294" s="7" t="s">
        <v>286</v>
      </c>
      <c r="B294" s="13" t="n">
        <v>77</v>
      </c>
      <c r="C294" s="7" t="s">
        <v>504</v>
      </c>
      <c r="D294" s="7" t="s">
        <v>246</v>
      </c>
      <c r="E294" s="7" t="s">
        <v>524</v>
      </c>
      <c r="F294" s="13" t="n">
        <v>3</v>
      </c>
      <c r="G294" s="7" t="s">
        <v>525</v>
      </c>
      <c r="H294" s="7" t="s">
        <v>513</v>
      </c>
    </row>
    <row r="295" customFormat="false" ht="15" hidden="false" customHeight="false" outlineLevel="0" collapsed="false">
      <c r="A295" s="7" t="s">
        <v>286</v>
      </c>
      <c r="B295" s="13" t="n">
        <v>78</v>
      </c>
      <c r="C295" s="7" t="s">
        <v>504</v>
      </c>
      <c r="D295" s="7" t="s">
        <v>266</v>
      </c>
      <c r="E295" s="7" t="s">
        <v>526</v>
      </c>
      <c r="F295" s="13" t="n">
        <v>4</v>
      </c>
      <c r="G295" s="7" t="s">
        <v>527</v>
      </c>
      <c r="H295" s="7" t="s">
        <v>513</v>
      </c>
    </row>
    <row r="296" customFormat="false" ht="15" hidden="false" customHeight="false" outlineLevel="0" collapsed="false">
      <c r="A296" s="7" t="s">
        <v>286</v>
      </c>
      <c r="B296" s="13" t="n">
        <v>79</v>
      </c>
      <c r="C296" s="7" t="s">
        <v>504</v>
      </c>
      <c r="D296" s="7" t="s">
        <v>266</v>
      </c>
      <c r="E296" s="7" t="s">
        <v>528</v>
      </c>
      <c r="F296" s="13" t="n">
        <v>6</v>
      </c>
      <c r="G296" s="7" t="s">
        <v>529</v>
      </c>
      <c r="H296" s="7" t="s">
        <v>513</v>
      </c>
    </row>
    <row r="297" customFormat="false" ht="15" hidden="false" customHeight="false" outlineLevel="0" collapsed="false">
      <c r="A297" s="7" t="s">
        <v>286</v>
      </c>
      <c r="B297" s="13" t="n">
        <v>80</v>
      </c>
      <c r="C297" s="7" t="s">
        <v>504</v>
      </c>
      <c r="D297" s="7" t="s">
        <v>266</v>
      </c>
      <c r="E297" s="7" t="s">
        <v>530</v>
      </c>
      <c r="F297" s="13" t="n">
        <v>5</v>
      </c>
      <c r="G297" s="7" t="s">
        <v>531</v>
      </c>
      <c r="H297" s="7" t="s">
        <v>513</v>
      </c>
    </row>
    <row r="298" customFormat="false" ht="15" hidden="false" customHeight="false" outlineLevel="0" collapsed="false">
      <c r="A298" s="7" t="s">
        <v>286</v>
      </c>
      <c r="B298" s="13" t="n">
        <v>81</v>
      </c>
      <c r="C298" s="7" t="s">
        <v>504</v>
      </c>
      <c r="D298" s="7" t="s">
        <v>266</v>
      </c>
      <c r="E298" s="7" t="s">
        <v>532</v>
      </c>
      <c r="F298" s="13" t="n">
        <v>5</v>
      </c>
      <c r="G298" s="7" t="s">
        <v>533</v>
      </c>
      <c r="H298" s="7" t="s">
        <v>513</v>
      </c>
    </row>
    <row r="299" customFormat="false" ht="15" hidden="false" customHeight="false" outlineLevel="0" collapsed="false">
      <c r="A299" s="7" t="s">
        <v>286</v>
      </c>
      <c r="B299" s="13" t="n">
        <v>82</v>
      </c>
      <c r="C299" s="7" t="s">
        <v>504</v>
      </c>
      <c r="D299" s="7" t="s">
        <v>266</v>
      </c>
      <c r="E299" s="7" t="s">
        <v>534</v>
      </c>
      <c r="F299" s="13" t="n">
        <v>3</v>
      </c>
      <c r="G299" s="7" t="s">
        <v>535</v>
      </c>
      <c r="H299" s="7" t="s">
        <v>513</v>
      </c>
    </row>
    <row r="300" customFormat="false" ht="15" hidden="false" customHeight="false" outlineLevel="0" collapsed="false">
      <c r="A300" s="7" t="s">
        <v>286</v>
      </c>
      <c r="B300" s="13" t="n">
        <v>83</v>
      </c>
      <c r="C300" s="7" t="s">
        <v>504</v>
      </c>
      <c r="D300" s="7" t="s">
        <v>266</v>
      </c>
      <c r="E300" s="7" t="s">
        <v>536</v>
      </c>
      <c r="F300" s="13" t="n">
        <v>4</v>
      </c>
      <c r="G300" s="7" t="s">
        <v>537</v>
      </c>
      <c r="H300" s="7" t="s">
        <v>513</v>
      </c>
    </row>
    <row r="301" customFormat="false" ht="15" hidden="false" customHeight="false" outlineLevel="0" collapsed="false">
      <c r="A301" s="7" t="s">
        <v>286</v>
      </c>
      <c r="B301" s="13" t="n">
        <v>84</v>
      </c>
      <c r="C301" s="7" t="s">
        <v>504</v>
      </c>
      <c r="D301" s="7" t="s">
        <v>276</v>
      </c>
      <c r="E301" s="7" t="s">
        <v>538</v>
      </c>
      <c r="F301" s="13" t="n">
        <v>5</v>
      </c>
      <c r="G301" s="7" t="s">
        <v>539</v>
      </c>
      <c r="H301" s="7" t="s">
        <v>513</v>
      </c>
    </row>
    <row r="302" customFormat="false" ht="15" hidden="false" customHeight="false" outlineLevel="0" collapsed="false">
      <c r="A302" s="7" t="s">
        <v>286</v>
      </c>
      <c r="B302" s="13" t="n">
        <v>85</v>
      </c>
      <c r="C302" s="7" t="s">
        <v>504</v>
      </c>
      <c r="D302" s="7" t="s">
        <v>276</v>
      </c>
      <c r="E302" s="7" t="s">
        <v>540</v>
      </c>
      <c r="F302" s="13" t="n">
        <v>3</v>
      </c>
      <c r="G302" s="7" t="s">
        <v>541</v>
      </c>
      <c r="H302" s="7" t="s">
        <v>513</v>
      </c>
    </row>
    <row r="303" customFormat="false" ht="15" hidden="false" customHeight="false" outlineLevel="0" collapsed="false">
      <c r="A303" s="7" t="s">
        <v>286</v>
      </c>
      <c r="B303" s="13" t="n">
        <v>86</v>
      </c>
      <c r="C303" s="7" t="s">
        <v>504</v>
      </c>
      <c r="D303" s="7" t="s">
        <v>276</v>
      </c>
      <c r="E303" s="7" t="s">
        <v>542</v>
      </c>
      <c r="F303" s="13" t="n">
        <v>3</v>
      </c>
      <c r="G303" s="7" t="s">
        <v>543</v>
      </c>
      <c r="H303" s="7" t="s">
        <v>513</v>
      </c>
    </row>
    <row r="304" customFormat="false" ht="15" hidden="false" customHeight="false" outlineLevel="0" collapsed="false">
      <c r="A304" s="7" t="s">
        <v>286</v>
      </c>
      <c r="B304" s="13" t="n">
        <v>87</v>
      </c>
      <c r="C304" s="7" t="s">
        <v>504</v>
      </c>
      <c r="D304" s="7" t="s">
        <v>276</v>
      </c>
      <c r="E304" s="7" t="s">
        <v>544</v>
      </c>
      <c r="F304" s="13" t="n">
        <v>6</v>
      </c>
      <c r="G304" s="7" t="s">
        <v>545</v>
      </c>
      <c r="H304" s="7" t="s">
        <v>513</v>
      </c>
    </row>
    <row r="305" customFormat="false" ht="15" hidden="false" customHeight="false" outlineLevel="0" collapsed="false">
      <c r="A305" s="7" t="s">
        <v>286</v>
      </c>
      <c r="B305" s="13" t="n">
        <v>88</v>
      </c>
      <c r="C305" s="7" t="s">
        <v>504</v>
      </c>
      <c r="D305" s="7" t="s">
        <v>276</v>
      </c>
      <c r="E305" s="7" t="s">
        <v>546</v>
      </c>
      <c r="F305" s="13" t="n">
        <v>5</v>
      </c>
      <c r="G305" s="7" t="s">
        <v>547</v>
      </c>
      <c r="H305" s="7" t="s">
        <v>513</v>
      </c>
    </row>
    <row r="306" customFormat="false" ht="15" hidden="false" customHeight="false" outlineLevel="0" collapsed="false">
      <c r="A306" s="7" t="s">
        <v>286</v>
      </c>
      <c r="B306" s="13" t="n">
        <v>89</v>
      </c>
      <c r="C306" s="7" t="s">
        <v>504</v>
      </c>
      <c r="D306" s="7" t="s">
        <v>276</v>
      </c>
      <c r="E306" s="7" t="s">
        <v>548</v>
      </c>
      <c r="F306" s="13" t="n">
        <v>4</v>
      </c>
      <c r="G306" s="7" t="s">
        <v>549</v>
      </c>
      <c r="H306" s="7" t="s">
        <v>513</v>
      </c>
    </row>
    <row r="307" customFormat="false" ht="15" hidden="false" customHeight="false" outlineLevel="0" collapsed="false">
      <c r="A307" s="7" t="s">
        <v>286</v>
      </c>
      <c r="B307" s="13" t="n">
        <v>90</v>
      </c>
      <c r="C307" s="7" t="s">
        <v>504</v>
      </c>
      <c r="D307" s="7" t="s">
        <v>276</v>
      </c>
      <c r="E307" s="7" t="s">
        <v>550</v>
      </c>
      <c r="F307" s="13" t="n">
        <v>5</v>
      </c>
      <c r="G307" s="7" t="s">
        <v>551</v>
      </c>
      <c r="H307" s="7" t="s">
        <v>513</v>
      </c>
    </row>
    <row r="308" customFormat="false" ht="15" hidden="false" customHeight="false" outlineLevel="0" collapsed="false">
      <c r="A308" s="7" t="s">
        <v>286</v>
      </c>
      <c r="B308" s="13" t="n">
        <v>91</v>
      </c>
      <c r="C308" s="7" t="s">
        <v>504</v>
      </c>
      <c r="D308" s="7" t="s">
        <v>240</v>
      </c>
      <c r="E308" s="7" t="s">
        <v>552</v>
      </c>
      <c r="F308" s="13" t="n">
        <v>4</v>
      </c>
      <c r="G308" s="7" t="s">
        <v>553</v>
      </c>
      <c r="H308" s="7" t="s">
        <v>513</v>
      </c>
    </row>
    <row r="309" customFormat="false" ht="15" hidden="false" customHeight="false" outlineLevel="0" collapsed="false">
      <c r="A309" s="7" t="s">
        <v>286</v>
      </c>
      <c r="B309" s="13" t="n">
        <v>92</v>
      </c>
      <c r="C309" s="7" t="s">
        <v>504</v>
      </c>
      <c r="D309" s="7" t="s">
        <v>240</v>
      </c>
      <c r="E309" s="7" t="s">
        <v>554</v>
      </c>
      <c r="F309" s="13" t="n">
        <v>4</v>
      </c>
      <c r="G309" s="7" t="s">
        <v>555</v>
      </c>
      <c r="H309" s="7" t="s">
        <v>513</v>
      </c>
    </row>
    <row r="310" customFormat="false" ht="15" hidden="false" customHeight="false" outlineLevel="0" collapsed="false">
      <c r="A310" s="7" t="s">
        <v>286</v>
      </c>
      <c r="B310" s="13" t="n">
        <v>93</v>
      </c>
      <c r="C310" s="7" t="s">
        <v>504</v>
      </c>
      <c r="D310" s="7" t="s">
        <v>240</v>
      </c>
      <c r="E310" s="7" t="s">
        <v>556</v>
      </c>
      <c r="F310" s="13" t="n">
        <v>3</v>
      </c>
      <c r="G310" s="7" t="s">
        <v>557</v>
      </c>
      <c r="H310" s="7" t="s">
        <v>513</v>
      </c>
    </row>
    <row r="311" customFormat="false" ht="15" hidden="false" customHeight="false" outlineLevel="0" collapsed="false">
      <c r="A311" s="7" t="s">
        <v>286</v>
      </c>
      <c r="B311" s="13" t="n">
        <v>94</v>
      </c>
      <c r="C311" s="7" t="s">
        <v>504</v>
      </c>
      <c r="D311" s="7" t="s">
        <v>240</v>
      </c>
      <c r="E311" s="7" t="s">
        <v>558</v>
      </c>
      <c r="F311" s="13" t="n">
        <v>5</v>
      </c>
      <c r="G311" s="7" t="s">
        <v>559</v>
      </c>
      <c r="H311" s="7" t="s">
        <v>513</v>
      </c>
    </row>
    <row r="312" customFormat="false" ht="15" hidden="false" customHeight="false" outlineLevel="0" collapsed="false">
      <c r="A312" s="7" t="s">
        <v>286</v>
      </c>
      <c r="B312" s="13" t="n">
        <v>95</v>
      </c>
      <c r="C312" s="7" t="s">
        <v>504</v>
      </c>
      <c r="D312" s="7" t="s">
        <v>290</v>
      </c>
      <c r="E312" s="7" t="s">
        <v>560</v>
      </c>
      <c r="F312" s="13" t="n">
        <v>3</v>
      </c>
      <c r="G312" s="7" t="s">
        <v>561</v>
      </c>
      <c r="H312" s="7" t="s">
        <v>513</v>
      </c>
    </row>
    <row r="313" customFormat="false" ht="15" hidden="false" customHeight="false" outlineLevel="0" collapsed="false">
      <c r="A313" s="7" t="s">
        <v>286</v>
      </c>
      <c r="B313" s="13" t="n">
        <v>96</v>
      </c>
      <c r="C313" s="7" t="s">
        <v>504</v>
      </c>
      <c r="D313" s="7" t="s">
        <v>290</v>
      </c>
      <c r="E313" s="7" t="s">
        <v>562</v>
      </c>
      <c r="F313" s="13" t="n">
        <v>3</v>
      </c>
      <c r="G313" s="7" t="s">
        <v>563</v>
      </c>
      <c r="H313" s="7" t="s">
        <v>513</v>
      </c>
    </row>
    <row r="314" customFormat="false" ht="15" hidden="false" customHeight="false" outlineLevel="0" collapsed="false">
      <c r="A314" s="7" t="s">
        <v>286</v>
      </c>
      <c r="B314" s="13" t="n">
        <v>97</v>
      </c>
      <c r="C314" s="7" t="s">
        <v>504</v>
      </c>
      <c r="D314" s="7" t="s">
        <v>290</v>
      </c>
      <c r="E314" s="7" t="s">
        <v>564</v>
      </c>
      <c r="F314" s="13" t="n">
        <v>4</v>
      </c>
      <c r="G314" s="7" t="s">
        <v>565</v>
      </c>
      <c r="H314" s="7" t="s">
        <v>513</v>
      </c>
    </row>
    <row r="315" customFormat="false" ht="15" hidden="false" customHeight="false" outlineLevel="0" collapsed="false">
      <c r="A315" s="7" t="s">
        <v>286</v>
      </c>
      <c r="B315" s="13" t="n">
        <v>98</v>
      </c>
      <c r="C315" s="7" t="s">
        <v>504</v>
      </c>
      <c r="D315" s="7" t="s">
        <v>235</v>
      </c>
      <c r="E315" s="7" t="s">
        <v>566</v>
      </c>
      <c r="F315" s="13" t="n">
        <v>3</v>
      </c>
      <c r="G315" s="7" t="s">
        <v>567</v>
      </c>
      <c r="H315" s="7" t="s">
        <v>513</v>
      </c>
    </row>
    <row r="316" customFormat="false" ht="15" hidden="false" customHeight="false" outlineLevel="0" collapsed="false">
      <c r="A316" s="7" t="s">
        <v>286</v>
      </c>
      <c r="B316" s="13" t="n">
        <v>99</v>
      </c>
      <c r="C316" s="7" t="s">
        <v>504</v>
      </c>
      <c r="D316" s="7" t="s">
        <v>235</v>
      </c>
      <c r="E316" s="7" t="s">
        <v>568</v>
      </c>
      <c r="F316" s="13" t="n">
        <v>3</v>
      </c>
      <c r="G316" s="7" t="s">
        <v>569</v>
      </c>
      <c r="H316" s="7" t="s">
        <v>513</v>
      </c>
    </row>
    <row r="317" customFormat="false" ht="15" hidden="false" customHeight="false" outlineLevel="0" collapsed="false">
      <c r="A317" s="7" t="s">
        <v>286</v>
      </c>
      <c r="B317" s="13" t="n">
        <v>100</v>
      </c>
      <c r="C317" s="7" t="s">
        <v>504</v>
      </c>
      <c r="D317" s="7" t="s">
        <v>235</v>
      </c>
      <c r="E317" s="7" t="s">
        <v>570</v>
      </c>
      <c r="F317" s="13" t="n">
        <v>4</v>
      </c>
      <c r="G317" s="7" t="s">
        <v>571</v>
      </c>
      <c r="H317" s="7" t="s">
        <v>513</v>
      </c>
    </row>
    <row r="318" customFormat="false" ht="15" hidden="false" customHeight="false" outlineLevel="0" collapsed="false">
      <c r="A318" s="7" t="s">
        <v>286</v>
      </c>
      <c r="B318" s="13" t="n">
        <v>101</v>
      </c>
      <c r="C318" s="7" t="s">
        <v>504</v>
      </c>
      <c r="D318" s="7" t="s">
        <v>235</v>
      </c>
      <c r="E318" s="7" t="s">
        <v>572</v>
      </c>
      <c r="F318" s="13" t="n">
        <v>4</v>
      </c>
      <c r="G318" s="7" t="s">
        <v>573</v>
      </c>
      <c r="H318" s="7" t="s">
        <v>513</v>
      </c>
    </row>
    <row r="319" customFormat="false" ht="15" hidden="false" customHeight="false" outlineLevel="0" collapsed="false">
      <c r="A319" s="7" t="s">
        <v>286</v>
      </c>
      <c r="B319" s="13" t="n">
        <v>102</v>
      </c>
      <c r="C319" s="7" t="s">
        <v>504</v>
      </c>
      <c r="D319" s="7" t="s">
        <v>394</v>
      </c>
      <c r="E319" s="7" t="s">
        <v>574</v>
      </c>
      <c r="F319" s="13" t="n">
        <v>3</v>
      </c>
      <c r="G319" s="7" t="s">
        <v>575</v>
      </c>
      <c r="H319" s="7" t="s">
        <v>513</v>
      </c>
    </row>
    <row r="320" customFormat="false" ht="15" hidden="false" customHeight="false" outlineLevel="0" collapsed="false">
      <c r="A320" s="7" t="s">
        <v>286</v>
      </c>
      <c r="B320" s="13" t="n">
        <v>103</v>
      </c>
      <c r="C320" s="7" t="s">
        <v>504</v>
      </c>
      <c r="D320" s="7" t="s">
        <v>394</v>
      </c>
      <c r="E320" s="7" t="s">
        <v>576</v>
      </c>
      <c r="F320" s="13" t="n">
        <v>4</v>
      </c>
      <c r="G320" s="7" t="s">
        <v>577</v>
      </c>
      <c r="H320" s="7" t="s">
        <v>513</v>
      </c>
    </row>
    <row r="321" customFormat="false" ht="15" hidden="false" customHeight="false" outlineLevel="0" collapsed="false">
      <c r="A321" s="7" t="s">
        <v>286</v>
      </c>
      <c r="B321" s="13" t="n">
        <v>104</v>
      </c>
      <c r="C321" s="7" t="s">
        <v>504</v>
      </c>
      <c r="D321" s="7" t="s">
        <v>394</v>
      </c>
      <c r="E321" s="7" t="s">
        <v>578</v>
      </c>
      <c r="F321" s="13" t="n">
        <v>4</v>
      </c>
      <c r="G321" s="7" t="s">
        <v>579</v>
      </c>
      <c r="H321" s="7" t="s">
        <v>513</v>
      </c>
    </row>
    <row r="322" customFormat="false" ht="15" hidden="false" customHeight="false" outlineLevel="0" collapsed="false">
      <c r="A322" s="7" t="s">
        <v>286</v>
      </c>
      <c r="B322" s="13" t="n">
        <v>105</v>
      </c>
      <c r="C322" s="7" t="s">
        <v>504</v>
      </c>
      <c r="D322" s="7" t="s">
        <v>394</v>
      </c>
      <c r="E322" s="7" t="s">
        <v>580</v>
      </c>
      <c r="F322" s="13" t="n">
        <v>3</v>
      </c>
      <c r="G322" s="7" t="s">
        <v>581</v>
      </c>
      <c r="H322" s="7" t="s">
        <v>513</v>
      </c>
    </row>
    <row r="323" customFormat="false" ht="15" hidden="false" customHeight="false" outlineLevel="0" collapsed="false">
      <c r="A323" s="7" t="s">
        <v>286</v>
      </c>
      <c r="B323" s="13" t="n">
        <v>106</v>
      </c>
      <c r="C323" s="7" t="s">
        <v>504</v>
      </c>
      <c r="D323" s="7" t="s">
        <v>394</v>
      </c>
      <c r="E323" s="7" t="s">
        <v>582</v>
      </c>
      <c r="F323" s="13" t="n">
        <v>4</v>
      </c>
      <c r="G323" s="7" t="s">
        <v>583</v>
      </c>
      <c r="H323" s="7" t="s">
        <v>513</v>
      </c>
    </row>
    <row r="324" customFormat="false" ht="15" hidden="false" customHeight="false" outlineLevel="0" collapsed="false">
      <c r="A324" s="7" t="s">
        <v>286</v>
      </c>
      <c r="B324" s="13" t="n">
        <v>107</v>
      </c>
      <c r="C324" s="7" t="s">
        <v>504</v>
      </c>
      <c r="D324" s="7" t="s">
        <v>260</v>
      </c>
      <c r="E324" s="7" t="s">
        <v>584</v>
      </c>
      <c r="F324" s="13" t="n">
        <v>5</v>
      </c>
      <c r="G324" s="7" t="s">
        <v>585</v>
      </c>
      <c r="H324" s="7" t="s">
        <v>513</v>
      </c>
    </row>
    <row r="325" customFormat="false" ht="15" hidden="false" customHeight="false" outlineLevel="0" collapsed="false">
      <c r="A325" s="7" t="s">
        <v>286</v>
      </c>
      <c r="B325" s="13" t="n">
        <v>108</v>
      </c>
      <c r="C325" s="7" t="s">
        <v>504</v>
      </c>
      <c r="D325" s="7" t="s">
        <v>260</v>
      </c>
      <c r="E325" s="7" t="s">
        <v>586</v>
      </c>
      <c r="F325" s="13" t="n">
        <v>4</v>
      </c>
      <c r="G325" s="7" t="s">
        <v>587</v>
      </c>
      <c r="H325" s="7" t="s">
        <v>513</v>
      </c>
    </row>
    <row r="326" customFormat="false" ht="15" hidden="false" customHeight="false" outlineLevel="0" collapsed="false">
      <c r="A326" s="7" t="s">
        <v>286</v>
      </c>
      <c r="B326" s="13" t="n">
        <v>109</v>
      </c>
      <c r="C326" s="7" t="s">
        <v>504</v>
      </c>
      <c r="D326" s="7" t="s">
        <v>260</v>
      </c>
      <c r="E326" s="7" t="s">
        <v>588</v>
      </c>
      <c r="F326" s="13" t="n">
        <v>3</v>
      </c>
      <c r="G326" s="7" t="s">
        <v>589</v>
      </c>
      <c r="H326" s="7" t="s">
        <v>513</v>
      </c>
    </row>
    <row r="327" customFormat="false" ht="15" hidden="false" customHeight="false" outlineLevel="0" collapsed="false">
      <c r="A327" s="7" t="s">
        <v>286</v>
      </c>
      <c r="B327" s="13" t="n">
        <v>110</v>
      </c>
      <c r="C327" s="7" t="s">
        <v>504</v>
      </c>
      <c r="D327" s="7" t="s">
        <v>260</v>
      </c>
      <c r="E327" s="7" t="s">
        <v>590</v>
      </c>
      <c r="F327" s="13" t="n">
        <v>3</v>
      </c>
      <c r="G327" s="7" t="s">
        <v>591</v>
      </c>
      <c r="H327" s="7" t="s">
        <v>513</v>
      </c>
    </row>
    <row r="328" customFormat="false" ht="15" hidden="false" customHeight="false" outlineLevel="0" collapsed="false">
      <c r="A328" s="7" t="s">
        <v>286</v>
      </c>
      <c r="B328" s="13" t="n">
        <v>111</v>
      </c>
      <c r="C328" s="7" t="s">
        <v>504</v>
      </c>
      <c r="D328" s="7" t="s">
        <v>260</v>
      </c>
      <c r="E328" s="7" t="s">
        <v>592</v>
      </c>
      <c r="F328" s="13" t="n">
        <v>3</v>
      </c>
      <c r="G328" s="7" t="s">
        <v>593</v>
      </c>
      <c r="H328" s="7" t="s">
        <v>513</v>
      </c>
    </row>
    <row r="329" customFormat="false" ht="15" hidden="false" customHeight="false" outlineLevel="0" collapsed="false">
      <c r="A329" s="7" t="s">
        <v>286</v>
      </c>
      <c r="B329" s="13" t="n">
        <v>112</v>
      </c>
      <c r="C329" s="7" t="s">
        <v>504</v>
      </c>
      <c r="D329" s="7" t="s">
        <v>260</v>
      </c>
      <c r="E329" s="7" t="s">
        <v>594</v>
      </c>
      <c r="F329" s="13" t="n">
        <v>3</v>
      </c>
      <c r="G329" s="7" t="s">
        <v>595</v>
      </c>
      <c r="H329" s="7" t="s">
        <v>513</v>
      </c>
    </row>
    <row r="330" customFormat="false" ht="15" hidden="false" customHeight="false" outlineLevel="0" collapsed="false">
      <c r="A330" s="7" t="s">
        <v>286</v>
      </c>
      <c r="B330" s="13" t="n">
        <v>113</v>
      </c>
      <c r="C330" s="7" t="s">
        <v>504</v>
      </c>
      <c r="D330" s="7" t="s">
        <v>260</v>
      </c>
      <c r="E330" s="7" t="s">
        <v>596</v>
      </c>
      <c r="F330" s="13" t="n">
        <v>6</v>
      </c>
      <c r="G330" s="7" t="s">
        <v>597</v>
      </c>
      <c r="H330" s="7" t="s">
        <v>513</v>
      </c>
    </row>
    <row r="331" customFormat="false" ht="15" hidden="false" customHeight="false" outlineLevel="0" collapsed="false">
      <c r="A331" s="7" t="s">
        <v>286</v>
      </c>
      <c r="B331" s="13" t="n">
        <v>114</v>
      </c>
      <c r="C331" s="7" t="s">
        <v>504</v>
      </c>
      <c r="D331" s="7" t="s">
        <v>260</v>
      </c>
      <c r="E331" s="7" t="s">
        <v>598</v>
      </c>
      <c r="F331" s="13" t="n">
        <v>3</v>
      </c>
      <c r="G331" s="7" t="s">
        <v>599</v>
      </c>
      <c r="H331" s="7" t="s">
        <v>513</v>
      </c>
    </row>
    <row r="332" customFormat="false" ht="15" hidden="false" customHeight="false" outlineLevel="0" collapsed="false">
      <c r="A332" s="7" t="s">
        <v>286</v>
      </c>
      <c r="B332" s="13" t="n">
        <v>115</v>
      </c>
      <c r="C332" s="7" t="s">
        <v>504</v>
      </c>
      <c r="D332" s="7" t="s">
        <v>271</v>
      </c>
      <c r="E332" s="7" t="s">
        <v>600</v>
      </c>
      <c r="F332" s="13" t="n">
        <v>4</v>
      </c>
      <c r="G332" s="7" t="s">
        <v>601</v>
      </c>
      <c r="H332" s="7" t="s">
        <v>513</v>
      </c>
    </row>
    <row r="333" customFormat="false" ht="15" hidden="false" customHeight="false" outlineLevel="0" collapsed="false">
      <c r="A333" s="7" t="s">
        <v>286</v>
      </c>
      <c r="B333" s="13" t="n">
        <v>116</v>
      </c>
      <c r="C333" s="7" t="s">
        <v>504</v>
      </c>
      <c r="D333" s="7" t="s">
        <v>271</v>
      </c>
      <c r="E333" s="7" t="s">
        <v>602</v>
      </c>
      <c r="F333" s="13" t="n">
        <v>6</v>
      </c>
      <c r="G333" s="7" t="s">
        <v>603</v>
      </c>
      <c r="H333" s="7" t="s">
        <v>513</v>
      </c>
    </row>
    <row r="334" customFormat="false" ht="15" hidden="false" customHeight="false" outlineLevel="0" collapsed="false">
      <c r="A334" s="7" t="s">
        <v>286</v>
      </c>
      <c r="B334" s="13" t="n">
        <v>117</v>
      </c>
      <c r="C334" s="7" t="s">
        <v>504</v>
      </c>
      <c r="D334" s="7" t="s">
        <v>271</v>
      </c>
      <c r="E334" s="7" t="s">
        <v>604</v>
      </c>
      <c r="F334" s="13" t="n">
        <v>4</v>
      </c>
      <c r="G334" s="7" t="s">
        <v>605</v>
      </c>
      <c r="H334" s="7" t="s">
        <v>513</v>
      </c>
    </row>
    <row r="335" customFormat="false" ht="15" hidden="false" customHeight="false" outlineLevel="0" collapsed="false">
      <c r="A335" s="7" t="s">
        <v>286</v>
      </c>
      <c r="B335" s="13" t="n">
        <v>118</v>
      </c>
      <c r="C335" s="7" t="s">
        <v>504</v>
      </c>
      <c r="D335" s="7" t="s">
        <v>271</v>
      </c>
      <c r="E335" s="7" t="s">
        <v>606</v>
      </c>
      <c r="F335" s="13" t="n">
        <v>3</v>
      </c>
      <c r="G335" s="7" t="s">
        <v>607</v>
      </c>
      <c r="H335" s="7" t="s">
        <v>513</v>
      </c>
    </row>
    <row r="336" customFormat="false" ht="15" hidden="false" customHeight="false" outlineLevel="0" collapsed="false">
      <c r="A336" s="7" t="s">
        <v>286</v>
      </c>
      <c r="B336" s="13" t="n">
        <v>119</v>
      </c>
      <c r="C336" s="7" t="s">
        <v>504</v>
      </c>
      <c r="D336" s="7" t="s">
        <v>271</v>
      </c>
      <c r="E336" s="7" t="s">
        <v>608</v>
      </c>
      <c r="F336" s="13" t="n">
        <v>6</v>
      </c>
      <c r="G336" s="7" t="s">
        <v>609</v>
      </c>
      <c r="H336" s="7" t="s">
        <v>513</v>
      </c>
    </row>
    <row r="337" customFormat="false" ht="15" hidden="false" customHeight="false" outlineLevel="0" collapsed="false">
      <c r="A337" s="7" t="s">
        <v>286</v>
      </c>
      <c r="B337" s="13" t="n">
        <v>120</v>
      </c>
      <c r="C337" s="7" t="s">
        <v>504</v>
      </c>
      <c r="D337" s="7" t="s">
        <v>271</v>
      </c>
      <c r="E337" s="7" t="s">
        <v>610</v>
      </c>
      <c r="F337" s="13" t="n">
        <v>3</v>
      </c>
      <c r="G337" s="7" t="s">
        <v>611</v>
      </c>
      <c r="H337" s="7" t="s">
        <v>513</v>
      </c>
    </row>
    <row r="338" customFormat="false" ht="23.85" hidden="false" customHeight="false" outlineLevel="0" collapsed="false">
      <c r="A338" s="7" t="s">
        <v>286</v>
      </c>
      <c r="B338" s="13" t="n">
        <v>121</v>
      </c>
      <c r="C338" s="7" t="s">
        <v>505</v>
      </c>
      <c r="D338" s="7" t="s">
        <v>246</v>
      </c>
      <c r="E338" s="7" t="s">
        <v>645</v>
      </c>
      <c r="F338" s="13" t="n">
        <v>4</v>
      </c>
      <c r="G338" s="7" t="s">
        <v>646</v>
      </c>
      <c r="H338" s="7" t="s">
        <v>852</v>
      </c>
    </row>
    <row r="339" customFormat="false" ht="15" hidden="false" customHeight="false" outlineLevel="0" collapsed="false">
      <c r="A339" s="7" t="s">
        <v>286</v>
      </c>
      <c r="B339" s="13" t="n">
        <v>122</v>
      </c>
      <c r="C339" s="7" t="s">
        <v>505</v>
      </c>
      <c r="D339" s="7" t="s">
        <v>246</v>
      </c>
      <c r="E339" s="7" t="s">
        <v>853</v>
      </c>
      <c r="F339" s="13" t="n">
        <v>4</v>
      </c>
      <c r="G339" s="7" t="s">
        <v>854</v>
      </c>
      <c r="H339" s="7" t="s">
        <v>855</v>
      </c>
    </row>
    <row r="340" customFormat="false" ht="15" hidden="false" customHeight="false" outlineLevel="0" collapsed="false">
      <c r="A340" s="7" t="s">
        <v>286</v>
      </c>
      <c r="B340" s="13" t="n">
        <v>123</v>
      </c>
      <c r="C340" s="7" t="s">
        <v>505</v>
      </c>
      <c r="D340" s="7" t="s">
        <v>246</v>
      </c>
      <c r="E340" s="7" t="s">
        <v>856</v>
      </c>
      <c r="F340" s="13" t="n">
        <v>6</v>
      </c>
      <c r="G340" s="7" t="s">
        <v>857</v>
      </c>
      <c r="H340" s="7" t="s">
        <v>858</v>
      </c>
    </row>
    <row r="341" customFormat="false" ht="15" hidden="false" customHeight="false" outlineLevel="0" collapsed="false">
      <c r="A341" s="7" t="s">
        <v>286</v>
      </c>
      <c r="B341" s="13" t="n">
        <v>124</v>
      </c>
      <c r="C341" s="7" t="s">
        <v>505</v>
      </c>
      <c r="D341" s="7" t="s">
        <v>246</v>
      </c>
      <c r="E341" s="7" t="s">
        <v>859</v>
      </c>
      <c r="F341" s="13" t="n">
        <v>4</v>
      </c>
      <c r="G341" s="7" t="s">
        <v>631</v>
      </c>
      <c r="H341" s="7" t="s">
        <v>858</v>
      </c>
    </row>
    <row r="342" customFormat="false" ht="15" hidden="false" customHeight="false" outlineLevel="0" collapsed="false">
      <c r="A342" s="7" t="s">
        <v>286</v>
      </c>
      <c r="B342" s="13" t="n">
        <v>125</v>
      </c>
      <c r="C342" s="7" t="s">
        <v>505</v>
      </c>
      <c r="D342" s="7" t="s">
        <v>246</v>
      </c>
      <c r="E342" s="7" t="s">
        <v>860</v>
      </c>
      <c r="F342" s="13" t="n">
        <v>10</v>
      </c>
      <c r="G342" s="7" t="s">
        <v>861</v>
      </c>
      <c r="H342" s="7" t="s">
        <v>862</v>
      </c>
    </row>
    <row r="343" customFormat="false" ht="23.85" hidden="false" customHeight="false" outlineLevel="0" collapsed="false">
      <c r="A343" s="7" t="s">
        <v>286</v>
      </c>
      <c r="B343" s="13" t="n">
        <v>126</v>
      </c>
      <c r="C343" s="7" t="s">
        <v>505</v>
      </c>
      <c r="D343" s="7" t="s">
        <v>246</v>
      </c>
      <c r="E343" s="7" t="s">
        <v>863</v>
      </c>
      <c r="F343" s="13" t="n">
        <v>5</v>
      </c>
      <c r="G343" s="7" t="s">
        <v>864</v>
      </c>
      <c r="H343" s="7" t="s">
        <v>865</v>
      </c>
    </row>
    <row r="344" customFormat="false" ht="15" hidden="false" customHeight="false" outlineLevel="0" collapsed="false">
      <c r="A344" s="7" t="s">
        <v>286</v>
      </c>
      <c r="B344" s="13" t="n">
        <v>127</v>
      </c>
      <c r="C344" s="7" t="s">
        <v>505</v>
      </c>
      <c r="D344" s="7" t="s">
        <v>246</v>
      </c>
      <c r="E344" s="7" t="s">
        <v>866</v>
      </c>
      <c r="F344" s="13" t="n">
        <v>6</v>
      </c>
      <c r="G344" s="7" t="s">
        <v>867</v>
      </c>
      <c r="H344" s="7" t="s">
        <v>868</v>
      </c>
    </row>
    <row r="345" customFormat="false" ht="15" hidden="false" customHeight="false" outlineLevel="0" collapsed="false">
      <c r="A345" s="7" t="s">
        <v>286</v>
      </c>
      <c r="B345" s="13" t="n">
        <v>128</v>
      </c>
      <c r="C345" s="7" t="s">
        <v>505</v>
      </c>
      <c r="D345" s="7" t="s">
        <v>246</v>
      </c>
      <c r="E345" s="7" t="s">
        <v>869</v>
      </c>
      <c r="F345" s="13" t="n">
        <v>5</v>
      </c>
      <c r="G345" s="7" t="s">
        <v>870</v>
      </c>
      <c r="H345" s="7" t="s">
        <v>862</v>
      </c>
    </row>
    <row r="346" customFormat="false" ht="23.85" hidden="false" customHeight="false" outlineLevel="0" collapsed="false">
      <c r="A346" s="7" t="s">
        <v>286</v>
      </c>
      <c r="B346" s="13" t="n">
        <v>129</v>
      </c>
      <c r="C346" s="7" t="s">
        <v>505</v>
      </c>
      <c r="D346" s="7" t="s">
        <v>246</v>
      </c>
      <c r="E346" s="7" t="s">
        <v>871</v>
      </c>
      <c r="F346" s="13" t="n">
        <v>6</v>
      </c>
      <c r="G346" s="7" t="s">
        <v>872</v>
      </c>
      <c r="H346" s="7" t="s">
        <v>873</v>
      </c>
    </row>
    <row r="347" customFormat="false" ht="23.85" hidden="false" customHeight="false" outlineLevel="0" collapsed="false">
      <c r="A347" s="7" t="s">
        <v>286</v>
      </c>
      <c r="B347" s="13" t="n">
        <v>130</v>
      </c>
      <c r="C347" s="7" t="s">
        <v>505</v>
      </c>
      <c r="D347" s="7" t="s">
        <v>246</v>
      </c>
      <c r="E347" s="7" t="s">
        <v>874</v>
      </c>
      <c r="F347" s="13" t="n">
        <v>6</v>
      </c>
      <c r="G347" s="7" t="s">
        <v>875</v>
      </c>
      <c r="H347" s="7" t="s">
        <v>876</v>
      </c>
    </row>
    <row r="348" customFormat="false" ht="15" hidden="false" customHeight="false" outlineLevel="0" collapsed="false">
      <c r="A348" s="7" t="s">
        <v>286</v>
      </c>
      <c r="B348" s="13" t="n">
        <v>131</v>
      </c>
      <c r="C348" s="7" t="s">
        <v>505</v>
      </c>
      <c r="D348" s="7" t="s">
        <v>266</v>
      </c>
      <c r="E348" s="7" t="s">
        <v>672</v>
      </c>
      <c r="F348" s="13" t="n">
        <v>3</v>
      </c>
      <c r="G348" s="7" t="s">
        <v>673</v>
      </c>
      <c r="H348" s="7" t="s">
        <v>877</v>
      </c>
    </row>
    <row r="349" customFormat="false" ht="15" hidden="false" customHeight="false" outlineLevel="0" collapsed="false">
      <c r="A349" s="7" t="s">
        <v>286</v>
      </c>
      <c r="B349" s="13" t="n">
        <v>132</v>
      </c>
      <c r="C349" s="7" t="s">
        <v>505</v>
      </c>
      <c r="D349" s="7" t="s">
        <v>266</v>
      </c>
      <c r="E349" s="7" t="s">
        <v>675</v>
      </c>
      <c r="F349" s="13" t="n">
        <v>4</v>
      </c>
      <c r="G349" s="7" t="s">
        <v>676</v>
      </c>
      <c r="H349" s="7" t="s">
        <v>878</v>
      </c>
    </row>
    <row r="350" customFormat="false" ht="15" hidden="false" customHeight="false" outlineLevel="0" collapsed="false">
      <c r="A350" s="7" t="s">
        <v>286</v>
      </c>
      <c r="B350" s="13" t="n">
        <v>133</v>
      </c>
      <c r="C350" s="7" t="s">
        <v>505</v>
      </c>
      <c r="D350" s="7" t="s">
        <v>266</v>
      </c>
      <c r="E350" s="7" t="s">
        <v>678</v>
      </c>
      <c r="F350" s="13" t="n">
        <v>3</v>
      </c>
      <c r="G350" s="7" t="s">
        <v>679</v>
      </c>
      <c r="H350" s="7" t="s">
        <v>879</v>
      </c>
    </row>
    <row r="351" customFormat="false" ht="15" hidden="false" customHeight="false" outlineLevel="0" collapsed="false">
      <c r="A351" s="7" t="s">
        <v>286</v>
      </c>
      <c r="B351" s="13" t="n">
        <v>134</v>
      </c>
      <c r="C351" s="7" t="s">
        <v>505</v>
      </c>
      <c r="D351" s="7" t="s">
        <v>266</v>
      </c>
      <c r="E351" s="7" t="s">
        <v>684</v>
      </c>
      <c r="F351" s="13" t="n">
        <v>5</v>
      </c>
      <c r="G351" s="7" t="s">
        <v>685</v>
      </c>
      <c r="H351" s="7" t="s">
        <v>880</v>
      </c>
    </row>
    <row r="352" customFormat="false" ht="15" hidden="false" customHeight="false" outlineLevel="0" collapsed="false">
      <c r="A352" s="7" t="s">
        <v>286</v>
      </c>
      <c r="B352" s="13" t="n">
        <v>135</v>
      </c>
      <c r="C352" s="7" t="s">
        <v>505</v>
      </c>
      <c r="D352" s="7" t="s">
        <v>266</v>
      </c>
      <c r="E352" s="7" t="s">
        <v>881</v>
      </c>
      <c r="F352" s="13" t="n">
        <v>6</v>
      </c>
      <c r="G352" s="7" t="s">
        <v>882</v>
      </c>
      <c r="H352" s="7" t="s">
        <v>883</v>
      </c>
    </row>
    <row r="353" customFormat="false" ht="15" hidden="false" customHeight="false" outlineLevel="0" collapsed="false">
      <c r="A353" s="7" t="s">
        <v>286</v>
      </c>
      <c r="B353" s="13" t="n">
        <v>136</v>
      </c>
      <c r="C353" s="7" t="s">
        <v>505</v>
      </c>
      <c r="D353" s="7" t="s">
        <v>266</v>
      </c>
      <c r="E353" s="7" t="s">
        <v>884</v>
      </c>
      <c r="F353" s="13" t="n">
        <v>5</v>
      </c>
      <c r="G353" s="7" t="s">
        <v>885</v>
      </c>
      <c r="H353" s="7" t="s">
        <v>886</v>
      </c>
    </row>
    <row r="354" customFormat="false" ht="15" hidden="false" customHeight="false" outlineLevel="0" collapsed="false">
      <c r="A354" s="7" t="s">
        <v>286</v>
      </c>
      <c r="B354" s="13" t="n">
        <v>137</v>
      </c>
      <c r="C354" s="7" t="s">
        <v>505</v>
      </c>
      <c r="D354" s="7" t="s">
        <v>266</v>
      </c>
      <c r="E354" s="7" t="s">
        <v>687</v>
      </c>
      <c r="F354" s="13" t="n">
        <v>5</v>
      </c>
      <c r="G354" s="7" t="s">
        <v>688</v>
      </c>
      <c r="H354" s="7" t="s">
        <v>887</v>
      </c>
    </row>
    <row r="355" customFormat="false" ht="15" hidden="false" customHeight="false" outlineLevel="0" collapsed="false">
      <c r="A355" s="7" t="s">
        <v>286</v>
      </c>
      <c r="B355" s="13" t="n">
        <v>138</v>
      </c>
      <c r="C355" s="7" t="s">
        <v>505</v>
      </c>
      <c r="D355" s="7" t="s">
        <v>266</v>
      </c>
      <c r="E355" s="7" t="s">
        <v>888</v>
      </c>
      <c r="F355" s="13" t="n">
        <v>6</v>
      </c>
      <c r="G355" s="7" t="s">
        <v>889</v>
      </c>
      <c r="H355" s="7" t="s">
        <v>890</v>
      </c>
    </row>
    <row r="356" customFormat="false" ht="23.85" hidden="false" customHeight="false" outlineLevel="0" collapsed="false">
      <c r="A356" s="7" t="s">
        <v>286</v>
      </c>
      <c r="B356" s="13" t="n">
        <v>139</v>
      </c>
      <c r="C356" s="7" t="s">
        <v>505</v>
      </c>
      <c r="D356" s="7" t="s">
        <v>266</v>
      </c>
      <c r="E356" s="7" t="s">
        <v>891</v>
      </c>
      <c r="F356" s="13" t="n">
        <v>6</v>
      </c>
      <c r="G356" s="7" t="s">
        <v>892</v>
      </c>
      <c r="H356" s="7" t="s">
        <v>893</v>
      </c>
    </row>
    <row r="357" customFormat="false" ht="23.85" hidden="false" customHeight="false" outlineLevel="0" collapsed="false">
      <c r="A357" s="7" t="s">
        <v>286</v>
      </c>
      <c r="B357" s="13" t="n">
        <v>140</v>
      </c>
      <c r="C357" s="7" t="s">
        <v>505</v>
      </c>
      <c r="D357" s="7" t="s">
        <v>266</v>
      </c>
      <c r="E357" s="7" t="s">
        <v>894</v>
      </c>
      <c r="F357" s="13" t="n">
        <v>4</v>
      </c>
      <c r="G357" s="7" t="s">
        <v>895</v>
      </c>
      <c r="H357" s="7" t="s">
        <v>896</v>
      </c>
    </row>
    <row r="358" customFormat="false" ht="15" hidden="false" customHeight="false" outlineLevel="0" collapsed="false">
      <c r="A358" s="7" t="s">
        <v>286</v>
      </c>
      <c r="B358" s="13" t="n">
        <v>141</v>
      </c>
      <c r="C358" s="7" t="s">
        <v>505</v>
      </c>
      <c r="D358" s="7" t="s">
        <v>266</v>
      </c>
      <c r="E358" s="7" t="s">
        <v>897</v>
      </c>
      <c r="F358" s="13" t="n">
        <v>6</v>
      </c>
      <c r="G358" s="7" t="s">
        <v>898</v>
      </c>
      <c r="H358" s="7" t="s">
        <v>899</v>
      </c>
    </row>
    <row r="359" customFormat="false" ht="15" hidden="false" customHeight="false" outlineLevel="0" collapsed="false">
      <c r="A359" s="7" t="s">
        <v>286</v>
      </c>
      <c r="B359" s="13" t="n">
        <v>142</v>
      </c>
      <c r="C359" s="7" t="s">
        <v>505</v>
      </c>
      <c r="D359" s="7" t="s">
        <v>266</v>
      </c>
      <c r="E359" s="7" t="s">
        <v>900</v>
      </c>
      <c r="F359" s="13" t="n">
        <v>4</v>
      </c>
      <c r="G359" s="7" t="s">
        <v>901</v>
      </c>
      <c r="H359" s="7" t="s">
        <v>902</v>
      </c>
    </row>
    <row r="360" customFormat="false" ht="15" hidden="false" customHeight="false" outlineLevel="0" collapsed="false">
      <c r="A360" s="7" t="s">
        <v>286</v>
      </c>
      <c r="B360" s="13" t="n">
        <v>143</v>
      </c>
      <c r="C360" s="7" t="s">
        <v>505</v>
      </c>
      <c r="D360" s="7" t="s">
        <v>266</v>
      </c>
      <c r="E360" s="7" t="s">
        <v>903</v>
      </c>
      <c r="F360" s="13" t="n">
        <v>4</v>
      </c>
      <c r="G360" s="7" t="s">
        <v>904</v>
      </c>
      <c r="H360" s="7" t="s">
        <v>905</v>
      </c>
    </row>
    <row r="361" customFormat="false" ht="15" hidden="false" customHeight="false" outlineLevel="0" collapsed="false">
      <c r="A361" s="7" t="s">
        <v>286</v>
      </c>
      <c r="B361" s="13" t="n">
        <v>144</v>
      </c>
      <c r="C361" s="7" t="s">
        <v>505</v>
      </c>
      <c r="D361" s="7" t="s">
        <v>266</v>
      </c>
      <c r="E361" s="7" t="s">
        <v>906</v>
      </c>
      <c r="F361" s="13" t="n">
        <v>4</v>
      </c>
      <c r="G361" s="7" t="s">
        <v>907</v>
      </c>
      <c r="H361" s="7" t="s">
        <v>908</v>
      </c>
    </row>
    <row r="362" customFormat="false" ht="15" hidden="false" customHeight="false" outlineLevel="0" collapsed="false">
      <c r="A362" s="7" t="s">
        <v>286</v>
      </c>
      <c r="B362" s="13" t="n">
        <v>145</v>
      </c>
      <c r="C362" s="7" t="s">
        <v>505</v>
      </c>
      <c r="D362" s="7" t="s">
        <v>266</v>
      </c>
      <c r="E362" s="7" t="s">
        <v>909</v>
      </c>
      <c r="F362" s="13" t="n">
        <v>5</v>
      </c>
      <c r="G362" s="7" t="s">
        <v>910</v>
      </c>
      <c r="H362" s="7" t="s">
        <v>911</v>
      </c>
    </row>
    <row r="363" customFormat="false" ht="23.85" hidden="false" customHeight="false" outlineLevel="0" collapsed="false">
      <c r="A363" s="7" t="s">
        <v>286</v>
      </c>
      <c r="B363" s="13" t="n">
        <v>146</v>
      </c>
      <c r="C363" s="7" t="s">
        <v>505</v>
      </c>
      <c r="D363" s="7" t="s">
        <v>276</v>
      </c>
      <c r="E363" s="7" t="s">
        <v>693</v>
      </c>
      <c r="F363" s="13" t="n">
        <v>6</v>
      </c>
      <c r="G363" s="7" t="s">
        <v>694</v>
      </c>
      <c r="H363" s="7" t="s">
        <v>912</v>
      </c>
    </row>
    <row r="364" customFormat="false" ht="23.85" hidden="false" customHeight="false" outlineLevel="0" collapsed="false">
      <c r="A364" s="7" t="s">
        <v>286</v>
      </c>
      <c r="B364" s="13" t="n">
        <v>147</v>
      </c>
      <c r="C364" s="7" t="s">
        <v>505</v>
      </c>
      <c r="D364" s="7" t="s">
        <v>276</v>
      </c>
      <c r="E364" s="7" t="s">
        <v>705</v>
      </c>
      <c r="F364" s="13" t="n">
        <v>6</v>
      </c>
      <c r="G364" s="7" t="s">
        <v>706</v>
      </c>
      <c r="H364" s="7" t="s">
        <v>913</v>
      </c>
    </row>
    <row r="365" customFormat="false" ht="23.85" hidden="false" customHeight="false" outlineLevel="0" collapsed="false">
      <c r="A365" s="7" t="s">
        <v>286</v>
      </c>
      <c r="B365" s="13" t="n">
        <v>148</v>
      </c>
      <c r="C365" s="7" t="s">
        <v>505</v>
      </c>
      <c r="D365" s="7" t="s">
        <v>276</v>
      </c>
      <c r="E365" s="7" t="s">
        <v>914</v>
      </c>
      <c r="F365" s="13" t="n">
        <v>4</v>
      </c>
      <c r="G365" s="7" t="s">
        <v>915</v>
      </c>
      <c r="H365" s="7" t="s">
        <v>916</v>
      </c>
    </row>
    <row r="366" customFormat="false" ht="23.85" hidden="false" customHeight="false" outlineLevel="0" collapsed="false">
      <c r="A366" s="7" t="s">
        <v>286</v>
      </c>
      <c r="B366" s="13" t="n">
        <v>149</v>
      </c>
      <c r="C366" s="7" t="s">
        <v>505</v>
      </c>
      <c r="D366" s="7" t="s">
        <v>276</v>
      </c>
      <c r="E366" s="7" t="s">
        <v>917</v>
      </c>
      <c r="F366" s="13" t="n">
        <v>6</v>
      </c>
      <c r="G366" s="7" t="s">
        <v>918</v>
      </c>
      <c r="H366" s="7" t="s">
        <v>919</v>
      </c>
    </row>
    <row r="367" customFormat="false" ht="15" hidden="false" customHeight="false" outlineLevel="0" collapsed="false">
      <c r="A367" s="7" t="s">
        <v>286</v>
      </c>
      <c r="B367" s="13" t="n">
        <v>150</v>
      </c>
      <c r="C367" s="7" t="s">
        <v>505</v>
      </c>
      <c r="D367" s="7" t="s">
        <v>276</v>
      </c>
      <c r="E367" s="7" t="s">
        <v>920</v>
      </c>
      <c r="F367" s="13" t="n">
        <v>4</v>
      </c>
      <c r="G367" s="7" t="s">
        <v>921</v>
      </c>
      <c r="H367" s="7" t="s">
        <v>922</v>
      </c>
    </row>
    <row r="368" customFormat="false" ht="15" hidden="false" customHeight="false" outlineLevel="0" collapsed="false">
      <c r="A368" s="7" t="s">
        <v>286</v>
      </c>
      <c r="B368" s="13" t="n">
        <v>151</v>
      </c>
      <c r="C368" s="7" t="s">
        <v>505</v>
      </c>
      <c r="D368" s="7" t="s">
        <v>276</v>
      </c>
      <c r="E368" s="7" t="s">
        <v>923</v>
      </c>
      <c r="F368" s="13" t="n">
        <v>8</v>
      </c>
      <c r="G368" s="7" t="s">
        <v>924</v>
      </c>
      <c r="H368" s="7" t="s">
        <v>925</v>
      </c>
    </row>
    <row r="369" customFormat="false" ht="15" hidden="false" customHeight="false" outlineLevel="0" collapsed="false">
      <c r="A369" s="7" t="s">
        <v>286</v>
      </c>
      <c r="B369" s="13" t="n">
        <v>152</v>
      </c>
      <c r="C369" s="7" t="s">
        <v>505</v>
      </c>
      <c r="D369" s="7" t="s">
        <v>276</v>
      </c>
      <c r="E369" s="7" t="s">
        <v>926</v>
      </c>
      <c r="F369" s="13" t="n">
        <v>3</v>
      </c>
      <c r="G369" s="7" t="s">
        <v>927</v>
      </c>
      <c r="H369" s="7" t="s">
        <v>928</v>
      </c>
    </row>
    <row r="370" customFormat="false" ht="15" hidden="false" customHeight="false" outlineLevel="0" collapsed="false">
      <c r="A370" s="7" t="s">
        <v>286</v>
      </c>
      <c r="B370" s="13" t="n">
        <v>153</v>
      </c>
      <c r="C370" s="7" t="s">
        <v>505</v>
      </c>
      <c r="D370" s="7" t="s">
        <v>276</v>
      </c>
      <c r="E370" s="7" t="s">
        <v>929</v>
      </c>
      <c r="F370" s="13" t="n">
        <v>4</v>
      </c>
      <c r="G370" s="7" t="s">
        <v>930</v>
      </c>
      <c r="H370" s="7" t="s">
        <v>931</v>
      </c>
    </row>
    <row r="371" customFormat="false" ht="23.85" hidden="false" customHeight="false" outlineLevel="0" collapsed="false">
      <c r="A371" s="7" t="s">
        <v>286</v>
      </c>
      <c r="B371" s="13" t="n">
        <v>154</v>
      </c>
      <c r="C371" s="7" t="s">
        <v>505</v>
      </c>
      <c r="D371" s="7" t="s">
        <v>276</v>
      </c>
      <c r="E371" s="7" t="s">
        <v>932</v>
      </c>
      <c r="F371" s="13" t="n">
        <v>12</v>
      </c>
      <c r="G371" s="7" t="s">
        <v>933</v>
      </c>
      <c r="H371" s="7" t="s">
        <v>934</v>
      </c>
    </row>
    <row r="372" customFormat="false" ht="23.85" hidden="false" customHeight="false" outlineLevel="0" collapsed="false">
      <c r="A372" s="7" t="s">
        <v>286</v>
      </c>
      <c r="B372" s="13" t="n">
        <v>155</v>
      </c>
      <c r="C372" s="7" t="s">
        <v>505</v>
      </c>
      <c r="D372" s="7" t="s">
        <v>240</v>
      </c>
      <c r="E372" s="7" t="s">
        <v>741</v>
      </c>
      <c r="F372" s="13" t="n">
        <v>5</v>
      </c>
      <c r="G372" s="7" t="s">
        <v>742</v>
      </c>
      <c r="H372" s="7" t="s">
        <v>935</v>
      </c>
    </row>
    <row r="373" customFormat="false" ht="15" hidden="false" customHeight="false" outlineLevel="0" collapsed="false">
      <c r="A373" s="7" t="s">
        <v>286</v>
      </c>
      <c r="B373" s="13" t="n">
        <v>156</v>
      </c>
      <c r="C373" s="7" t="s">
        <v>505</v>
      </c>
      <c r="D373" s="7" t="s">
        <v>240</v>
      </c>
      <c r="E373" s="7" t="s">
        <v>744</v>
      </c>
      <c r="F373" s="13" t="n">
        <v>3</v>
      </c>
      <c r="G373" s="7" t="s">
        <v>745</v>
      </c>
      <c r="H373" s="7" t="s">
        <v>936</v>
      </c>
    </row>
    <row r="374" customFormat="false" ht="15" hidden="false" customHeight="false" outlineLevel="0" collapsed="false">
      <c r="A374" s="7" t="s">
        <v>286</v>
      </c>
      <c r="B374" s="13" t="n">
        <v>157</v>
      </c>
      <c r="C374" s="7" t="s">
        <v>505</v>
      </c>
      <c r="D374" s="7" t="s">
        <v>240</v>
      </c>
      <c r="E374" s="7" t="s">
        <v>747</v>
      </c>
      <c r="F374" s="13" t="n">
        <v>4</v>
      </c>
      <c r="G374" s="7" t="s">
        <v>748</v>
      </c>
      <c r="H374" s="7" t="s">
        <v>937</v>
      </c>
    </row>
    <row r="375" customFormat="false" ht="15" hidden="false" customHeight="false" outlineLevel="0" collapsed="false">
      <c r="A375" s="7" t="s">
        <v>286</v>
      </c>
      <c r="B375" s="13" t="n">
        <v>158</v>
      </c>
      <c r="C375" s="7" t="s">
        <v>505</v>
      </c>
      <c r="D375" s="7" t="s">
        <v>240</v>
      </c>
      <c r="E375" s="7" t="s">
        <v>938</v>
      </c>
      <c r="F375" s="13" t="n">
        <v>4</v>
      </c>
      <c r="G375" s="7" t="s">
        <v>939</v>
      </c>
      <c r="H375" s="7" t="s">
        <v>940</v>
      </c>
    </row>
    <row r="376" customFormat="false" ht="15" hidden="false" customHeight="false" outlineLevel="0" collapsed="false">
      <c r="A376" s="7" t="s">
        <v>286</v>
      </c>
      <c r="B376" s="13" t="n">
        <v>159</v>
      </c>
      <c r="C376" s="7" t="s">
        <v>505</v>
      </c>
      <c r="D376" s="7" t="s">
        <v>240</v>
      </c>
      <c r="E376" s="7" t="s">
        <v>941</v>
      </c>
      <c r="F376" s="13" t="n">
        <v>4</v>
      </c>
      <c r="G376" s="7" t="s">
        <v>942</v>
      </c>
      <c r="H376" s="7" t="s">
        <v>943</v>
      </c>
    </row>
    <row r="377" customFormat="false" ht="15" hidden="false" customHeight="false" outlineLevel="0" collapsed="false">
      <c r="A377" s="7" t="s">
        <v>286</v>
      </c>
      <c r="B377" s="13" t="n">
        <v>160</v>
      </c>
      <c r="C377" s="7" t="s">
        <v>505</v>
      </c>
      <c r="D377" s="7" t="s">
        <v>240</v>
      </c>
      <c r="E377" s="7" t="s">
        <v>944</v>
      </c>
      <c r="F377" s="13" t="n">
        <v>6</v>
      </c>
      <c r="G377" s="7" t="s">
        <v>945</v>
      </c>
      <c r="H377" s="7" t="s">
        <v>946</v>
      </c>
    </row>
    <row r="378" customFormat="false" ht="15" hidden="false" customHeight="false" outlineLevel="0" collapsed="false">
      <c r="A378" s="7" t="s">
        <v>286</v>
      </c>
      <c r="B378" s="13" t="n">
        <v>161</v>
      </c>
      <c r="C378" s="7" t="s">
        <v>505</v>
      </c>
      <c r="D378" s="7" t="s">
        <v>240</v>
      </c>
      <c r="E378" s="7" t="s">
        <v>947</v>
      </c>
      <c r="F378" s="13" t="n">
        <v>6</v>
      </c>
      <c r="G378" s="7" t="s">
        <v>948</v>
      </c>
      <c r="H378" s="7" t="s">
        <v>949</v>
      </c>
    </row>
    <row r="379" customFormat="false" ht="15" hidden="false" customHeight="false" outlineLevel="0" collapsed="false">
      <c r="A379" s="7" t="s">
        <v>286</v>
      </c>
      <c r="B379" s="13" t="n">
        <v>162</v>
      </c>
      <c r="C379" s="7" t="s">
        <v>505</v>
      </c>
      <c r="D379" s="7" t="s">
        <v>240</v>
      </c>
      <c r="E379" s="7" t="s">
        <v>950</v>
      </c>
      <c r="F379" s="13" t="n">
        <v>3</v>
      </c>
      <c r="G379" s="7" t="s">
        <v>951</v>
      </c>
      <c r="H379" s="7" t="s">
        <v>952</v>
      </c>
    </row>
    <row r="380" customFormat="false" ht="15" hidden="false" customHeight="false" outlineLevel="0" collapsed="false">
      <c r="A380" s="7" t="s">
        <v>286</v>
      </c>
      <c r="B380" s="13" t="n">
        <v>163</v>
      </c>
      <c r="C380" s="7" t="s">
        <v>505</v>
      </c>
      <c r="D380" s="7" t="s">
        <v>240</v>
      </c>
      <c r="E380" s="7" t="s">
        <v>953</v>
      </c>
      <c r="F380" s="13" t="n">
        <v>4</v>
      </c>
      <c r="G380" s="7" t="s">
        <v>954</v>
      </c>
      <c r="H380" s="7" t="s">
        <v>955</v>
      </c>
    </row>
    <row r="381" customFormat="false" ht="15" hidden="false" customHeight="false" outlineLevel="0" collapsed="false">
      <c r="A381" s="7" t="s">
        <v>286</v>
      </c>
      <c r="B381" s="13" t="n">
        <v>164</v>
      </c>
      <c r="C381" s="7" t="s">
        <v>505</v>
      </c>
      <c r="D381" s="7" t="s">
        <v>240</v>
      </c>
      <c r="E381" s="7" t="s">
        <v>956</v>
      </c>
      <c r="F381" s="13" t="n">
        <v>5</v>
      </c>
      <c r="G381" s="7" t="s">
        <v>957</v>
      </c>
      <c r="H381" s="7" t="s">
        <v>958</v>
      </c>
    </row>
    <row r="382" customFormat="false" ht="23.85" hidden="false" customHeight="false" outlineLevel="0" collapsed="false">
      <c r="A382" s="7" t="s">
        <v>286</v>
      </c>
      <c r="B382" s="13" t="n">
        <v>165</v>
      </c>
      <c r="C382" s="7" t="s">
        <v>505</v>
      </c>
      <c r="D382" s="7" t="s">
        <v>240</v>
      </c>
      <c r="E382" s="7" t="s">
        <v>959</v>
      </c>
      <c r="F382" s="13" t="n">
        <v>4</v>
      </c>
      <c r="G382" s="7" t="s">
        <v>960</v>
      </c>
      <c r="H382" s="7" t="s">
        <v>961</v>
      </c>
    </row>
    <row r="383" customFormat="false" ht="23.85" hidden="false" customHeight="false" outlineLevel="0" collapsed="false">
      <c r="A383" s="7" t="s">
        <v>286</v>
      </c>
      <c r="B383" s="13" t="n">
        <v>166</v>
      </c>
      <c r="C383" s="7" t="s">
        <v>505</v>
      </c>
      <c r="D383" s="7" t="s">
        <v>240</v>
      </c>
      <c r="E383" s="7" t="s">
        <v>962</v>
      </c>
      <c r="F383" s="13" t="n">
        <v>3</v>
      </c>
      <c r="G383" s="7" t="s">
        <v>963</v>
      </c>
      <c r="H383" s="7" t="s">
        <v>964</v>
      </c>
    </row>
    <row r="384" customFormat="false" ht="15" hidden="false" customHeight="false" outlineLevel="0" collapsed="false">
      <c r="A384" s="7" t="s">
        <v>286</v>
      </c>
      <c r="B384" s="13" t="n">
        <v>167</v>
      </c>
      <c r="C384" s="7" t="s">
        <v>505</v>
      </c>
      <c r="D384" s="7" t="s">
        <v>240</v>
      </c>
      <c r="E384" s="7" t="s">
        <v>965</v>
      </c>
      <c r="F384" s="13" t="n">
        <v>3</v>
      </c>
      <c r="G384" s="7" t="s">
        <v>966</v>
      </c>
      <c r="H384" s="7" t="s">
        <v>967</v>
      </c>
    </row>
    <row r="385" customFormat="false" ht="15" hidden="false" customHeight="false" outlineLevel="0" collapsed="false">
      <c r="A385" s="7" t="s">
        <v>286</v>
      </c>
      <c r="B385" s="13" t="n">
        <v>168</v>
      </c>
      <c r="C385" s="7" t="s">
        <v>505</v>
      </c>
      <c r="D385" s="7" t="s">
        <v>240</v>
      </c>
      <c r="E385" s="7" t="s">
        <v>968</v>
      </c>
      <c r="F385" s="13" t="n">
        <v>3</v>
      </c>
      <c r="G385" s="7" t="s">
        <v>969</v>
      </c>
      <c r="H385" s="7" t="s">
        <v>970</v>
      </c>
    </row>
    <row r="386" customFormat="false" ht="15" hidden="false" customHeight="false" outlineLevel="0" collapsed="false">
      <c r="A386" s="7" t="s">
        <v>286</v>
      </c>
      <c r="B386" s="13" t="n">
        <v>169</v>
      </c>
      <c r="C386" s="7" t="s">
        <v>505</v>
      </c>
      <c r="D386" s="7" t="s">
        <v>240</v>
      </c>
      <c r="E386" s="7" t="s">
        <v>971</v>
      </c>
      <c r="F386" s="13" t="n">
        <v>4</v>
      </c>
      <c r="G386" s="7" t="s">
        <v>972</v>
      </c>
      <c r="H386" s="7" t="s">
        <v>973</v>
      </c>
    </row>
    <row r="387" customFormat="false" ht="15" hidden="false" customHeight="false" outlineLevel="0" collapsed="false">
      <c r="A387" s="7" t="s">
        <v>286</v>
      </c>
      <c r="B387" s="13" t="n">
        <v>170</v>
      </c>
      <c r="C387" s="7" t="s">
        <v>505</v>
      </c>
      <c r="D387" s="7" t="s">
        <v>240</v>
      </c>
      <c r="E387" s="7" t="s">
        <v>974</v>
      </c>
      <c r="F387" s="13" t="n">
        <v>4</v>
      </c>
      <c r="G387" s="7" t="s">
        <v>975</v>
      </c>
      <c r="H387" s="7" t="s">
        <v>976</v>
      </c>
    </row>
    <row r="388" customFormat="false" ht="15" hidden="false" customHeight="false" outlineLevel="0" collapsed="false">
      <c r="A388" s="7" t="s">
        <v>286</v>
      </c>
      <c r="B388" s="13" t="n">
        <v>171</v>
      </c>
      <c r="C388" s="7" t="s">
        <v>505</v>
      </c>
      <c r="D388" s="7" t="s">
        <v>290</v>
      </c>
      <c r="E388" s="7" t="s">
        <v>756</v>
      </c>
      <c r="F388" s="13" t="n">
        <v>4</v>
      </c>
      <c r="G388" s="7" t="s">
        <v>757</v>
      </c>
      <c r="H388" s="7" t="s">
        <v>977</v>
      </c>
    </row>
    <row r="389" customFormat="false" ht="15" hidden="false" customHeight="false" outlineLevel="0" collapsed="false">
      <c r="A389" s="7" t="s">
        <v>286</v>
      </c>
      <c r="B389" s="13" t="n">
        <v>172</v>
      </c>
      <c r="C389" s="7" t="s">
        <v>505</v>
      </c>
      <c r="D389" s="7" t="s">
        <v>290</v>
      </c>
      <c r="E389" s="7" t="s">
        <v>765</v>
      </c>
      <c r="F389" s="13" t="n">
        <v>4</v>
      </c>
      <c r="G389" s="7" t="s">
        <v>766</v>
      </c>
      <c r="H389" s="7" t="s">
        <v>978</v>
      </c>
    </row>
    <row r="390" customFormat="false" ht="15" hidden="false" customHeight="false" outlineLevel="0" collapsed="false">
      <c r="A390" s="7" t="s">
        <v>286</v>
      </c>
      <c r="B390" s="13" t="n">
        <v>173</v>
      </c>
      <c r="C390" s="7" t="s">
        <v>505</v>
      </c>
      <c r="D390" s="7" t="s">
        <v>290</v>
      </c>
      <c r="E390" s="7" t="s">
        <v>768</v>
      </c>
      <c r="F390" s="13" t="n">
        <v>5</v>
      </c>
      <c r="G390" s="7" t="s">
        <v>769</v>
      </c>
      <c r="H390" s="7" t="s">
        <v>979</v>
      </c>
    </row>
    <row r="391" customFormat="false" ht="23.85" hidden="false" customHeight="false" outlineLevel="0" collapsed="false">
      <c r="A391" s="7" t="s">
        <v>286</v>
      </c>
      <c r="B391" s="13" t="n">
        <v>174</v>
      </c>
      <c r="C391" s="7" t="s">
        <v>505</v>
      </c>
      <c r="D391" s="7" t="s">
        <v>290</v>
      </c>
      <c r="E391" s="7" t="s">
        <v>771</v>
      </c>
      <c r="F391" s="13" t="n">
        <v>3</v>
      </c>
      <c r="G391" s="7" t="s">
        <v>772</v>
      </c>
      <c r="H391" s="7" t="s">
        <v>980</v>
      </c>
    </row>
    <row r="392" customFormat="false" ht="15" hidden="false" customHeight="false" outlineLevel="0" collapsed="false">
      <c r="A392" s="7" t="s">
        <v>286</v>
      </c>
      <c r="B392" s="13" t="n">
        <v>175</v>
      </c>
      <c r="C392" s="7" t="s">
        <v>505</v>
      </c>
      <c r="D392" s="7" t="s">
        <v>290</v>
      </c>
      <c r="E392" s="7" t="s">
        <v>774</v>
      </c>
      <c r="F392" s="13" t="n">
        <v>3</v>
      </c>
      <c r="G392" s="7" t="s">
        <v>775</v>
      </c>
      <c r="H392" s="7" t="s">
        <v>981</v>
      </c>
    </row>
    <row r="393" customFormat="false" ht="15" hidden="false" customHeight="false" outlineLevel="0" collapsed="false">
      <c r="A393" s="7" t="s">
        <v>286</v>
      </c>
      <c r="B393" s="13" t="n">
        <v>176</v>
      </c>
      <c r="C393" s="7" t="s">
        <v>505</v>
      </c>
      <c r="D393" s="7" t="s">
        <v>290</v>
      </c>
      <c r="E393" s="7" t="s">
        <v>982</v>
      </c>
      <c r="F393" s="13" t="n">
        <v>6</v>
      </c>
      <c r="G393" s="7" t="s">
        <v>983</v>
      </c>
      <c r="H393" s="7" t="s">
        <v>984</v>
      </c>
    </row>
    <row r="394" customFormat="false" ht="15" hidden="false" customHeight="false" outlineLevel="0" collapsed="false">
      <c r="A394" s="7" t="s">
        <v>286</v>
      </c>
      <c r="B394" s="13" t="n">
        <v>177</v>
      </c>
      <c r="C394" s="7" t="s">
        <v>505</v>
      </c>
      <c r="D394" s="7" t="s">
        <v>290</v>
      </c>
      <c r="E394" s="7" t="s">
        <v>985</v>
      </c>
      <c r="F394" s="13" t="n">
        <v>4</v>
      </c>
      <c r="G394" s="7" t="s">
        <v>986</v>
      </c>
      <c r="H394" s="7" t="s">
        <v>984</v>
      </c>
    </row>
    <row r="395" customFormat="false" ht="15" hidden="false" customHeight="false" outlineLevel="0" collapsed="false">
      <c r="A395" s="7" t="s">
        <v>286</v>
      </c>
      <c r="B395" s="13" t="n">
        <v>178</v>
      </c>
      <c r="C395" s="7" t="s">
        <v>505</v>
      </c>
      <c r="D395" s="7" t="s">
        <v>290</v>
      </c>
      <c r="E395" s="7" t="s">
        <v>987</v>
      </c>
      <c r="F395" s="13" t="n">
        <v>3</v>
      </c>
      <c r="G395" s="7" t="s">
        <v>988</v>
      </c>
      <c r="H395" s="7" t="s">
        <v>989</v>
      </c>
    </row>
    <row r="396" customFormat="false" ht="23.85" hidden="false" customHeight="false" outlineLevel="0" collapsed="false">
      <c r="A396" s="7" t="s">
        <v>286</v>
      </c>
      <c r="B396" s="13" t="n">
        <v>179</v>
      </c>
      <c r="C396" s="7" t="s">
        <v>505</v>
      </c>
      <c r="D396" s="7" t="s">
        <v>290</v>
      </c>
      <c r="E396" s="7" t="s">
        <v>990</v>
      </c>
      <c r="F396" s="13" t="n">
        <v>4</v>
      </c>
      <c r="G396" s="7" t="s">
        <v>991</v>
      </c>
      <c r="H396" s="7" t="s">
        <v>984</v>
      </c>
    </row>
    <row r="397" customFormat="false" ht="23.85" hidden="false" customHeight="false" outlineLevel="0" collapsed="false">
      <c r="A397" s="7" t="s">
        <v>286</v>
      </c>
      <c r="B397" s="13" t="n">
        <v>180</v>
      </c>
      <c r="C397" s="7" t="s">
        <v>505</v>
      </c>
      <c r="D397" s="7" t="s">
        <v>290</v>
      </c>
      <c r="E397" s="7" t="s">
        <v>992</v>
      </c>
      <c r="F397" s="13" t="n">
        <v>6</v>
      </c>
      <c r="G397" s="7" t="s">
        <v>993</v>
      </c>
      <c r="H397" s="7" t="s">
        <v>994</v>
      </c>
    </row>
    <row r="398" customFormat="false" ht="23.85" hidden="false" customHeight="false" outlineLevel="0" collapsed="false">
      <c r="A398" s="7" t="s">
        <v>286</v>
      </c>
      <c r="B398" s="13" t="n">
        <v>181</v>
      </c>
      <c r="C398" s="7" t="s">
        <v>505</v>
      </c>
      <c r="D398" s="7" t="s">
        <v>290</v>
      </c>
      <c r="E398" s="7" t="s">
        <v>995</v>
      </c>
      <c r="F398" s="13" t="n">
        <v>4</v>
      </c>
      <c r="G398" s="7" t="s">
        <v>996</v>
      </c>
      <c r="H398" s="7" t="s">
        <v>997</v>
      </c>
    </row>
    <row r="399" customFormat="false" ht="15" hidden="false" customHeight="false" outlineLevel="0" collapsed="false">
      <c r="A399" s="7" t="s">
        <v>286</v>
      </c>
      <c r="B399" s="13" t="n">
        <v>182</v>
      </c>
      <c r="C399" s="7" t="s">
        <v>505</v>
      </c>
      <c r="D399" s="7" t="s">
        <v>290</v>
      </c>
      <c r="E399" s="7" t="s">
        <v>998</v>
      </c>
      <c r="F399" s="13" t="n">
        <v>5</v>
      </c>
      <c r="G399" s="7" t="s">
        <v>999</v>
      </c>
      <c r="H399" s="7" t="s">
        <v>1000</v>
      </c>
    </row>
    <row r="400" customFormat="false" ht="15" hidden="false" customHeight="false" outlineLevel="0" collapsed="false">
      <c r="A400" s="7" t="s">
        <v>286</v>
      </c>
      <c r="B400" s="13" t="n">
        <v>183</v>
      </c>
      <c r="C400" s="7" t="s">
        <v>505</v>
      </c>
      <c r="D400" s="7" t="s">
        <v>235</v>
      </c>
      <c r="E400" s="7" t="s">
        <v>783</v>
      </c>
      <c r="F400" s="13" t="n">
        <v>4</v>
      </c>
      <c r="G400" s="7" t="s">
        <v>784</v>
      </c>
      <c r="H400" s="7" t="s">
        <v>1001</v>
      </c>
    </row>
    <row r="401" customFormat="false" ht="23.85" hidden="false" customHeight="false" outlineLevel="0" collapsed="false">
      <c r="A401" s="7" t="s">
        <v>286</v>
      </c>
      <c r="B401" s="13" t="n">
        <v>184</v>
      </c>
      <c r="C401" s="7" t="s">
        <v>505</v>
      </c>
      <c r="D401" s="7" t="s">
        <v>235</v>
      </c>
      <c r="E401" s="7" t="s">
        <v>786</v>
      </c>
      <c r="F401" s="13" t="n">
        <v>5</v>
      </c>
      <c r="G401" s="7" t="s">
        <v>787</v>
      </c>
      <c r="H401" s="7" t="s">
        <v>1002</v>
      </c>
    </row>
    <row r="402" customFormat="false" ht="15" hidden="false" customHeight="false" outlineLevel="0" collapsed="false">
      <c r="A402" s="7" t="s">
        <v>286</v>
      </c>
      <c r="B402" s="13" t="n">
        <v>185</v>
      </c>
      <c r="C402" s="7" t="s">
        <v>505</v>
      </c>
      <c r="D402" s="7" t="s">
        <v>235</v>
      </c>
      <c r="E402" s="7" t="s">
        <v>1003</v>
      </c>
      <c r="F402" s="13" t="n">
        <v>4</v>
      </c>
      <c r="G402" s="7" t="s">
        <v>1004</v>
      </c>
      <c r="H402" s="7" t="s">
        <v>1005</v>
      </c>
    </row>
    <row r="403" customFormat="false" ht="15" hidden="false" customHeight="false" outlineLevel="0" collapsed="false">
      <c r="A403" s="7" t="s">
        <v>286</v>
      </c>
      <c r="B403" s="13" t="n">
        <v>186</v>
      </c>
      <c r="C403" s="7" t="s">
        <v>505</v>
      </c>
      <c r="D403" s="7" t="s">
        <v>235</v>
      </c>
      <c r="E403" s="7" t="s">
        <v>1006</v>
      </c>
      <c r="F403" s="13" t="n">
        <v>3</v>
      </c>
      <c r="G403" s="7" t="s">
        <v>1007</v>
      </c>
      <c r="H403" s="7" t="s">
        <v>1008</v>
      </c>
    </row>
    <row r="404" customFormat="false" ht="23.85" hidden="false" customHeight="false" outlineLevel="0" collapsed="false">
      <c r="A404" s="7" t="s">
        <v>286</v>
      </c>
      <c r="B404" s="13" t="n">
        <v>187</v>
      </c>
      <c r="C404" s="7" t="s">
        <v>505</v>
      </c>
      <c r="D404" s="7" t="s">
        <v>235</v>
      </c>
      <c r="E404" s="7" t="s">
        <v>1009</v>
      </c>
      <c r="F404" s="13" t="n">
        <v>4</v>
      </c>
      <c r="G404" s="7" t="s">
        <v>1010</v>
      </c>
      <c r="H404" s="7" t="s">
        <v>1011</v>
      </c>
    </row>
    <row r="405" customFormat="false" ht="23.85" hidden="false" customHeight="false" outlineLevel="0" collapsed="false">
      <c r="A405" s="7" t="s">
        <v>286</v>
      </c>
      <c r="B405" s="13" t="n">
        <v>188</v>
      </c>
      <c r="C405" s="7" t="s">
        <v>505</v>
      </c>
      <c r="D405" s="7" t="s">
        <v>235</v>
      </c>
      <c r="E405" s="7" t="s">
        <v>1012</v>
      </c>
      <c r="F405" s="13" t="n">
        <v>4</v>
      </c>
      <c r="G405" s="7" t="s">
        <v>1013</v>
      </c>
      <c r="H405" s="7" t="s">
        <v>1014</v>
      </c>
    </row>
    <row r="406" customFormat="false" ht="15" hidden="false" customHeight="false" outlineLevel="0" collapsed="false">
      <c r="A406" s="7" t="s">
        <v>286</v>
      </c>
      <c r="B406" s="13" t="n">
        <v>189</v>
      </c>
      <c r="C406" s="7" t="s">
        <v>505</v>
      </c>
      <c r="D406" s="7" t="s">
        <v>394</v>
      </c>
      <c r="E406" s="7" t="s">
        <v>813</v>
      </c>
      <c r="F406" s="13" t="n">
        <v>4</v>
      </c>
      <c r="G406" s="7" t="s">
        <v>814</v>
      </c>
      <c r="H406" s="7" t="s">
        <v>1015</v>
      </c>
    </row>
    <row r="407" customFormat="false" ht="15" hidden="false" customHeight="false" outlineLevel="0" collapsed="false">
      <c r="A407" s="7" t="s">
        <v>286</v>
      </c>
      <c r="B407" s="13" t="n">
        <v>190</v>
      </c>
      <c r="C407" s="7" t="s">
        <v>505</v>
      </c>
      <c r="D407" s="7" t="s">
        <v>394</v>
      </c>
      <c r="E407" s="7" t="s">
        <v>822</v>
      </c>
      <c r="F407" s="13" t="n">
        <v>3</v>
      </c>
      <c r="G407" s="7" t="s">
        <v>823</v>
      </c>
      <c r="H407" s="7" t="s">
        <v>1016</v>
      </c>
    </row>
    <row r="408" customFormat="false" ht="23.85" hidden="false" customHeight="false" outlineLevel="0" collapsed="false">
      <c r="A408" s="7" t="s">
        <v>286</v>
      </c>
      <c r="B408" s="13" t="n">
        <v>191</v>
      </c>
      <c r="C408" s="7" t="s">
        <v>505</v>
      </c>
      <c r="D408" s="7" t="s">
        <v>394</v>
      </c>
      <c r="E408" s="7" t="s">
        <v>1017</v>
      </c>
      <c r="F408" s="13" t="n">
        <v>4</v>
      </c>
      <c r="G408" s="7" t="s">
        <v>1018</v>
      </c>
      <c r="H408" s="7" t="s">
        <v>1019</v>
      </c>
    </row>
    <row r="409" customFormat="false" ht="15" hidden="false" customHeight="false" outlineLevel="0" collapsed="false">
      <c r="A409" s="7" t="s">
        <v>286</v>
      </c>
      <c r="B409" s="13" t="n">
        <v>192</v>
      </c>
      <c r="C409" s="7" t="s">
        <v>505</v>
      </c>
      <c r="D409" s="7" t="s">
        <v>394</v>
      </c>
      <c r="E409" s="7" t="s">
        <v>1020</v>
      </c>
      <c r="F409" s="13" t="n">
        <v>4</v>
      </c>
      <c r="G409" s="7" t="s">
        <v>1021</v>
      </c>
      <c r="H409" s="7" t="s">
        <v>1022</v>
      </c>
    </row>
    <row r="410" customFormat="false" ht="15" hidden="false" customHeight="false" outlineLevel="0" collapsed="false">
      <c r="A410" s="7" t="s">
        <v>286</v>
      </c>
      <c r="B410" s="13" t="n">
        <v>193</v>
      </c>
      <c r="C410" s="7" t="s">
        <v>505</v>
      </c>
      <c r="D410" s="7" t="s">
        <v>260</v>
      </c>
      <c r="E410" s="7" t="s">
        <v>825</v>
      </c>
      <c r="F410" s="13" t="n">
        <v>3</v>
      </c>
      <c r="G410" s="7" t="s">
        <v>826</v>
      </c>
      <c r="H410" s="7" t="s">
        <v>1023</v>
      </c>
    </row>
    <row r="411" customFormat="false" ht="15" hidden="false" customHeight="false" outlineLevel="0" collapsed="false">
      <c r="A411" s="7" t="s">
        <v>286</v>
      </c>
      <c r="B411" s="13" t="n">
        <v>194</v>
      </c>
      <c r="C411" s="7" t="s">
        <v>505</v>
      </c>
      <c r="D411" s="7" t="s">
        <v>260</v>
      </c>
      <c r="E411" s="7" t="s">
        <v>828</v>
      </c>
      <c r="F411" s="13" t="n">
        <v>3</v>
      </c>
      <c r="G411" s="7" t="s">
        <v>829</v>
      </c>
      <c r="H411" s="7" t="s">
        <v>1024</v>
      </c>
    </row>
    <row r="412" customFormat="false" ht="15" hidden="false" customHeight="false" outlineLevel="0" collapsed="false">
      <c r="A412" s="7" t="s">
        <v>286</v>
      </c>
      <c r="B412" s="13" t="n">
        <v>195</v>
      </c>
      <c r="C412" s="7" t="s">
        <v>505</v>
      </c>
      <c r="D412" s="7" t="s">
        <v>260</v>
      </c>
      <c r="E412" s="7" t="s">
        <v>834</v>
      </c>
      <c r="F412" s="13" t="n">
        <v>3</v>
      </c>
      <c r="G412" s="7" t="s">
        <v>835</v>
      </c>
      <c r="H412" s="7" t="s">
        <v>1025</v>
      </c>
    </row>
    <row r="413" customFormat="false" ht="15" hidden="false" customHeight="false" outlineLevel="0" collapsed="false">
      <c r="A413" s="7" t="s">
        <v>286</v>
      </c>
      <c r="B413" s="13" t="n">
        <v>196</v>
      </c>
      <c r="C413" s="7" t="s">
        <v>505</v>
      </c>
      <c r="D413" s="7" t="s">
        <v>260</v>
      </c>
      <c r="E413" s="7" t="s">
        <v>1026</v>
      </c>
      <c r="F413" s="13" t="n">
        <v>3</v>
      </c>
      <c r="G413" s="7" t="s">
        <v>1027</v>
      </c>
      <c r="H413" s="7" t="s">
        <v>984</v>
      </c>
    </row>
    <row r="414" customFormat="false" ht="15" hidden="false" customHeight="false" outlineLevel="0" collapsed="false">
      <c r="A414" s="7" t="s">
        <v>286</v>
      </c>
      <c r="B414" s="13" t="n">
        <v>197</v>
      </c>
      <c r="C414" s="7" t="s">
        <v>505</v>
      </c>
      <c r="D414" s="7" t="s">
        <v>271</v>
      </c>
      <c r="E414" s="7" t="s">
        <v>846</v>
      </c>
      <c r="F414" s="13" t="n">
        <v>4</v>
      </c>
      <c r="G414" s="7" t="s">
        <v>847</v>
      </c>
      <c r="H414" s="7" t="s">
        <v>1028</v>
      </c>
    </row>
    <row r="415" customFormat="false" ht="15" hidden="false" customHeight="false" outlineLevel="0" collapsed="false">
      <c r="A415" s="7" t="s">
        <v>286</v>
      </c>
      <c r="B415" s="13" t="n">
        <v>198</v>
      </c>
      <c r="C415" s="7" t="s">
        <v>505</v>
      </c>
      <c r="D415" s="7" t="s">
        <v>271</v>
      </c>
      <c r="E415" s="7" t="s">
        <v>849</v>
      </c>
      <c r="F415" s="13" t="n">
        <v>4</v>
      </c>
      <c r="G415" s="7" t="s">
        <v>850</v>
      </c>
      <c r="H415" s="7" t="s">
        <v>851</v>
      </c>
    </row>
    <row r="416" customFormat="false" ht="15" hidden="false" customHeight="false" outlineLevel="0" collapsed="false">
      <c r="A416" s="7" t="s">
        <v>286</v>
      </c>
      <c r="B416" s="13" t="n">
        <v>199</v>
      </c>
      <c r="C416" s="7" t="s">
        <v>505</v>
      </c>
      <c r="D416" s="7" t="s">
        <v>271</v>
      </c>
      <c r="E416" s="7" t="s">
        <v>1029</v>
      </c>
      <c r="F416" s="13" t="n">
        <v>5</v>
      </c>
      <c r="G416" s="7" t="s">
        <v>1030</v>
      </c>
      <c r="H416" s="7" t="s">
        <v>1031</v>
      </c>
    </row>
    <row r="417" customFormat="false" ht="15" hidden="false" customHeight="false" outlineLevel="0" collapsed="false">
      <c r="A417" s="7" t="s">
        <v>286</v>
      </c>
      <c r="B417" s="13" t="n">
        <v>200</v>
      </c>
      <c r="C417" s="7" t="s">
        <v>505</v>
      </c>
      <c r="D417" s="7" t="s">
        <v>271</v>
      </c>
      <c r="E417" s="7" t="s">
        <v>1032</v>
      </c>
      <c r="F417" s="13" t="n">
        <v>3</v>
      </c>
      <c r="G417" s="7" t="s">
        <v>1033</v>
      </c>
      <c r="H417" s="7" t="s">
        <v>1034</v>
      </c>
    </row>
    <row r="418" customFormat="false" ht="15" hidden="false" customHeight="false" outlineLevel="0" collapsed="false">
      <c r="A418" s="7" t="s">
        <v>287</v>
      </c>
      <c r="B418" s="13" t="n">
        <v>1</v>
      </c>
      <c r="C418" s="7" t="s">
        <v>504</v>
      </c>
      <c r="D418" s="7" t="s">
        <v>290</v>
      </c>
      <c r="E418" s="7" t="s">
        <v>291</v>
      </c>
      <c r="F418" s="13" t="n">
        <v>6</v>
      </c>
      <c r="G418" s="7" t="s">
        <v>292</v>
      </c>
      <c r="H418" s="7" t="s">
        <v>513</v>
      </c>
    </row>
    <row r="419" customFormat="false" ht="15" hidden="false" customHeight="false" outlineLevel="0" collapsed="false">
      <c r="A419" s="7" t="s">
        <v>287</v>
      </c>
      <c r="B419" s="13" t="n">
        <v>2</v>
      </c>
      <c r="C419" s="7" t="s">
        <v>504</v>
      </c>
      <c r="D419" s="7" t="s">
        <v>290</v>
      </c>
      <c r="E419" s="7" t="s">
        <v>293</v>
      </c>
      <c r="F419" s="13" t="n">
        <v>8</v>
      </c>
      <c r="G419" s="7" t="s">
        <v>294</v>
      </c>
      <c r="H419" s="7" t="s">
        <v>513</v>
      </c>
    </row>
    <row r="420" customFormat="false" ht="15" hidden="false" customHeight="false" outlineLevel="0" collapsed="false">
      <c r="A420" s="7" t="s">
        <v>287</v>
      </c>
      <c r="B420" s="13" t="n">
        <v>3</v>
      </c>
      <c r="C420" s="7" t="s">
        <v>504</v>
      </c>
      <c r="D420" s="7" t="s">
        <v>290</v>
      </c>
      <c r="E420" s="7" t="s">
        <v>295</v>
      </c>
      <c r="F420" s="13" t="n">
        <v>4</v>
      </c>
      <c r="G420" s="7" t="s">
        <v>296</v>
      </c>
      <c r="H420" s="7" t="s">
        <v>513</v>
      </c>
    </row>
    <row r="421" customFormat="false" ht="15" hidden="false" customHeight="false" outlineLevel="0" collapsed="false">
      <c r="A421" s="7" t="s">
        <v>287</v>
      </c>
      <c r="B421" s="13" t="n">
        <v>4</v>
      </c>
      <c r="C421" s="7" t="s">
        <v>504</v>
      </c>
      <c r="D421" s="7" t="s">
        <v>290</v>
      </c>
      <c r="E421" s="7" t="s">
        <v>297</v>
      </c>
      <c r="F421" s="13" t="n">
        <v>8</v>
      </c>
      <c r="G421" s="7" t="s">
        <v>298</v>
      </c>
      <c r="H421" s="7" t="s">
        <v>513</v>
      </c>
    </row>
    <row r="422" customFormat="false" ht="15" hidden="false" customHeight="false" outlineLevel="0" collapsed="false">
      <c r="A422" s="7" t="s">
        <v>287</v>
      </c>
      <c r="B422" s="13" t="n">
        <v>5</v>
      </c>
      <c r="C422" s="7" t="s">
        <v>504</v>
      </c>
      <c r="D422" s="7" t="s">
        <v>290</v>
      </c>
      <c r="E422" s="7" t="s">
        <v>299</v>
      </c>
      <c r="F422" s="13" t="n">
        <v>4</v>
      </c>
      <c r="G422" s="7" t="s">
        <v>300</v>
      </c>
      <c r="H422" s="7" t="s">
        <v>513</v>
      </c>
    </row>
    <row r="423" customFormat="false" ht="15" hidden="false" customHeight="false" outlineLevel="0" collapsed="false">
      <c r="A423" s="7" t="s">
        <v>287</v>
      </c>
      <c r="B423" s="13" t="n">
        <v>6</v>
      </c>
      <c r="C423" s="7" t="s">
        <v>504</v>
      </c>
      <c r="D423" s="7" t="s">
        <v>290</v>
      </c>
      <c r="E423" s="7" t="s">
        <v>301</v>
      </c>
      <c r="F423" s="13" t="n">
        <v>3</v>
      </c>
      <c r="G423" s="7" t="s">
        <v>302</v>
      </c>
      <c r="H423" s="7" t="s">
        <v>513</v>
      </c>
    </row>
    <row r="424" customFormat="false" ht="15" hidden="false" customHeight="false" outlineLevel="0" collapsed="false">
      <c r="A424" s="7" t="s">
        <v>287</v>
      </c>
      <c r="B424" s="13" t="n">
        <v>7</v>
      </c>
      <c r="C424" s="7" t="s">
        <v>504</v>
      </c>
      <c r="D424" s="7" t="s">
        <v>290</v>
      </c>
      <c r="E424" s="7" t="s">
        <v>303</v>
      </c>
      <c r="F424" s="13" t="n">
        <v>5</v>
      </c>
      <c r="G424" s="7" t="s">
        <v>304</v>
      </c>
      <c r="H424" s="7" t="s">
        <v>513</v>
      </c>
    </row>
    <row r="425" customFormat="false" ht="15" hidden="false" customHeight="false" outlineLevel="0" collapsed="false">
      <c r="A425" s="7" t="s">
        <v>287</v>
      </c>
      <c r="B425" s="13" t="n">
        <v>8</v>
      </c>
      <c r="C425" s="7" t="s">
        <v>504</v>
      </c>
      <c r="D425" s="7" t="s">
        <v>290</v>
      </c>
      <c r="E425" s="7" t="s">
        <v>305</v>
      </c>
      <c r="F425" s="13" t="n">
        <v>6</v>
      </c>
      <c r="G425" s="7" t="s">
        <v>306</v>
      </c>
      <c r="H425" s="7" t="s">
        <v>513</v>
      </c>
    </row>
    <row r="426" customFormat="false" ht="15" hidden="false" customHeight="false" outlineLevel="0" collapsed="false">
      <c r="A426" s="7" t="s">
        <v>287</v>
      </c>
      <c r="B426" s="13" t="n">
        <v>9</v>
      </c>
      <c r="C426" s="7" t="s">
        <v>504</v>
      </c>
      <c r="D426" s="7" t="s">
        <v>290</v>
      </c>
      <c r="E426" s="7" t="s">
        <v>307</v>
      </c>
      <c r="F426" s="13" t="n">
        <v>6</v>
      </c>
      <c r="G426" s="7" t="s">
        <v>308</v>
      </c>
      <c r="H426" s="7" t="s">
        <v>513</v>
      </c>
    </row>
    <row r="427" customFormat="false" ht="15" hidden="false" customHeight="false" outlineLevel="0" collapsed="false">
      <c r="A427" s="7" t="s">
        <v>287</v>
      </c>
      <c r="B427" s="13" t="n">
        <v>10</v>
      </c>
      <c r="C427" s="7" t="s">
        <v>504</v>
      </c>
      <c r="D427" s="7" t="s">
        <v>290</v>
      </c>
      <c r="E427" s="7" t="s">
        <v>309</v>
      </c>
      <c r="F427" s="13" t="n">
        <v>4</v>
      </c>
      <c r="G427" s="7" t="s">
        <v>310</v>
      </c>
      <c r="H427" s="7" t="s">
        <v>513</v>
      </c>
    </row>
    <row r="428" customFormat="false" ht="15" hidden="false" customHeight="false" outlineLevel="0" collapsed="false">
      <c r="A428" s="7" t="s">
        <v>287</v>
      </c>
      <c r="B428" s="13" t="n">
        <v>11</v>
      </c>
      <c r="C428" s="7" t="s">
        <v>504</v>
      </c>
      <c r="D428" s="7" t="s">
        <v>290</v>
      </c>
      <c r="E428" s="7" t="s">
        <v>311</v>
      </c>
      <c r="F428" s="13" t="n">
        <v>10</v>
      </c>
      <c r="G428" s="7" t="s">
        <v>312</v>
      </c>
      <c r="H428" s="7" t="s">
        <v>513</v>
      </c>
    </row>
    <row r="429" customFormat="false" ht="15" hidden="false" customHeight="false" outlineLevel="0" collapsed="false">
      <c r="A429" s="7" t="s">
        <v>287</v>
      </c>
      <c r="B429" s="13" t="n">
        <v>12</v>
      </c>
      <c r="C429" s="7" t="s">
        <v>504</v>
      </c>
      <c r="D429" s="7" t="s">
        <v>290</v>
      </c>
      <c r="E429" s="7" t="s">
        <v>313</v>
      </c>
      <c r="F429" s="13" t="n">
        <v>6</v>
      </c>
      <c r="G429" s="7" t="s">
        <v>314</v>
      </c>
      <c r="H429" s="7" t="s">
        <v>513</v>
      </c>
    </row>
    <row r="430" customFormat="false" ht="15" hidden="false" customHeight="false" outlineLevel="0" collapsed="false">
      <c r="A430" s="7" t="s">
        <v>287</v>
      </c>
      <c r="B430" s="13" t="n">
        <v>13</v>
      </c>
      <c r="C430" s="7" t="s">
        <v>504</v>
      </c>
      <c r="D430" s="7" t="s">
        <v>290</v>
      </c>
      <c r="E430" s="7" t="s">
        <v>315</v>
      </c>
      <c r="F430" s="13" t="n">
        <v>4</v>
      </c>
      <c r="G430" s="7" t="s">
        <v>316</v>
      </c>
      <c r="H430" s="7" t="s">
        <v>513</v>
      </c>
    </row>
    <row r="431" customFormat="false" ht="15" hidden="false" customHeight="false" outlineLevel="0" collapsed="false">
      <c r="A431" s="7" t="s">
        <v>287</v>
      </c>
      <c r="B431" s="13" t="n">
        <v>14</v>
      </c>
      <c r="C431" s="7" t="s">
        <v>504</v>
      </c>
      <c r="D431" s="7" t="s">
        <v>290</v>
      </c>
      <c r="E431" s="7" t="s">
        <v>317</v>
      </c>
      <c r="F431" s="13" t="n">
        <v>4</v>
      </c>
      <c r="G431" s="7" t="s">
        <v>318</v>
      </c>
      <c r="H431" s="7" t="s">
        <v>513</v>
      </c>
    </row>
    <row r="432" customFormat="false" ht="15" hidden="false" customHeight="false" outlineLevel="0" collapsed="false">
      <c r="A432" s="7" t="s">
        <v>287</v>
      </c>
      <c r="B432" s="13" t="n">
        <v>15</v>
      </c>
      <c r="C432" s="7" t="s">
        <v>504</v>
      </c>
      <c r="D432" s="7" t="s">
        <v>290</v>
      </c>
      <c r="E432" s="7" t="s">
        <v>319</v>
      </c>
      <c r="F432" s="13" t="n">
        <v>3</v>
      </c>
      <c r="G432" s="7" t="s">
        <v>320</v>
      </c>
      <c r="H432" s="7" t="s">
        <v>513</v>
      </c>
    </row>
    <row r="433" customFormat="false" ht="15" hidden="false" customHeight="false" outlineLevel="0" collapsed="false">
      <c r="A433" s="7" t="s">
        <v>287</v>
      </c>
      <c r="B433" s="13" t="n">
        <v>16</v>
      </c>
      <c r="C433" s="7" t="s">
        <v>504</v>
      </c>
      <c r="D433" s="7" t="s">
        <v>290</v>
      </c>
      <c r="E433" s="7" t="s">
        <v>321</v>
      </c>
      <c r="F433" s="13" t="n">
        <v>4</v>
      </c>
      <c r="G433" s="7" t="s">
        <v>322</v>
      </c>
      <c r="H433" s="7" t="s">
        <v>513</v>
      </c>
    </row>
    <row r="434" customFormat="false" ht="15" hidden="false" customHeight="false" outlineLevel="0" collapsed="false">
      <c r="A434" s="7" t="s">
        <v>287</v>
      </c>
      <c r="B434" s="13" t="n">
        <v>17</v>
      </c>
      <c r="C434" s="7" t="s">
        <v>504</v>
      </c>
      <c r="D434" s="7" t="s">
        <v>290</v>
      </c>
      <c r="E434" s="7" t="s">
        <v>323</v>
      </c>
      <c r="F434" s="13" t="n">
        <v>6</v>
      </c>
      <c r="G434" s="7" t="s">
        <v>324</v>
      </c>
      <c r="H434" s="7" t="s">
        <v>513</v>
      </c>
    </row>
    <row r="435" customFormat="false" ht="15" hidden="false" customHeight="false" outlineLevel="0" collapsed="false">
      <c r="A435" s="7" t="s">
        <v>287</v>
      </c>
      <c r="B435" s="13" t="n">
        <v>18</v>
      </c>
      <c r="C435" s="7" t="s">
        <v>504</v>
      </c>
      <c r="D435" s="7" t="s">
        <v>290</v>
      </c>
      <c r="E435" s="7" t="s">
        <v>325</v>
      </c>
      <c r="F435" s="13" t="n">
        <v>6</v>
      </c>
      <c r="G435" s="7" t="s">
        <v>326</v>
      </c>
      <c r="H435" s="7" t="s">
        <v>513</v>
      </c>
    </row>
    <row r="436" customFormat="false" ht="15" hidden="false" customHeight="false" outlineLevel="0" collapsed="false">
      <c r="A436" s="7" t="s">
        <v>287</v>
      </c>
      <c r="B436" s="13" t="n">
        <v>19</v>
      </c>
      <c r="C436" s="7" t="s">
        <v>504</v>
      </c>
      <c r="D436" s="7" t="s">
        <v>290</v>
      </c>
      <c r="E436" s="7" t="s">
        <v>327</v>
      </c>
      <c r="F436" s="13" t="n">
        <v>5</v>
      </c>
      <c r="G436" s="7" t="s">
        <v>328</v>
      </c>
      <c r="H436" s="7" t="s">
        <v>513</v>
      </c>
    </row>
    <row r="437" customFormat="false" ht="15" hidden="false" customHeight="false" outlineLevel="0" collapsed="false">
      <c r="A437" s="7" t="s">
        <v>287</v>
      </c>
      <c r="B437" s="13" t="n">
        <v>20</v>
      </c>
      <c r="C437" s="7" t="s">
        <v>504</v>
      </c>
      <c r="D437" s="7" t="s">
        <v>290</v>
      </c>
      <c r="E437" s="7" t="s">
        <v>329</v>
      </c>
      <c r="F437" s="13" t="n">
        <v>6</v>
      </c>
      <c r="G437" s="7" t="s">
        <v>330</v>
      </c>
      <c r="H437" s="7" t="s">
        <v>513</v>
      </c>
    </row>
    <row r="438" customFormat="false" ht="15" hidden="false" customHeight="false" outlineLevel="0" collapsed="false">
      <c r="A438" s="7" t="s">
        <v>287</v>
      </c>
      <c r="B438" s="13" t="n">
        <v>21</v>
      </c>
      <c r="C438" s="7" t="s">
        <v>504</v>
      </c>
      <c r="D438" s="7" t="s">
        <v>235</v>
      </c>
      <c r="E438" s="7" t="s">
        <v>331</v>
      </c>
      <c r="F438" s="13" t="n">
        <v>2</v>
      </c>
      <c r="G438" s="7" t="s">
        <v>332</v>
      </c>
      <c r="H438" s="7" t="s">
        <v>513</v>
      </c>
    </row>
    <row r="439" customFormat="false" ht="15" hidden="false" customHeight="false" outlineLevel="0" collapsed="false">
      <c r="A439" s="7" t="s">
        <v>287</v>
      </c>
      <c r="B439" s="13" t="n">
        <v>22</v>
      </c>
      <c r="C439" s="7" t="s">
        <v>504</v>
      </c>
      <c r="D439" s="7" t="s">
        <v>235</v>
      </c>
      <c r="E439" s="7" t="s">
        <v>333</v>
      </c>
      <c r="F439" s="13" t="n">
        <v>3</v>
      </c>
      <c r="G439" s="7" t="s">
        <v>334</v>
      </c>
      <c r="H439" s="7" t="s">
        <v>513</v>
      </c>
    </row>
    <row r="440" customFormat="false" ht="15" hidden="false" customHeight="false" outlineLevel="0" collapsed="false">
      <c r="A440" s="7" t="s">
        <v>287</v>
      </c>
      <c r="B440" s="13" t="n">
        <v>23</v>
      </c>
      <c r="C440" s="7" t="s">
        <v>504</v>
      </c>
      <c r="D440" s="7" t="s">
        <v>235</v>
      </c>
      <c r="E440" s="7" t="s">
        <v>335</v>
      </c>
      <c r="F440" s="13" t="n">
        <v>6</v>
      </c>
      <c r="G440" s="7" t="s">
        <v>336</v>
      </c>
      <c r="H440" s="7" t="s">
        <v>513</v>
      </c>
    </row>
    <row r="441" customFormat="false" ht="15" hidden="false" customHeight="false" outlineLevel="0" collapsed="false">
      <c r="A441" s="7" t="s">
        <v>287</v>
      </c>
      <c r="B441" s="13" t="n">
        <v>24</v>
      </c>
      <c r="C441" s="7" t="s">
        <v>504</v>
      </c>
      <c r="D441" s="7" t="s">
        <v>235</v>
      </c>
      <c r="E441" s="7" t="s">
        <v>337</v>
      </c>
      <c r="F441" s="13" t="n">
        <v>4</v>
      </c>
      <c r="G441" s="7" t="s">
        <v>338</v>
      </c>
      <c r="H441" s="7" t="s">
        <v>513</v>
      </c>
    </row>
    <row r="442" customFormat="false" ht="15" hidden="false" customHeight="false" outlineLevel="0" collapsed="false">
      <c r="A442" s="7" t="s">
        <v>287</v>
      </c>
      <c r="B442" s="13" t="n">
        <v>25</v>
      </c>
      <c r="C442" s="7" t="s">
        <v>504</v>
      </c>
      <c r="D442" s="7" t="s">
        <v>235</v>
      </c>
      <c r="E442" s="7" t="s">
        <v>339</v>
      </c>
      <c r="F442" s="13" t="n">
        <v>8</v>
      </c>
      <c r="G442" s="7" t="s">
        <v>340</v>
      </c>
      <c r="H442" s="7" t="s">
        <v>513</v>
      </c>
    </row>
    <row r="443" customFormat="false" ht="15" hidden="false" customHeight="false" outlineLevel="0" collapsed="false">
      <c r="A443" s="7" t="s">
        <v>287</v>
      </c>
      <c r="B443" s="13" t="n">
        <v>26</v>
      </c>
      <c r="C443" s="7" t="s">
        <v>504</v>
      </c>
      <c r="D443" s="7" t="s">
        <v>235</v>
      </c>
      <c r="E443" s="7" t="s">
        <v>341</v>
      </c>
      <c r="F443" s="13" t="n">
        <v>10</v>
      </c>
      <c r="G443" s="7" t="s">
        <v>342</v>
      </c>
      <c r="H443" s="7" t="s">
        <v>513</v>
      </c>
    </row>
    <row r="444" customFormat="false" ht="15" hidden="false" customHeight="false" outlineLevel="0" collapsed="false">
      <c r="A444" s="7" t="s">
        <v>287</v>
      </c>
      <c r="B444" s="13" t="n">
        <v>27</v>
      </c>
      <c r="C444" s="7" t="s">
        <v>504</v>
      </c>
      <c r="D444" s="7" t="s">
        <v>235</v>
      </c>
      <c r="E444" s="7" t="s">
        <v>343</v>
      </c>
      <c r="F444" s="13" t="n">
        <v>6</v>
      </c>
      <c r="G444" s="7" t="s">
        <v>344</v>
      </c>
      <c r="H444" s="7" t="s">
        <v>513</v>
      </c>
    </row>
    <row r="445" customFormat="false" ht="15" hidden="false" customHeight="false" outlineLevel="0" collapsed="false">
      <c r="A445" s="7" t="s">
        <v>287</v>
      </c>
      <c r="B445" s="13" t="n">
        <v>28</v>
      </c>
      <c r="C445" s="7" t="s">
        <v>504</v>
      </c>
      <c r="D445" s="7" t="s">
        <v>235</v>
      </c>
      <c r="E445" s="7" t="s">
        <v>345</v>
      </c>
      <c r="F445" s="13" t="n">
        <v>4</v>
      </c>
      <c r="G445" s="7" t="s">
        <v>346</v>
      </c>
      <c r="H445" s="7" t="s">
        <v>513</v>
      </c>
    </row>
    <row r="446" customFormat="false" ht="15" hidden="false" customHeight="false" outlineLevel="0" collapsed="false">
      <c r="A446" s="7" t="s">
        <v>287</v>
      </c>
      <c r="B446" s="13" t="n">
        <v>29</v>
      </c>
      <c r="C446" s="7" t="s">
        <v>504</v>
      </c>
      <c r="D446" s="7" t="s">
        <v>235</v>
      </c>
      <c r="E446" s="7" t="s">
        <v>347</v>
      </c>
      <c r="F446" s="13" t="n">
        <v>3</v>
      </c>
      <c r="G446" s="7" t="s">
        <v>348</v>
      </c>
      <c r="H446" s="7" t="s">
        <v>513</v>
      </c>
    </row>
    <row r="447" customFormat="false" ht="15" hidden="false" customHeight="false" outlineLevel="0" collapsed="false">
      <c r="A447" s="7" t="s">
        <v>287</v>
      </c>
      <c r="B447" s="13" t="n">
        <v>30</v>
      </c>
      <c r="C447" s="7" t="s">
        <v>504</v>
      </c>
      <c r="D447" s="7" t="s">
        <v>235</v>
      </c>
      <c r="E447" s="7" t="s">
        <v>349</v>
      </c>
      <c r="F447" s="13" t="n">
        <v>3</v>
      </c>
      <c r="G447" s="7" t="s">
        <v>350</v>
      </c>
      <c r="H447" s="7" t="s">
        <v>513</v>
      </c>
    </row>
    <row r="448" customFormat="false" ht="15" hidden="false" customHeight="false" outlineLevel="0" collapsed="false">
      <c r="A448" s="7" t="s">
        <v>287</v>
      </c>
      <c r="B448" s="13" t="n">
        <v>31</v>
      </c>
      <c r="C448" s="7" t="s">
        <v>504</v>
      </c>
      <c r="D448" s="7" t="s">
        <v>235</v>
      </c>
      <c r="E448" s="7" t="s">
        <v>351</v>
      </c>
      <c r="F448" s="13" t="n">
        <v>6</v>
      </c>
      <c r="G448" s="7" t="s">
        <v>352</v>
      </c>
      <c r="H448" s="7" t="s">
        <v>513</v>
      </c>
    </row>
    <row r="449" customFormat="false" ht="15" hidden="false" customHeight="false" outlineLevel="0" collapsed="false">
      <c r="A449" s="7" t="s">
        <v>287</v>
      </c>
      <c r="B449" s="13" t="n">
        <v>32</v>
      </c>
      <c r="C449" s="7" t="s">
        <v>504</v>
      </c>
      <c r="D449" s="7" t="s">
        <v>235</v>
      </c>
      <c r="E449" s="7" t="s">
        <v>353</v>
      </c>
      <c r="F449" s="13" t="n">
        <v>4</v>
      </c>
      <c r="G449" s="7" t="s">
        <v>354</v>
      </c>
      <c r="H449" s="7" t="s">
        <v>513</v>
      </c>
    </row>
    <row r="450" customFormat="false" ht="15" hidden="false" customHeight="false" outlineLevel="0" collapsed="false">
      <c r="A450" s="7" t="s">
        <v>287</v>
      </c>
      <c r="B450" s="13" t="n">
        <v>33</v>
      </c>
      <c r="C450" s="7" t="s">
        <v>504</v>
      </c>
      <c r="D450" s="7" t="s">
        <v>235</v>
      </c>
      <c r="E450" s="7" t="s">
        <v>355</v>
      </c>
      <c r="F450" s="13" t="n">
        <v>5</v>
      </c>
      <c r="G450" s="7" t="s">
        <v>356</v>
      </c>
      <c r="H450" s="7" t="s">
        <v>513</v>
      </c>
    </row>
    <row r="451" customFormat="false" ht="15" hidden="false" customHeight="false" outlineLevel="0" collapsed="false">
      <c r="A451" s="7" t="s">
        <v>287</v>
      </c>
      <c r="B451" s="13" t="n">
        <v>34</v>
      </c>
      <c r="C451" s="7" t="s">
        <v>504</v>
      </c>
      <c r="D451" s="7" t="s">
        <v>235</v>
      </c>
      <c r="E451" s="7" t="s">
        <v>357</v>
      </c>
      <c r="F451" s="13" t="n">
        <v>3</v>
      </c>
      <c r="G451" s="7" t="s">
        <v>358</v>
      </c>
      <c r="H451" s="7" t="s">
        <v>513</v>
      </c>
    </row>
    <row r="452" customFormat="false" ht="15" hidden="false" customHeight="false" outlineLevel="0" collapsed="false">
      <c r="A452" s="7" t="s">
        <v>287</v>
      </c>
      <c r="B452" s="13" t="n">
        <v>35</v>
      </c>
      <c r="C452" s="7" t="s">
        <v>504</v>
      </c>
      <c r="D452" s="7" t="s">
        <v>235</v>
      </c>
      <c r="E452" s="7" t="s">
        <v>359</v>
      </c>
      <c r="F452" s="13" t="n">
        <v>8</v>
      </c>
      <c r="G452" s="7" t="s">
        <v>360</v>
      </c>
      <c r="H452" s="7" t="s">
        <v>513</v>
      </c>
    </row>
    <row r="453" customFormat="false" ht="15" hidden="false" customHeight="false" outlineLevel="0" collapsed="false">
      <c r="A453" s="7" t="s">
        <v>287</v>
      </c>
      <c r="B453" s="13" t="n">
        <v>36</v>
      </c>
      <c r="C453" s="7" t="s">
        <v>504</v>
      </c>
      <c r="D453" s="7" t="s">
        <v>235</v>
      </c>
      <c r="E453" s="7" t="s">
        <v>361</v>
      </c>
      <c r="F453" s="13" t="n">
        <v>8</v>
      </c>
      <c r="G453" s="7" t="s">
        <v>362</v>
      </c>
      <c r="H453" s="7" t="s">
        <v>513</v>
      </c>
    </row>
    <row r="454" customFormat="false" ht="15" hidden="false" customHeight="false" outlineLevel="0" collapsed="false">
      <c r="A454" s="7" t="s">
        <v>287</v>
      </c>
      <c r="B454" s="13" t="n">
        <v>37</v>
      </c>
      <c r="C454" s="7" t="s">
        <v>504</v>
      </c>
      <c r="D454" s="7" t="s">
        <v>235</v>
      </c>
      <c r="E454" s="7" t="s">
        <v>363</v>
      </c>
      <c r="F454" s="13" t="n">
        <v>10</v>
      </c>
      <c r="G454" s="7" t="s">
        <v>364</v>
      </c>
      <c r="H454" s="7" t="s">
        <v>513</v>
      </c>
    </row>
    <row r="455" customFormat="false" ht="15" hidden="false" customHeight="false" outlineLevel="0" collapsed="false">
      <c r="A455" s="7" t="s">
        <v>287</v>
      </c>
      <c r="B455" s="13" t="n">
        <v>38</v>
      </c>
      <c r="C455" s="7" t="s">
        <v>504</v>
      </c>
      <c r="D455" s="7" t="s">
        <v>235</v>
      </c>
      <c r="E455" s="7" t="s">
        <v>365</v>
      </c>
      <c r="F455" s="13" t="n">
        <v>10</v>
      </c>
      <c r="G455" s="7" t="s">
        <v>364</v>
      </c>
      <c r="H455" s="7" t="s">
        <v>513</v>
      </c>
    </row>
    <row r="456" customFormat="false" ht="15" hidden="false" customHeight="false" outlineLevel="0" collapsed="false">
      <c r="A456" s="7" t="s">
        <v>287</v>
      </c>
      <c r="B456" s="13" t="n">
        <v>39</v>
      </c>
      <c r="C456" s="7" t="s">
        <v>504</v>
      </c>
      <c r="D456" s="7" t="s">
        <v>240</v>
      </c>
      <c r="E456" s="7" t="s">
        <v>366</v>
      </c>
      <c r="F456" s="13" t="n">
        <v>8</v>
      </c>
      <c r="G456" s="7" t="s">
        <v>367</v>
      </c>
      <c r="H456" s="7" t="s">
        <v>513</v>
      </c>
    </row>
    <row r="457" customFormat="false" ht="15" hidden="false" customHeight="false" outlineLevel="0" collapsed="false">
      <c r="A457" s="7" t="s">
        <v>287</v>
      </c>
      <c r="B457" s="13" t="n">
        <v>40</v>
      </c>
      <c r="C457" s="7" t="s">
        <v>504</v>
      </c>
      <c r="D457" s="7" t="s">
        <v>240</v>
      </c>
      <c r="E457" s="7" t="s">
        <v>368</v>
      </c>
      <c r="F457" s="13" t="n">
        <v>6</v>
      </c>
      <c r="G457" s="7" t="s">
        <v>369</v>
      </c>
      <c r="H457" s="7" t="s">
        <v>513</v>
      </c>
    </row>
    <row r="458" customFormat="false" ht="15" hidden="false" customHeight="false" outlineLevel="0" collapsed="false">
      <c r="A458" s="7" t="s">
        <v>287</v>
      </c>
      <c r="B458" s="13" t="n">
        <v>41</v>
      </c>
      <c r="C458" s="7" t="s">
        <v>504</v>
      </c>
      <c r="D458" s="7" t="s">
        <v>240</v>
      </c>
      <c r="E458" s="7" t="s">
        <v>370</v>
      </c>
      <c r="F458" s="13" t="n">
        <v>6</v>
      </c>
      <c r="G458" s="7" t="s">
        <v>371</v>
      </c>
      <c r="H458" s="7" t="s">
        <v>513</v>
      </c>
    </row>
    <row r="459" customFormat="false" ht="15" hidden="false" customHeight="false" outlineLevel="0" collapsed="false">
      <c r="A459" s="7" t="s">
        <v>287</v>
      </c>
      <c r="B459" s="13" t="n">
        <v>42</v>
      </c>
      <c r="C459" s="7" t="s">
        <v>504</v>
      </c>
      <c r="D459" s="7" t="s">
        <v>240</v>
      </c>
      <c r="E459" s="7" t="s">
        <v>372</v>
      </c>
      <c r="F459" s="13" t="n">
        <v>6</v>
      </c>
      <c r="G459" s="7" t="s">
        <v>373</v>
      </c>
      <c r="H459" s="7" t="s">
        <v>513</v>
      </c>
    </row>
    <row r="460" customFormat="false" ht="15" hidden="false" customHeight="false" outlineLevel="0" collapsed="false">
      <c r="A460" s="7" t="s">
        <v>287</v>
      </c>
      <c r="B460" s="13" t="n">
        <v>43</v>
      </c>
      <c r="C460" s="7" t="s">
        <v>504</v>
      </c>
      <c r="D460" s="7" t="s">
        <v>240</v>
      </c>
      <c r="E460" s="7" t="s">
        <v>374</v>
      </c>
      <c r="F460" s="13" t="n">
        <v>8</v>
      </c>
      <c r="G460" s="7" t="s">
        <v>375</v>
      </c>
      <c r="H460" s="7" t="s">
        <v>513</v>
      </c>
    </row>
    <row r="461" customFormat="false" ht="15" hidden="false" customHeight="false" outlineLevel="0" collapsed="false">
      <c r="A461" s="7" t="s">
        <v>287</v>
      </c>
      <c r="B461" s="13" t="n">
        <v>44</v>
      </c>
      <c r="C461" s="7" t="s">
        <v>504</v>
      </c>
      <c r="D461" s="7" t="s">
        <v>240</v>
      </c>
      <c r="E461" s="7" t="s">
        <v>376</v>
      </c>
      <c r="F461" s="13" t="n">
        <v>4</v>
      </c>
      <c r="G461" s="7" t="s">
        <v>377</v>
      </c>
      <c r="H461" s="7" t="s">
        <v>513</v>
      </c>
    </row>
    <row r="462" customFormat="false" ht="15" hidden="false" customHeight="false" outlineLevel="0" collapsed="false">
      <c r="A462" s="7" t="s">
        <v>287</v>
      </c>
      <c r="B462" s="13" t="n">
        <v>45</v>
      </c>
      <c r="C462" s="7" t="s">
        <v>504</v>
      </c>
      <c r="D462" s="7" t="s">
        <v>240</v>
      </c>
      <c r="E462" s="7" t="s">
        <v>378</v>
      </c>
      <c r="F462" s="13" t="n">
        <v>6</v>
      </c>
      <c r="G462" s="7" t="s">
        <v>379</v>
      </c>
      <c r="H462" s="7" t="s">
        <v>513</v>
      </c>
    </row>
    <row r="463" customFormat="false" ht="15" hidden="false" customHeight="false" outlineLevel="0" collapsed="false">
      <c r="A463" s="7" t="s">
        <v>287</v>
      </c>
      <c r="B463" s="13" t="n">
        <v>46</v>
      </c>
      <c r="C463" s="7" t="s">
        <v>504</v>
      </c>
      <c r="D463" s="7" t="s">
        <v>240</v>
      </c>
      <c r="E463" s="7" t="s">
        <v>380</v>
      </c>
      <c r="F463" s="13" t="n">
        <v>8</v>
      </c>
      <c r="G463" s="7" t="s">
        <v>381</v>
      </c>
      <c r="H463" s="7" t="s">
        <v>513</v>
      </c>
    </row>
    <row r="464" customFormat="false" ht="15" hidden="false" customHeight="false" outlineLevel="0" collapsed="false">
      <c r="A464" s="7" t="s">
        <v>287</v>
      </c>
      <c r="B464" s="13" t="n">
        <v>47</v>
      </c>
      <c r="C464" s="7" t="s">
        <v>504</v>
      </c>
      <c r="D464" s="7" t="s">
        <v>246</v>
      </c>
      <c r="E464" s="7" t="s">
        <v>382</v>
      </c>
      <c r="F464" s="13" t="n">
        <v>4</v>
      </c>
      <c r="G464" s="7" t="s">
        <v>383</v>
      </c>
      <c r="H464" s="7" t="s">
        <v>513</v>
      </c>
    </row>
    <row r="465" customFormat="false" ht="15" hidden="false" customHeight="false" outlineLevel="0" collapsed="false">
      <c r="A465" s="7" t="s">
        <v>287</v>
      </c>
      <c r="B465" s="13" t="n">
        <v>48</v>
      </c>
      <c r="C465" s="7" t="s">
        <v>504</v>
      </c>
      <c r="D465" s="7" t="s">
        <v>246</v>
      </c>
      <c r="E465" s="7" t="s">
        <v>384</v>
      </c>
      <c r="F465" s="13" t="n">
        <v>4</v>
      </c>
      <c r="G465" s="7" t="s">
        <v>385</v>
      </c>
      <c r="H465" s="7" t="s">
        <v>513</v>
      </c>
    </row>
    <row r="466" customFormat="false" ht="15" hidden="false" customHeight="false" outlineLevel="0" collapsed="false">
      <c r="A466" s="7" t="s">
        <v>287</v>
      </c>
      <c r="B466" s="13" t="n">
        <v>49</v>
      </c>
      <c r="C466" s="7" t="s">
        <v>504</v>
      </c>
      <c r="D466" s="7" t="s">
        <v>246</v>
      </c>
      <c r="E466" s="7" t="s">
        <v>386</v>
      </c>
      <c r="F466" s="13" t="n">
        <v>10</v>
      </c>
      <c r="G466" s="7" t="s">
        <v>387</v>
      </c>
      <c r="H466" s="7" t="s">
        <v>513</v>
      </c>
    </row>
    <row r="467" customFormat="false" ht="15" hidden="false" customHeight="false" outlineLevel="0" collapsed="false">
      <c r="A467" s="7" t="s">
        <v>287</v>
      </c>
      <c r="B467" s="13" t="n">
        <v>50</v>
      </c>
      <c r="C467" s="7" t="s">
        <v>504</v>
      </c>
      <c r="D467" s="7" t="s">
        <v>246</v>
      </c>
      <c r="E467" s="7" t="s">
        <v>388</v>
      </c>
      <c r="F467" s="13" t="n">
        <v>6</v>
      </c>
      <c r="G467" s="7" t="s">
        <v>389</v>
      </c>
      <c r="H467" s="7" t="s">
        <v>513</v>
      </c>
    </row>
    <row r="468" customFormat="false" ht="15" hidden="false" customHeight="false" outlineLevel="0" collapsed="false">
      <c r="A468" s="7" t="s">
        <v>287</v>
      </c>
      <c r="B468" s="13" t="n">
        <v>51</v>
      </c>
      <c r="C468" s="7" t="s">
        <v>504</v>
      </c>
      <c r="D468" s="7" t="s">
        <v>246</v>
      </c>
      <c r="E468" s="7" t="s">
        <v>390</v>
      </c>
      <c r="F468" s="13" t="n">
        <v>6</v>
      </c>
      <c r="G468" s="7" t="s">
        <v>391</v>
      </c>
      <c r="H468" s="7" t="s">
        <v>513</v>
      </c>
    </row>
    <row r="469" customFormat="false" ht="15" hidden="false" customHeight="false" outlineLevel="0" collapsed="false">
      <c r="A469" s="7" t="s">
        <v>287</v>
      </c>
      <c r="B469" s="13" t="n">
        <v>52</v>
      </c>
      <c r="C469" s="7" t="s">
        <v>504</v>
      </c>
      <c r="D469" s="7" t="s">
        <v>246</v>
      </c>
      <c r="E469" s="7" t="s">
        <v>392</v>
      </c>
      <c r="F469" s="13" t="n">
        <v>6</v>
      </c>
      <c r="G469" s="7" t="s">
        <v>393</v>
      </c>
      <c r="H469" s="7" t="s">
        <v>513</v>
      </c>
    </row>
    <row r="470" customFormat="false" ht="15" hidden="false" customHeight="false" outlineLevel="0" collapsed="false">
      <c r="A470" s="7" t="s">
        <v>287</v>
      </c>
      <c r="B470" s="13" t="n">
        <v>53</v>
      </c>
      <c r="C470" s="7" t="s">
        <v>504</v>
      </c>
      <c r="D470" s="7" t="s">
        <v>394</v>
      </c>
      <c r="E470" s="7" t="s">
        <v>395</v>
      </c>
      <c r="F470" s="13" t="n">
        <v>8</v>
      </c>
      <c r="G470" s="7" t="s">
        <v>396</v>
      </c>
      <c r="H470" s="7" t="s">
        <v>513</v>
      </c>
    </row>
    <row r="471" customFormat="false" ht="15" hidden="false" customHeight="false" outlineLevel="0" collapsed="false">
      <c r="A471" s="7" t="s">
        <v>287</v>
      </c>
      <c r="B471" s="13" t="n">
        <v>54</v>
      </c>
      <c r="C471" s="7" t="s">
        <v>504</v>
      </c>
      <c r="D471" s="7" t="s">
        <v>394</v>
      </c>
      <c r="E471" s="7" t="s">
        <v>397</v>
      </c>
      <c r="F471" s="13" t="n">
        <v>4</v>
      </c>
      <c r="G471" s="7" t="s">
        <v>398</v>
      </c>
      <c r="H471" s="7" t="s">
        <v>513</v>
      </c>
    </row>
    <row r="472" customFormat="false" ht="15" hidden="false" customHeight="false" outlineLevel="0" collapsed="false">
      <c r="A472" s="7" t="s">
        <v>287</v>
      </c>
      <c r="B472" s="13" t="n">
        <v>55</v>
      </c>
      <c r="C472" s="7" t="s">
        <v>504</v>
      </c>
      <c r="D472" s="7" t="s">
        <v>394</v>
      </c>
      <c r="E472" s="7" t="s">
        <v>399</v>
      </c>
      <c r="F472" s="13" t="n">
        <v>4</v>
      </c>
      <c r="G472" s="7" t="s">
        <v>400</v>
      </c>
      <c r="H472" s="7" t="s">
        <v>513</v>
      </c>
    </row>
    <row r="473" customFormat="false" ht="15" hidden="false" customHeight="false" outlineLevel="0" collapsed="false">
      <c r="A473" s="7" t="s">
        <v>287</v>
      </c>
      <c r="B473" s="13" t="n">
        <v>56</v>
      </c>
      <c r="C473" s="7" t="s">
        <v>504</v>
      </c>
      <c r="D473" s="7" t="s">
        <v>394</v>
      </c>
      <c r="E473" s="7" t="s">
        <v>401</v>
      </c>
      <c r="F473" s="13" t="n">
        <v>5</v>
      </c>
      <c r="G473" s="7" t="s">
        <v>402</v>
      </c>
      <c r="H473" s="7" t="s">
        <v>513</v>
      </c>
    </row>
    <row r="474" customFormat="false" ht="15" hidden="false" customHeight="false" outlineLevel="0" collapsed="false">
      <c r="A474" s="7" t="s">
        <v>287</v>
      </c>
      <c r="B474" s="13" t="n">
        <v>57</v>
      </c>
      <c r="C474" s="7" t="s">
        <v>504</v>
      </c>
      <c r="D474" s="7" t="s">
        <v>394</v>
      </c>
      <c r="E474" s="7" t="s">
        <v>403</v>
      </c>
      <c r="F474" s="13" t="n">
        <v>8</v>
      </c>
      <c r="G474" s="7" t="s">
        <v>404</v>
      </c>
      <c r="H474" s="7" t="s">
        <v>513</v>
      </c>
    </row>
    <row r="475" customFormat="false" ht="15" hidden="false" customHeight="false" outlineLevel="0" collapsed="false">
      <c r="A475" s="7" t="s">
        <v>287</v>
      </c>
      <c r="B475" s="13" t="n">
        <v>58</v>
      </c>
      <c r="C475" s="7" t="s">
        <v>504</v>
      </c>
      <c r="D475" s="7" t="s">
        <v>394</v>
      </c>
      <c r="E475" s="7" t="s">
        <v>405</v>
      </c>
      <c r="F475" s="13" t="n">
        <v>3</v>
      </c>
      <c r="G475" s="7" t="s">
        <v>406</v>
      </c>
      <c r="H475" s="7" t="s">
        <v>513</v>
      </c>
    </row>
    <row r="476" customFormat="false" ht="15" hidden="false" customHeight="false" outlineLevel="0" collapsed="false">
      <c r="A476" s="7" t="s">
        <v>287</v>
      </c>
      <c r="B476" s="13" t="n">
        <v>59</v>
      </c>
      <c r="C476" s="7" t="s">
        <v>504</v>
      </c>
      <c r="D476" s="7" t="s">
        <v>260</v>
      </c>
      <c r="E476" s="7" t="s">
        <v>407</v>
      </c>
      <c r="F476" s="13" t="n">
        <v>6</v>
      </c>
      <c r="G476" s="7" t="s">
        <v>408</v>
      </c>
      <c r="H476" s="7" t="s">
        <v>513</v>
      </c>
    </row>
    <row r="477" customFormat="false" ht="15" hidden="false" customHeight="false" outlineLevel="0" collapsed="false">
      <c r="A477" s="7" t="s">
        <v>287</v>
      </c>
      <c r="B477" s="13" t="n">
        <v>60</v>
      </c>
      <c r="C477" s="7" t="s">
        <v>504</v>
      </c>
      <c r="D477" s="7" t="s">
        <v>260</v>
      </c>
      <c r="E477" s="7" t="s">
        <v>409</v>
      </c>
      <c r="F477" s="13" t="n">
        <v>4</v>
      </c>
      <c r="G477" s="7" t="s">
        <v>410</v>
      </c>
      <c r="H477" s="7" t="s">
        <v>513</v>
      </c>
    </row>
    <row r="478" customFormat="false" ht="15" hidden="false" customHeight="false" outlineLevel="0" collapsed="false">
      <c r="A478" s="7" t="s">
        <v>287</v>
      </c>
      <c r="B478" s="13" t="n">
        <v>61</v>
      </c>
      <c r="C478" s="7" t="s">
        <v>504</v>
      </c>
      <c r="D478" s="7" t="s">
        <v>266</v>
      </c>
      <c r="E478" s="7" t="s">
        <v>411</v>
      </c>
      <c r="F478" s="13" t="n">
        <v>5</v>
      </c>
      <c r="G478" s="7" t="s">
        <v>412</v>
      </c>
      <c r="H478" s="7" t="s">
        <v>513</v>
      </c>
    </row>
    <row r="479" customFormat="false" ht="15" hidden="false" customHeight="false" outlineLevel="0" collapsed="false">
      <c r="A479" s="7" t="s">
        <v>287</v>
      </c>
      <c r="B479" s="13" t="n">
        <v>62</v>
      </c>
      <c r="C479" s="7" t="s">
        <v>504</v>
      </c>
      <c r="D479" s="7" t="s">
        <v>266</v>
      </c>
      <c r="E479" s="7" t="s">
        <v>413</v>
      </c>
      <c r="F479" s="13" t="n">
        <v>8</v>
      </c>
      <c r="G479" s="7" t="s">
        <v>414</v>
      </c>
      <c r="H479" s="7" t="s">
        <v>513</v>
      </c>
    </row>
    <row r="480" customFormat="false" ht="15" hidden="false" customHeight="false" outlineLevel="0" collapsed="false">
      <c r="A480" s="7" t="s">
        <v>287</v>
      </c>
      <c r="B480" s="13" t="n">
        <v>63</v>
      </c>
      <c r="C480" s="7" t="s">
        <v>504</v>
      </c>
      <c r="D480" s="7" t="s">
        <v>266</v>
      </c>
      <c r="E480" s="7" t="s">
        <v>415</v>
      </c>
      <c r="F480" s="13" t="n">
        <v>5</v>
      </c>
      <c r="G480" s="7" t="s">
        <v>416</v>
      </c>
      <c r="H480" s="7" t="s">
        <v>513</v>
      </c>
    </row>
    <row r="481" customFormat="false" ht="15" hidden="false" customHeight="false" outlineLevel="0" collapsed="false">
      <c r="A481" s="7" t="s">
        <v>287</v>
      </c>
      <c r="B481" s="13" t="n">
        <v>64</v>
      </c>
      <c r="C481" s="7" t="s">
        <v>504</v>
      </c>
      <c r="D481" s="7" t="s">
        <v>266</v>
      </c>
      <c r="E481" s="7" t="s">
        <v>417</v>
      </c>
      <c r="F481" s="13" t="n">
        <v>4</v>
      </c>
      <c r="G481" s="7" t="s">
        <v>418</v>
      </c>
      <c r="H481" s="7" t="s">
        <v>513</v>
      </c>
    </row>
    <row r="482" customFormat="false" ht="15" hidden="false" customHeight="false" outlineLevel="0" collapsed="false">
      <c r="A482" s="7" t="s">
        <v>287</v>
      </c>
      <c r="B482" s="13" t="n">
        <v>65</v>
      </c>
      <c r="C482" s="7" t="s">
        <v>504</v>
      </c>
      <c r="D482" s="7" t="s">
        <v>271</v>
      </c>
      <c r="E482" s="7" t="s">
        <v>419</v>
      </c>
      <c r="F482" s="13" t="n">
        <v>4</v>
      </c>
      <c r="G482" s="7" t="s">
        <v>420</v>
      </c>
      <c r="H482" s="7" t="s">
        <v>513</v>
      </c>
    </row>
    <row r="483" customFormat="false" ht="15" hidden="false" customHeight="false" outlineLevel="0" collapsed="false">
      <c r="A483" s="7" t="s">
        <v>287</v>
      </c>
      <c r="B483" s="13" t="n">
        <v>66</v>
      </c>
      <c r="C483" s="7" t="s">
        <v>504</v>
      </c>
      <c r="D483" s="7" t="s">
        <v>271</v>
      </c>
      <c r="E483" s="7" t="s">
        <v>421</v>
      </c>
      <c r="F483" s="13" t="n">
        <v>5</v>
      </c>
      <c r="G483" s="7" t="s">
        <v>422</v>
      </c>
      <c r="H483" s="7" t="s">
        <v>513</v>
      </c>
    </row>
    <row r="484" customFormat="false" ht="15" hidden="false" customHeight="false" outlineLevel="0" collapsed="false">
      <c r="A484" s="7" t="s">
        <v>287</v>
      </c>
      <c r="B484" s="13" t="n">
        <v>67</v>
      </c>
      <c r="C484" s="7" t="s">
        <v>504</v>
      </c>
      <c r="D484" s="7" t="s">
        <v>276</v>
      </c>
      <c r="E484" s="7" t="s">
        <v>423</v>
      </c>
      <c r="F484" s="13" t="n">
        <v>20</v>
      </c>
      <c r="G484" s="7" t="s">
        <v>424</v>
      </c>
      <c r="H484" s="7" t="s">
        <v>513</v>
      </c>
    </row>
    <row r="485" customFormat="false" ht="15" hidden="false" customHeight="false" outlineLevel="0" collapsed="false">
      <c r="A485" s="7" t="s">
        <v>287</v>
      </c>
      <c r="B485" s="13" t="n">
        <v>68</v>
      </c>
      <c r="C485" s="7" t="s">
        <v>504</v>
      </c>
      <c r="D485" s="7" t="s">
        <v>276</v>
      </c>
      <c r="E485" s="7" t="s">
        <v>425</v>
      </c>
      <c r="F485" s="13" t="n">
        <v>4</v>
      </c>
      <c r="G485" s="7" t="s">
        <v>426</v>
      </c>
      <c r="H485" s="7" t="s">
        <v>513</v>
      </c>
    </row>
    <row r="486" customFormat="false" ht="15" hidden="false" customHeight="false" outlineLevel="0" collapsed="false">
      <c r="A486" s="7" t="s">
        <v>287</v>
      </c>
      <c r="B486" s="13" t="n">
        <v>69</v>
      </c>
      <c r="C486" s="7" t="s">
        <v>504</v>
      </c>
      <c r="D486" s="7" t="s">
        <v>276</v>
      </c>
      <c r="E486" s="7" t="s">
        <v>427</v>
      </c>
      <c r="F486" s="13" t="n">
        <v>3</v>
      </c>
      <c r="G486" s="7" t="s">
        <v>428</v>
      </c>
      <c r="H486" s="7" t="s">
        <v>513</v>
      </c>
    </row>
    <row r="487" customFormat="false" ht="15" hidden="false" customHeight="false" outlineLevel="0" collapsed="false">
      <c r="A487" s="7" t="s">
        <v>287</v>
      </c>
      <c r="B487" s="13" t="n">
        <v>70</v>
      </c>
      <c r="C487" s="7" t="s">
        <v>504</v>
      </c>
      <c r="D487" s="7" t="s">
        <v>276</v>
      </c>
      <c r="E487" s="7" t="s">
        <v>429</v>
      </c>
      <c r="F487" s="13" t="n">
        <v>6</v>
      </c>
      <c r="G487" s="7" t="s">
        <v>430</v>
      </c>
      <c r="H487" s="7" t="s">
        <v>513</v>
      </c>
    </row>
    <row r="488" customFormat="false" ht="15" hidden="false" customHeight="false" outlineLevel="0" collapsed="false">
      <c r="A488" s="7" t="s">
        <v>287</v>
      </c>
      <c r="B488" s="13" t="n">
        <v>71</v>
      </c>
      <c r="C488" s="7" t="s">
        <v>504</v>
      </c>
      <c r="D488" s="7" t="s">
        <v>276</v>
      </c>
      <c r="E488" s="7" t="s">
        <v>431</v>
      </c>
      <c r="F488" s="13" t="n">
        <v>10</v>
      </c>
      <c r="G488" s="7" t="s">
        <v>432</v>
      </c>
      <c r="H488" s="7" t="s">
        <v>513</v>
      </c>
    </row>
    <row r="489" customFormat="false" ht="15" hidden="false" customHeight="false" outlineLevel="0" collapsed="false">
      <c r="A489" s="7" t="s">
        <v>287</v>
      </c>
      <c r="B489" s="13" t="n">
        <v>72</v>
      </c>
      <c r="C489" s="7" t="s">
        <v>504</v>
      </c>
      <c r="D489" s="7" t="s">
        <v>246</v>
      </c>
      <c r="E489" s="7" t="s">
        <v>514</v>
      </c>
      <c r="F489" s="13" t="n">
        <v>3</v>
      </c>
      <c r="G489" s="7" t="s">
        <v>515</v>
      </c>
      <c r="H489" s="7" t="s">
        <v>513</v>
      </c>
    </row>
    <row r="490" customFormat="false" ht="15" hidden="false" customHeight="false" outlineLevel="0" collapsed="false">
      <c r="A490" s="7" t="s">
        <v>287</v>
      </c>
      <c r="B490" s="13" t="n">
        <v>73</v>
      </c>
      <c r="C490" s="7" t="s">
        <v>504</v>
      </c>
      <c r="D490" s="7" t="s">
        <v>246</v>
      </c>
      <c r="E490" s="7" t="s">
        <v>516</v>
      </c>
      <c r="F490" s="13" t="n">
        <v>3</v>
      </c>
      <c r="G490" s="7" t="s">
        <v>517</v>
      </c>
      <c r="H490" s="7" t="s">
        <v>513</v>
      </c>
    </row>
    <row r="491" customFormat="false" ht="15" hidden="false" customHeight="false" outlineLevel="0" collapsed="false">
      <c r="A491" s="7" t="s">
        <v>287</v>
      </c>
      <c r="B491" s="13" t="n">
        <v>74</v>
      </c>
      <c r="C491" s="7" t="s">
        <v>504</v>
      </c>
      <c r="D491" s="7" t="s">
        <v>246</v>
      </c>
      <c r="E491" s="7" t="s">
        <v>518</v>
      </c>
      <c r="F491" s="13" t="n">
        <v>4</v>
      </c>
      <c r="G491" s="7" t="s">
        <v>519</v>
      </c>
      <c r="H491" s="7" t="s">
        <v>513</v>
      </c>
    </row>
    <row r="492" customFormat="false" ht="15" hidden="false" customHeight="false" outlineLevel="0" collapsed="false">
      <c r="A492" s="7" t="s">
        <v>287</v>
      </c>
      <c r="B492" s="13" t="n">
        <v>75</v>
      </c>
      <c r="C492" s="7" t="s">
        <v>504</v>
      </c>
      <c r="D492" s="7" t="s">
        <v>246</v>
      </c>
      <c r="E492" s="7" t="s">
        <v>520</v>
      </c>
      <c r="F492" s="13" t="n">
        <v>4</v>
      </c>
      <c r="G492" s="7" t="s">
        <v>521</v>
      </c>
      <c r="H492" s="7" t="s">
        <v>513</v>
      </c>
    </row>
    <row r="493" customFormat="false" ht="15" hidden="false" customHeight="false" outlineLevel="0" collapsed="false">
      <c r="A493" s="7" t="s">
        <v>287</v>
      </c>
      <c r="B493" s="13" t="n">
        <v>76</v>
      </c>
      <c r="C493" s="7" t="s">
        <v>504</v>
      </c>
      <c r="D493" s="7" t="s">
        <v>246</v>
      </c>
      <c r="E493" s="7" t="s">
        <v>522</v>
      </c>
      <c r="F493" s="13" t="n">
        <v>5</v>
      </c>
      <c r="G493" s="7" t="s">
        <v>523</v>
      </c>
      <c r="H493" s="7" t="s">
        <v>513</v>
      </c>
    </row>
    <row r="494" customFormat="false" ht="15" hidden="false" customHeight="false" outlineLevel="0" collapsed="false">
      <c r="A494" s="7" t="s">
        <v>287</v>
      </c>
      <c r="B494" s="13" t="n">
        <v>77</v>
      </c>
      <c r="C494" s="7" t="s">
        <v>504</v>
      </c>
      <c r="D494" s="7" t="s">
        <v>246</v>
      </c>
      <c r="E494" s="7" t="s">
        <v>524</v>
      </c>
      <c r="F494" s="13" t="n">
        <v>3</v>
      </c>
      <c r="G494" s="7" t="s">
        <v>525</v>
      </c>
      <c r="H494" s="7" t="s">
        <v>513</v>
      </c>
    </row>
    <row r="495" customFormat="false" ht="15" hidden="false" customHeight="false" outlineLevel="0" collapsed="false">
      <c r="A495" s="7" t="s">
        <v>287</v>
      </c>
      <c r="B495" s="13" t="n">
        <v>78</v>
      </c>
      <c r="C495" s="7" t="s">
        <v>504</v>
      </c>
      <c r="D495" s="7" t="s">
        <v>266</v>
      </c>
      <c r="E495" s="7" t="s">
        <v>526</v>
      </c>
      <c r="F495" s="13" t="n">
        <v>4</v>
      </c>
      <c r="G495" s="7" t="s">
        <v>527</v>
      </c>
      <c r="H495" s="7" t="s">
        <v>513</v>
      </c>
    </row>
    <row r="496" customFormat="false" ht="15" hidden="false" customHeight="false" outlineLevel="0" collapsed="false">
      <c r="A496" s="7" t="s">
        <v>287</v>
      </c>
      <c r="B496" s="13" t="n">
        <v>79</v>
      </c>
      <c r="C496" s="7" t="s">
        <v>504</v>
      </c>
      <c r="D496" s="7" t="s">
        <v>266</v>
      </c>
      <c r="E496" s="7" t="s">
        <v>528</v>
      </c>
      <c r="F496" s="13" t="n">
        <v>6</v>
      </c>
      <c r="G496" s="7" t="s">
        <v>529</v>
      </c>
      <c r="H496" s="7" t="s">
        <v>513</v>
      </c>
    </row>
    <row r="497" customFormat="false" ht="15" hidden="false" customHeight="false" outlineLevel="0" collapsed="false">
      <c r="A497" s="7" t="s">
        <v>287</v>
      </c>
      <c r="B497" s="13" t="n">
        <v>80</v>
      </c>
      <c r="C497" s="7" t="s">
        <v>504</v>
      </c>
      <c r="D497" s="7" t="s">
        <v>266</v>
      </c>
      <c r="E497" s="7" t="s">
        <v>530</v>
      </c>
      <c r="F497" s="13" t="n">
        <v>5</v>
      </c>
      <c r="G497" s="7" t="s">
        <v>531</v>
      </c>
      <c r="H497" s="7" t="s">
        <v>513</v>
      </c>
    </row>
    <row r="498" customFormat="false" ht="15" hidden="false" customHeight="false" outlineLevel="0" collapsed="false">
      <c r="A498" s="7" t="s">
        <v>287</v>
      </c>
      <c r="B498" s="13" t="n">
        <v>81</v>
      </c>
      <c r="C498" s="7" t="s">
        <v>504</v>
      </c>
      <c r="D498" s="7" t="s">
        <v>266</v>
      </c>
      <c r="E498" s="7" t="s">
        <v>532</v>
      </c>
      <c r="F498" s="13" t="n">
        <v>5</v>
      </c>
      <c r="G498" s="7" t="s">
        <v>533</v>
      </c>
      <c r="H498" s="7" t="s">
        <v>513</v>
      </c>
    </row>
    <row r="499" customFormat="false" ht="15" hidden="false" customHeight="false" outlineLevel="0" collapsed="false">
      <c r="A499" s="7" t="s">
        <v>287</v>
      </c>
      <c r="B499" s="13" t="n">
        <v>82</v>
      </c>
      <c r="C499" s="7" t="s">
        <v>504</v>
      </c>
      <c r="D499" s="7" t="s">
        <v>266</v>
      </c>
      <c r="E499" s="7" t="s">
        <v>534</v>
      </c>
      <c r="F499" s="13" t="n">
        <v>3</v>
      </c>
      <c r="G499" s="7" t="s">
        <v>535</v>
      </c>
      <c r="H499" s="7" t="s">
        <v>513</v>
      </c>
    </row>
    <row r="500" customFormat="false" ht="15" hidden="false" customHeight="false" outlineLevel="0" collapsed="false">
      <c r="A500" s="7" t="s">
        <v>287</v>
      </c>
      <c r="B500" s="13" t="n">
        <v>83</v>
      </c>
      <c r="C500" s="7" t="s">
        <v>504</v>
      </c>
      <c r="D500" s="7" t="s">
        <v>266</v>
      </c>
      <c r="E500" s="7" t="s">
        <v>536</v>
      </c>
      <c r="F500" s="13" t="n">
        <v>4</v>
      </c>
      <c r="G500" s="7" t="s">
        <v>537</v>
      </c>
      <c r="H500" s="7" t="s">
        <v>513</v>
      </c>
    </row>
    <row r="501" customFormat="false" ht="15" hidden="false" customHeight="false" outlineLevel="0" collapsed="false">
      <c r="A501" s="7" t="s">
        <v>287</v>
      </c>
      <c r="B501" s="13" t="n">
        <v>84</v>
      </c>
      <c r="C501" s="7" t="s">
        <v>504</v>
      </c>
      <c r="D501" s="7" t="s">
        <v>276</v>
      </c>
      <c r="E501" s="7" t="s">
        <v>538</v>
      </c>
      <c r="F501" s="13" t="n">
        <v>5</v>
      </c>
      <c r="G501" s="7" t="s">
        <v>539</v>
      </c>
      <c r="H501" s="7" t="s">
        <v>513</v>
      </c>
    </row>
    <row r="502" customFormat="false" ht="15" hidden="false" customHeight="false" outlineLevel="0" collapsed="false">
      <c r="A502" s="7" t="s">
        <v>287</v>
      </c>
      <c r="B502" s="13" t="n">
        <v>85</v>
      </c>
      <c r="C502" s="7" t="s">
        <v>504</v>
      </c>
      <c r="D502" s="7" t="s">
        <v>276</v>
      </c>
      <c r="E502" s="7" t="s">
        <v>540</v>
      </c>
      <c r="F502" s="13" t="n">
        <v>3</v>
      </c>
      <c r="G502" s="7" t="s">
        <v>541</v>
      </c>
      <c r="H502" s="7" t="s">
        <v>513</v>
      </c>
    </row>
    <row r="503" customFormat="false" ht="15" hidden="false" customHeight="false" outlineLevel="0" collapsed="false">
      <c r="A503" s="7" t="s">
        <v>287</v>
      </c>
      <c r="B503" s="13" t="n">
        <v>86</v>
      </c>
      <c r="C503" s="7" t="s">
        <v>504</v>
      </c>
      <c r="D503" s="7" t="s">
        <v>276</v>
      </c>
      <c r="E503" s="7" t="s">
        <v>542</v>
      </c>
      <c r="F503" s="13" t="n">
        <v>3</v>
      </c>
      <c r="G503" s="7" t="s">
        <v>543</v>
      </c>
      <c r="H503" s="7" t="s">
        <v>513</v>
      </c>
    </row>
    <row r="504" customFormat="false" ht="15" hidden="false" customHeight="false" outlineLevel="0" collapsed="false">
      <c r="A504" s="7" t="s">
        <v>287</v>
      </c>
      <c r="B504" s="13" t="n">
        <v>87</v>
      </c>
      <c r="C504" s="7" t="s">
        <v>504</v>
      </c>
      <c r="D504" s="7" t="s">
        <v>276</v>
      </c>
      <c r="E504" s="7" t="s">
        <v>544</v>
      </c>
      <c r="F504" s="13" t="n">
        <v>6</v>
      </c>
      <c r="G504" s="7" t="s">
        <v>545</v>
      </c>
      <c r="H504" s="7" t="s">
        <v>513</v>
      </c>
    </row>
    <row r="505" customFormat="false" ht="15" hidden="false" customHeight="false" outlineLevel="0" collapsed="false">
      <c r="A505" s="7" t="s">
        <v>287</v>
      </c>
      <c r="B505" s="13" t="n">
        <v>88</v>
      </c>
      <c r="C505" s="7" t="s">
        <v>504</v>
      </c>
      <c r="D505" s="7" t="s">
        <v>276</v>
      </c>
      <c r="E505" s="7" t="s">
        <v>546</v>
      </c>
      <c r="F505" s="13" t="n">
        <v>5</v>
      </c>
      <c r="G505" s="7" t="s">
        <v>547</v>
      </c>
      <c r="H505" s="7" t="s">
        <v>513</v>
      </c>
    </row>
    <row r="506" customFormat="false" ht="15" hidden="false" customHeight="false" outlineLevel="0" collapsed="false">
      <c r="A506" s="7" t="s">
        <v>287</v>
      </c>
      <c r="B506" s="13" t="n">
        <v>89</v>
      </c>
      <c r="C506" s="7" t="s">
        <v>504</v>
      </c>
      <c r="D506" s="7" t="s">
        <v>276</v>
      </c>
      <c r="E506" s="7" t="s">
        <v>548</v>
      </c>
      <c r="F506" s="13" t="n">
        <v>4</v>
      </c>
      <c r="G506" s="7" t="s">
        <v>549</v>
      </c>
      <c r="H506" s="7" t="s">
        <v>513</v>
      </c>
    </row>
    <row r="507" customFormat="false" ht="15" hidden="false" customHeight="false" outlineLevel="0" collapsed="false">
      <c r="A507" s="7" t="s">
        <v>287</v>
      </c>
      <c r="B507" s="13" t="n">
        <v>90</v>
      </c>
      <c r="C507" s="7" t="s">
        <v>504</v>
      </c>
      <c r="D507" s="7" t="s">
        <v>276</v>
      </c>
      <c r="E507" s="7" t="s">
        <v>550</v>
      </c>
      <c r="F507" s="13" t="n">
        <v>5</v>
      </c>
      <c r="G507" s="7" t="s">
        <v>551</v>
      </c>
      <c r="H507" s="7" t="s">
        <v>513</v>
      </c>
    </row>
    <row r="508" customFormat="false" ht="15" hidden="false" customHeight="false" outlineLevel="0" collapsed="false">
      <c r="A508" s="7" t="s">
        <v>287</v>
      </c>
      <c r="B508" s="13" t="n">
        <v>91</v>
      </c>
      <c r="C508" s="7" t="s">
        <v>504</v>
      </c>
      <c r="D508" s="7" t="s">
        <v>240</v>
      </c>
      <c r="E508" s="7" t="s">
        <v>552</v>
      </c>
      <c r="F508" s="13" t="n">
        <v>4</v>
      </c>
      <c r="G508" s="7" t="s">
        <v>553</v>
      </c>
      <c r="H508" s="7" t="s">
        <v>513</v>
      </c>
    </row>
    <row r="509" customFormat="false" ht="15" hidden="false" customHeight="false" outlineLevel="0" collapsed="false">
      <c r="A509" s="7" t="s">
        <v>287</v>
      </c>
      <c r="B509" s="13" t="n">
        <v>92</v>
      </c>
      <c r="C509" s="7" t="s">
        <v>504</v>
      </c>
      <c r="D509" s="7" t="s">
        <v>240</v>
      </c>
      <c r="E509" s="7" t="s">
        <v>554</v>
      </c>
      <c r="F509" s="13" t="n">
        <v>4</v>
      </c>
      <c r="G509" s="7" t="s">
        <v>555</v>
      </c>
      <c r="H509" s="7" t="s">
        <v>513</v>
      </c>
    </row>
    <row r="510" customFormat="false" ht="15" hidden="false" customHeight="false" outlineLevel="0" collapsed="false">
      <c r="A510" s="7" t="s">
        <v>287</v>
      </c>
      <c r="B510" s="13" t="n">
        <v>93</v>
      </c>
      <c r="C510" s="7" t="s">
        <v>504</v>
      </c>
      <c r="D510" s="7" t="s">
        <v>240</v>
      </c>
      <c r="E510" s="7" t="s">
        <v>556</v>
      </c>
      <c r="F510" s="13" t="n">
        <v>3</v>
      </c>
      <c r="G510" s="7" t="s">
        <v>557</v>
      </c>
      <c r="H510" s="7" t="s">
        <v>513</v>
      </c>
    </row>
    <row r="511" customFormat="false" ht="15" hidden="false" customHeight="false" outlineLevel="0" collapsed="false">
      <c r="A511" s="7" t="s">
        <v>287</v>
      </c>
      <c r="B511" s="13" t="n">
        <v>94</v>
      </c>
      <c r="C511" s="7" t="s">
        <v>504</v>
      </c>
      <c r="D511" s="7" t="s">
        <v>240</v>
      </c>
      <c r="E511" s="7" t="s">
        <v>558</v>
      </c>
      <c r="F511" s="13" t="n">
        <v>5</v>
      </c>
      <c r="G511" s="7" t="s">
        <v>559</v>
      </c>
      <c r="H511" s="7" t="s">
        <v>513</v>
      </c>
    </row>
    <row r="512" customFormat="false" ht="15" hidden="false" customHeight="false" outlineLevel="0" collapsed="false">
      <c r="A512" s="7" t="s">
        <v>287</v>
      </c>
      <c r="B512" s="13" t="n">
        <v>95</v>
      </c>
      <c r="C512" s="7" t="s">
        <v>504</v>
      </c>
      <c r="D512" s="7" t="s">
        <v>290</v>
      </c>
      <c r="E512" s="7" t="s">
        <v>560</v>
      </c>
      <c r="F512" s="13" t="n">
        <v>3</v>
      </c>
      <c r="G512" s="7" t="s">
        <v>561</v>
      </c>
      <c r="H512" s="7" t="s">
        <v>513</v>
      </c>
    </row>
    <row r="513" customFormat="false" ht="15" hidden="false" customHeight="false" outlineLevel="0" collapsed="false">
      <c r="A513" s="7" t="s">
        <v>287</v>
      </c>
      <c r="B513" s="13" t="n">
        <v>96</v>
      </c>
      <c r="C513" s="7" t="s">
        <v>504</v>
      </c>
      <c r="D513" s="7" t="s">
        <v>290</v>
      </c>
      <c r="E513" s="7" t="s">
        <v>562</v>
      </c>
      <c r="F513" s="13" t="n">
        <v>3</v>
      </c>
      <c r="G513" s="7" t="s">
        <v>563</v>
      </c>
      <c r="H513" s="7" t="s">
        <v>513</v>
      </c>
    </row>
    <row r="514" customFormat="false" ht="15" hidden="false" customHeight="false" outlineLevel="0" collapsed="false">
      <c r="A514" s="7" t="s">
        <v>287</v>
      </c>
      <c r="B514" s="13" t="n">
        <v>97</v>
      </c>
      <c r="C514" s="7" t="s">
        <v>504</v>
      </c>
      <c r="D514" s="7" t="s">
        <v>290</v>
      </c>
      <c r="E514" s="7" t="s">
        <v>564</v>
      </c>
      <c r="F514" s="13" t="n">
        <v>4</v>
      </c>
      <c r="G514" s="7" t="s">
        <v>565</v>
      </c>
      <c r="H514" s="7" t="s">
        <v>513</v>
      </c>
    </row>
    <row r="515" customFormat="false" ht="15" hidden="false" customHeight="false" outlineLevel="0" collapsed="false">
      <c r="A515" s="7" t="s">
        <v>287</v>
      </c>
      <c r="B515" s="13" t="n">
        <v>98</v>
      </c>
      <c r="C515" s="7" t="s">
        <v>504</v>
      </c>
      <c r="D515" s="7" t="s">
        <v>235</v>
      </c>
      <c r="E515" s="7" t="s">
        <v>566</v>
      </c>
      <c r="F515" s="13" t="n">
        <v>3</v>
      </c>
      <c r="G515" s="7" t="s">
        <v>567</v>
      </c>
      <c r="H515" s="7" t="s">
        <v>513</v>
      </c>
    </row>
    <row r="516" customFormat="false" ht="15" hidden="false" customHeight="false" outlineLevel="0" collapsed="false">
      <c r="A516" s="7" t="s">
        <v>287</v>
      </c>
      <c r="B516" s="13" t="n">
        <v>99</v>
      </c>
      <c r="C516" s="7" t="s">
        <v>504</v>
      </c>
      <c r="D516" s="7" t="s">
        <v>235</v>
      </c>
      <c r="E516" s="7" t="s">
        <v>568</v>
      </c>
      <c r="F516" s="13" t="n">
        <v>3</v>
      </c>
      <c r="G516" s="7" t="s">
        <v>569</v>
      </c>
      <c r="H516" s="7" t="s">
        <v>513</v>
      </c>
    </row>
    <row r="517" customFormat="false" ht="15" hidden="false" customHeight="false" outlineLevel="0" collapsed="false">
      <c r="A517" s="7" t="s">
        <v>287</v>
      </c>
      <c r="B517" s="13" t="n">
        <v>100</v>
      </c>
      <c r="C517" s="7" t="s">
        <v>504</v>
      </c>
      <c r="D517" s="7" t="s">
        <v>235</v>
      </c>
      <c r="E517" s="7" t="s">
        <v>570</v>
      </c>
      <c r="F517" s="13" t="n">
        <v>4</v>
      </c>
      <c r="G517" s="7" t="s">
        <v>571</v>
      </c>
      <c r="H517" s="7" t="s">
        <v>513</v>
      </c>
    </row>
    <row r="518" customFormat="false" ht="15" hidden="false" customHeight="false" outlineLevel="0" collapsed="false">
      <c r="A518" s="7" t="s">
        <v>287</v>
      </c>
      <c r="B518" s="13" t="n">
        <v>101</v>
      </c>
      <c r="C518" s="7" t="s">
        <v>504</v>
      </c>
      <c r="D518" s="7" t="s">
        <v>235</v>
      </c>
      <c r="E518" s="7" t="s">
        <v>572</v>
      </c>
      <c r="F518" s="13" t="n">
        <v>4</v>
      </c>
      <c r="G518" s="7" t="s">
        <v>573</v>
      </c>
      <c r="H518" s="7" t="s">
        <v>513</v>
      </c>
    </row>
    <row r="519" customFormat="false" ht="15" hidden="false" customHeight="false" outlineLevel="0" collapsed="false">
      <c r="A519" s="7" t="s">
        <v>287</v>
      </c>
      <c r="B519" s="13" t="n">
        <v>102</v>
      </c>
      <c r="C519" s="7" t="s">
        <v>504</v>
      </c>
      <c r="D519" s="7" t="s">
        <v>394</v>
      </c>
      <c r="E519" s="7" t="s">
        <v>574</v>
      </c>
      <c r="F519" s="13" t="n">
        <v>3</v>
      </c>
      <c r="G519" s="7" t="s">
        <v>575</v>
      </c>
      <c r="H519" s="7" t="s">
        <v>513</v>
      </c>
    </row>
    <row r="520" customFormat="false" ht="15" hidden="false" customHeight="false" outlineLevel="0" collapsed="false">
      <c r="A520" s="7" t="s">
        <v>287</v>
      </c>
      <c r="B520" s="13" t="n">
        <v>103</v>
      </c>
      <c r="C520" s="7" t="s">
        <v>504</v>
      </c>
      <c r="D520" s="7" t="s">
        <v>394</v>
      </c>
      <c r="E520" s="7" t="s">
        <v>576</v>
      </c>
      <c r="F520" s="13" t="n">
        <v>4</v>
      </c>
      <c r="G520" s="7" t="s">
        <v>577</v>
      </c>
      <c r="H520" s="7" t="s">
        <v>513</v>
      </c>
    </row>
    <row r="521" customFormat="false" ht="15" hidden="false" customHeight="false" outlineLevel="0" collapsed="false">
      <c r="A521" s="7" t="s">
        <v>287</v>
      </c>
      <c r="B521" s="13" t="n">
        <v>104</v>
      </c>
      <c r="C521" s="7" t="s">
        <v>504</v>
      </c>
      <c r="D521" s="7" t="s">
        <v>394</v>
      </c>
      <c r="E521" s="7" t="s">
        <v>578</v>
      </c>
      <c r="F521" s="13" t="n">
        <v>4</v>
      </c>
      <c r="G521" s="7" t="s">
        <v>579</v>
      </c>
      <c r="H521" s="7" t="s">
        <v>513</v>
      </c>
    </row>
    <row r="522" customFormat="false" ht="15" hidden="false" customHeight="false" outlineLevel="0" collapsed="false">
      <c r="A522" s="7" t="s">
        <v>287</v>
      </c>
      <c r="B522" s="13" t="n">
        <v>105</v>
      </c>
      <c r="C522" s="7" t="s">
        <v>504</v>
      </c>
      <c r="D522" s="7" t="s">
        <v>394</v>
      </c>
      <c r="E522" s="7" t="s">
        <v>580</v>
      </c>
      <c r="F522" s="13" t="n">
        <v>3</v>
      </c>
      <c r="G522" s="7" t="s">
        <v>581</v>
      </c>
      <c r="H522" s="7" t="s">
        <v>513</v>
      </c>
    </row>
    <row r="523" customFormat="false" ht="15" hidden="false" customHeight="false" outlineLevel="0" collapsed="false">
      <c r="A523" s="7" t="s">
        <v>287</v>
      </c>
      <c r="B523" s="13" t="n">
        <v>106</v>
      </c>
      <c r="C523" s="7" t="s">
        <v>504</v>
      </c>
      <c r="D523" s="7" t="s">
        <v>394</v>
      </c>
      <c r="E523" s="7" t="s">
        <v>582</v>
      </c>
      <c r="F523" s="13" t="n">
        <v>4</v>
      </c>
      <c r="G523" s="7" t="s">
        <v>583</v>
      </c>
      <c r="H523" s="7" t="s">
        <v>513</v>
      </c>
    </row>
    <row r="524" customFormat="false" ht="15" hidden="false" customHeight="false" outlineLevel="0" collapsed="false">
      <c r="A524" s="7" t="s">
        <v>287</v>
      </c>
      <c r="B524" s="13" t="n">
        <v>107</v>
      </c>
      <c r="C524" s="7" t="s">
        <v>504</v>
      </c>
      <c r="D524" s="7" t="s">
        <v>260</v>
      </c>
      <c r="E524" s="7" t="s">
        <v>584</v>
      </c>
      <c r="F524" s="13" t="n">
        <v>5</v>
      </c>
      <c r="G524" s="7" t="s">
        <v>585</v>
      </c>
      <c r="H524" s="7" t="s">
        <v>513</v>
      </c>
    </row>
    <row r="525" customFormat="false" ht="15" hidden="false" customHeight="false" outlineLevel="0" collapsed="false">
      <c r="A525" s="7" t="s">
        <v>287</v>
      </c>
      <c r="B525" s="13" t="n">
        <v>108</v>
      </c>
      <c r="C525" s="7" t="s">
        <v>504</v>
      </c>
      <c r="D525" s="7" t="s">
        <v>260</v>
      </c>
      <c r="E525" s="7" t="s">
        <v>586</v>
      </c>
      <c r="F525" s="13" t="n">
        <v>4</v>
      </c>
      <c r="G525" s="7" t="s">
        <v>587</v>
      </c>
      <c r="H525" s="7" t="s">
        <v>513</v>
      </c>
    </row>
    <row r="526" customFormat="false" ht="15" hidden="false" customHeight="false" outlineLevel="0" collapsed="false">
      <c r="A526" s="7" t="s">
        <v>287</v>
      </c>
      <c r="B526" s="13" t="n">
        <v>109</v>
      </c>
      <c r="C526" s="7" t="s">
        <v>504</v>
      </c>
      <c r="D526" s="7" t="s">
        <v>260</v>
      </c>
      <c r="E526" s="7" t="s">
        <v>588</v>
      </c>
      <c r="F526" s="13" t="n">
        <v>3</v>
      </c>
      <c r="G526" s="7" t="s">
        <v>589</v>
      </c>
      <c r="H526" s="7" t="s">
        <v>513</v>
      </c>
    </row>
    <row r="527" customFormat="false" ht="15" hidden="false" customHeight="false" outlineLevel="0" collapsed="false">
      <c r="A527" s="7" t="s">
        <v>287</v>
      </c>
      <c r="B527" s="13" t="n">
        <v>110</v>
      </c>
      <c r="C527" s="7" t="s">
        <v>504</v>
      </c>
      <c r="D527" s="7" t="s">
        <v>260</v>
      </c>
      <c r="E527" s="7" t="s">
        <v>590</v>
      </c>
      <c r="F527" s="13" t="n">
        <v>3</v>
      </c>
      <c r="G527" s="7" t="s">
        <v>591</v>
      </c>
      <c r="H527" s="7" t="s">
        <v>513</v>
      </c>
    </row>
    <row r="528" customFormat="false" ht="15" hidden="false" customHeight="false" outlineLevel="0" collapsed="false">
      <c r="A528" s="7" t="s">
        <v>287</v>
      </c>
      <c r="B528" s="13" t="n">
        <v>111</v>
      </c>
      <c r="C528" s="7" t="s">
        <v>504</v>
      </c>
      <c r="D528" s="7" t="s">
        <v>260</v>
      </c>
      <c r="E528" s="7" t="s">
        <v>592</v>
      </c>
      <c r="F528" s="13" t="n">
        <v>3</v>
      </c>
      <c r="G528" s="7" t="s">
        <v>593</v>
      </c>
      <c r="H528" s="7" t="s">
        <v>513</v>
      </c>
    </row>
    <row r="529" customFormat="false" ht="15" hidden="false" customHeight="false" outlineLevel="0" collapsed="false">
      <c r="A529" s="7" t="s">
        <v>287</v>
      </c>
      <c r="B529" s="13" t="n">
        <v>112</v>
      </c>
      <c r="C529" s="7" t="s">
        <v>504</v>
      </c>
      <c r="D529" s="7" t="s">
        <v>260</v>
      </c>
      <c r="E529" s="7" t="s">
        <v>594</v>
      </c>
      <c r="F529" s="13" t="n">
        <v>3</v>
      </c>
      <c r="G529" s="7" t="s">
        <v>595</v>
      </c>
      <c r="H529" s="7" t="s">
        <v>513</v>
      </c>
    </row>
    <row r="530" customFormat="false" ht="15" hidden="false" customHeight="false" outlineLevel="0" collapsed="false">
      <c r="A530" s="7" t="s">
        <v>287</v>
      </c>
      <c r="B530" s="13" t="n">
        <v>113</v>
      </c>
      <c r="C530" s="7" t="s">
        <v>504</v>
      </c>
      <c r="D530" s="7" t="s">
        <v>260</v>
      </c>
      <c r="E530" s="7" t="s">
        <v>596</v>
      </c>
      <c r="F530" s="13" t="n">
        <v>6</v>
      </c>
      <c r="G530" s="7" t="s">
        <v>597</v>
      </c>
      <c r="H530" s="7" t="s">
        <v>513</v>
      </c>
    </row>
    <row r="531" customFormat="false" ht="15" hidden="false" customHeight="false" outlineLevel="0" collapsed="false">
      <c r="A531" s="7" t="s">
        <v>287</v>
      </c>
      <c r="B531" s="13" t="n">
        <v>114</v>
      </c>
      <c r="C531" s="7" t="s">
        <v>504</v>
      </c>
      <c r="D531" s="7" t="s">
        <v>260</v>
      </c>
      <c r="E531" s="7" t="s">
        <v>598</v>
      </c>
      <c r="F531" s="13" t="n">
        <v>3</v>
      </c>
      <c r="G531" s="7" t="s">
        <v>599</v>
      </c>
      <c r="H531" s="7" t="s">
        <v>513</v>
      </c>
    </row>
    <row r="532" customFormat="false" ht="15" hidden="false" customHeight="false" outlineLevel="0" collapsed="false">
      <c r="A532" s="7" t="s">
        <v>287</v>
      </c>
      <c r="B532" s="13" t="n">
        <v>115</v>
      </c>
      <c r="C532" s="7" t="s">
        <v>504</v>
      </c>
      <c r="D532" s="7" t="s">
        <v>271</v>
      </c>
      <c r="E532" s="7" t="s">
        <v>600</v>
      </c>
      <c r="F532" s="13" t="n">
        <v>4</v>
      </c>
      <c r="G532" s="7" t="s">
        <v>601</v>
      </c>
      <c r="H532" s="7" t="s">
        <v>513</v>
      </c>
    </row>
    <row r="533" customFormat="false" ht="15" hidden="false" customHeight="false" outlineLevel="0" collapsed="false">
      <c r="A533" s="7" t="s">
        <v>287</v>
      </c>
      <c r="B533" s="13" t="n">
        <v>116</v>
      </c>
      <c r="C533" s="7" t="s">
        <v>504</v>
      </c>
      <c r="D533" s="7" t="s">
        <v>271</v>
      </c>
      <c r="E533" s="7" t="s">
        <v>602</v>
      </c>
      <c r="F533" s="13" t="n">
        <v>6</v>
      </c>
      <c r="G533" s="7" t="s">
        <v>603</v>
      </c>
      <c r="H533" s="7" t="s">
        <v>513</v>
      </c>
    </row>
    <row r="534" customFormat="false" ht="15" hidden="false" customHeight="false" outlineLevel="0" collapsed="false">
      <c r="A534" s="7" t="s">
        <v>287</v>
      </c>
      <c r="B534" s="13" t="n">
        <v>117</v>
      </c>
      <c r="C534" s="7" t="s">
        <v>504</v>
      </c>
      <c r="D534" s="7" t="s">
        <v>271</v>
      </c>
      <c r="E534" s="7" t="s">
        <v>604</v>
      </c>
      <c r="F534" s="13" t="n">
        <v>4</v>
      </c>
      <c r="G534" s="7" t="s">
        <v>605</v>
      </c>
      <c r="H534" s="7" t="s">
        <v>513</v>
      </c>
    </row>
    <row r="535" customFormat="false" ht="15" hidden="false" customHeight="false" outlineLevel="0" collapsed="false">
      <c r="A535" s="7" t="s">
        <v>287</v>
      </c>
      <c r="B535" s="13" t="n">
        <v>118</v>
      </c>
      <c r="C535" s="7" t="s">
        <v>504</v>
      </c>
      <c r="D535" s="7" t="s">
        <v>271</v>
      </c>
      <c r="E535" s="7" t="s">
        <v>606</v>
      </c>
      <c r="F535" s="13" t="n">
        <v>3</v>
      </c>
      <c r="G535" s="7" t="s">
        <v>607</v>
      </c>
      <c r="H535" s="7" t="s">
        <v>513</v>
      </c>
    </row>
    <row r="536" customFormat="false" ht="15" hidden="false" customHeight="false" outlineLevel="0" collapsed="false">
      <c r="A536" s="7" t="s">
        <v>287</v>
      </c>
      <c r="B536" s="13" t="n">
        <v>119</v>
      </c>
      <c r="C536" s="7" t="s">
        <v>504</v>
      </c>
      <c r="D536" s="7" t="s">
        <v>271</v>
      </c>
      <c r="E536" s="7" t="s">
        <v>608</v>
      </c>
      <c r="F536" s="13" t="n">
        <v>6</v>
      </c>
      <c r="G536" s="7" t="s">
        <v>609</v>
      </c>
      <c r="H536" s="7" t="s">
        <v>513</v>
      </c>
    </row>
    <row r="537" customFormat="false" ht="15" hidden="false" customHeight="false" outlineLevel="0" collapsed="false">
      <c r="A537" s="7" t="s">
        <v>287</v>
      </c>
      <c r="B537" s="13" t="n">
        <v>120</v>
      </c>
      <c r="C537" s="7" t="s">
        <v>504</v>
      </c>
      <c r="D537" s="7" t="s">
        <v>271</v>
      </c>
      <c r="E537" s="7" t="s">
        <v>610</v>
      </c>
      <c r="F537" s="13" t="n">
        <v>3</v>
      </c>
      <c r="G537" s="7" t="s">
        <v>611</v>
      </c>
      <c r="H537" s="7" t="s">
        <v>513</v>
      </c>
    </row>
    <row r="538" customFormat="false" ht="15" hidden="false" customHeight="false" outlineLevel="0" collapsed="false">
      <c r="A538" s="7" t="s">
        <v>287</v>
      </c>
      <c r="B538" s="13" t="n">
        <v>121</v>
      </c>
      <c r="C538" s="7" t="s">
        <v>505</v>
      </c>
      <c r="D538" s="7" t="s">
        <v>246</v>
      </c>
      <c r="E538" s="7" t="s">
        <v>645</v>
      </c>
      <c r="F538" s="13" t="n">
        <v>4</v>
      </c>
      <c r="G538" s="7" t="s">
        <v>646</v>
      </c>
      <c r="H538" s="7" t="s">
        <v>1035</v>
      </c>
    </row>
    <row r="539" customFormat="false" ht="23.85" hidden="false" customHeight="false" outlineLevel="0" collapsed="false">
      <c r="A539" s="7" t="s">
        <v>287</v>
      </c>
      <c r="B539" s="13" t="n">
        <v>122</v>
      </c>
      <c r="C539" s="7" t="s">
        <v>505</v>
      </c>
      <c r="D539" s="7" t="s">
        <v>246</v>
      </c>
      <c r="E539" s="7" t="s">
        <v>1036</v>
      </c>
      <c r="F539" s="13" t="n">
        <v>6</v>
      </c>
      <c r="G539" s="7" t="s">
        <v>1037</v>
      </c>
      <c r="H539" s="7" t="s">
        <v>1038</v>
      </c>
    </row>
    <row r="540" customFormat="false" ht="23.85" hidden="false" customHeight="false" outlineLevel="0" collapsed="false">
      <c r="A540" s="7" t="s">
        <v>287</v>
      </c>
      <c r="B540" s="13" t="n">
        <v>123</v>
      </c>
      <c r="C540" s="7" t="s">
        <v>505</v>
      </c>
      <c r="D540" s="7" t="s">
        <v>246</v>
      </c>
      <c r="E540" s="7" t="s">
        <v>1039</v>
      </c>
      <c r="F540" s="13" t="n">
        <v>4</v>
      </c>
      <c r="G540" s="7" t="s">
        <v>1040</v>
      </c>
      <c r="H540" s="7" t="s">
        <v>1041</v>
      </c>
    </row>
    <row r="541" customFormat="false" ht="15" hidden="false" customHeight="false" outlineLevel="0" collapsed="false">
      <c r="A541" s="7" t="s">
        <v>287</v>
      </c>
      <c r="B541" s="13" t="n">
        <v>124</v>
      </c>
      <c r="C541" s="7" t="s">
        <v>505</v>
      </c>
      <c r="D541" s="7" t="s">
        <v>246</v>
      </c>
      <c r="E541" s="7" t="s">
        <v>1042</v>
      </c>
      <c r="F541" s="13" t="n">
        <v>6</v>
      </c>
      <c r="G541" s="7" t="s">
        <v>1043</v>
      </c>
      <c r="H541" s="7" t="s">
        <v>1044</v>
      </c>
    </row>
    <row r="542" customFormat="false" ht="15" hidden="false" customHeight="false" outlineLevel="0" collapsed="false">
      <c r="A542" s="7" t="s">
        <v>287</v>
      </c>
      <c r="B542" s="13" t="n">
        <v>125</v>
      </c>
      <c r="C542" s="7" t="s">
        <v>505</v>
      </c>
      <c r="D542" s="7" t="s">
        <v>246</v>
      </c>
      <c r="E542" s="7" t="s">
        <v>1045</v>
      </c>
      <c r="F542" s="13" t="n">
        <v>3</v>
      </c>
      <c r="G542" s="7" t="s">
        <v>1046</v>
      </c>
      <c r="H542" s="7" t="s">
        <v>1047</v>
      </c>
    </row>
    <row r="543" customFormat="false" ht="15" hidden="false" customHeight="false" outlineLevel="0" collapsed="false">
      <c r="A543" s="7" t="s">
        <v>287</v>
      </c>
      <c r="B543" s="13" t="n">
        <v>126</v>
      </c>
      <c r="C543" s="7" t="s">
        <v>505</v>
      </c>
      <c r="D543" s="7" t="s">
        <v>246</v>
      </c>
      <c r="E543" s="7" t="s">
        <v>1048</v>
      </c>
      <c r="F543" s="13" t="n">
        <v>4</v>
      </c>
      <c r="G543" s="7" t="s">
        <v>1049</v>
      </c>
      <c r="H543" s="7" t="s">
        <v>1050</v>
      </c>
    </row>
    <row r="544" customFormat="false" ht="23.85" hidden="false" customHeight="false" outlineLevel="0" collapsed="false">
      <c r="A544" s="7" t="s">
        <v>287</v>
      </c>
      <c r="B544" s="13" t="n">
        <v>127</v>
      </c>
      <c r="C544" s="7" t="s">
        <v>505</v>
      </c>
      <c r="D544" s="7" t="s">
        <v>246</v>
      </c>
      <c r="E544" s="7" t="s">
        <v>1051</v>
      </c>
      <c r="F544" s="13" t="n">
        <v>4</v>
      </c>
      <c r="G544" s="7" t="s">
        <v>1052</v>
      </c>
      <c r="H544" s="7" t="s">
        <v>1053</v>
      </c>
    </row>
    <row r="545" customFormat="false" ht="15" hidden="false" customHeight="false" outlineLevel="0" collapsed="false">
      <c r="A545" s="7" t="s">
        <v>287</v>
      </c>
      <c r="B545" s="13" t="n">
        <v>128</v>
      </c>
      <c r="C545" s="7" t="s">
        <v>505</v>
      </c>
      <c r="D545" s="7" t="s">
        <v>246</v>
      </c>
      <c r="E545" s="7" t="s">
        <v>1054</v>
      </c>
      <c r="F545" s="13" t="n">
        <v>5</v>
      </c>
      <c r="G545" s="7" t="s">
        <v>1055</v>
      </c>
      <c r="H545" s="7" t="s">
        <v>1056</v>
      </c>
    </row>
    <row r="546" customFormat="false" ht="15" hidden="false" customHeight="false" outlineLevel="0" collapsed="false">
      <c r="A546" s="7" t="s">
        <v>287</v>
      </c>
      <c r="B546" s="13" t="n">
        <v>129</v>
      </c>
      <c r="C546" s="7" t="s">
        <v>505</v>
      </c>
      <c r="D546" s="7" t="s">
        <v>246</v>
      </c>
      <c r="E546" s="7" t="s">
        <v>1057</v>
      </c>
      <c r="F546" s="13" t="n">
        <v>4</v>
      </c>
      <c r="G546" s="7" t="s">
        <v>1058</v>
      </c>
      <c r="H546" s="7" t="s">
        <v>1059</v>
      </c>
    </row>
    <row r="547" customFormat="false" ht="23.85" hidden="false" customHeight="false" outlineLevel="0" collapsed="false">
      <c r="A547" s="7" t="s">
        <v>287</v>
      </c>
      <c r="B547" s="13" t="n">
        <v>130</v>
      </c>
      <c r="C547" s="7" t="s">
        <v>505</v>
      </c>
      <c r="D547" s="7" t="s">
        <v>266</v>
      </c>
      <c r="E547" s="7" t="s">
        <v>681</v>
      </c>
      <c r="F547" s="13" t="n">
        <v>6</v>
      </c>
      <c r="G547" s="7" t="s">
        <v>682</v>
      </c>
      <c r="H547" s="7" t="s">
        <v>1060</v>
      </c>
    </row>
    <row r="548" customFormat="false" ht="15" hidden="false" customHeight="false" outlineLevel="0" collapsed="false">
      <c r="A548" s="7" t="s">
        <v>287</v>
      </c>
      <c r="B548" s="13" t="n">
        <v>131</v>
      </c>
      <c r="C548" s="7" t="s">
        <v>505</v>
      </c>
      <c r="D548" s="7" t="s">
        <v>266</v>
      </c>
      <c r="E548" s="7" t="s">
        <v>888</v>
      </c>
      <c r="F548" s="13" t="n">
        <v>6</v>
      </c>
      <c r="G548" s="7" t="s">
        <v>889</v>
      </c>
      <c r="H548" s="7" t="s">
        <v>1061</v>
      </c>
    </row>
    <row r="549" customFormat="false" ht="15" hidden="false" customHeight="false" outlineLevel="0" collapsed="false">
      <c r="A549" s="7" t="s">
        <v>287</v>
      </c>
      <c r="B549" s="13" t="n">
        <v>132</v>
      </c>
      <c r="C549" s="7" t="s">
        <v>505</v>
      </c>
      <c r="D549" s="7" t="s">
        <v>266</v>
      </c>
      <c r="E549" s="7" t="s">
        <v>1062</v>
      </c>
      <c r="F549" s="13" t="n">
        <v>6</v>
      </c>
      <c r="G549" s="7" t="s">
        <v>1063</v>
      </c>
      <c r="H549" s="7" t="s">
        <v>1064</v>
      </c>
    </row>
    <row r="550" customFormat="false" ht="23.85" hidden="false" customHeight="false" outlineLevel="0" collapsed="false">
      <c r="A550" s="7" t="s">
        <v>287</v>
      </c>
      <c r="B550" s="13" t="n">
        <v>133</v>
      </c>
      <c r="C550" s="7" t="s">
        <v>505</v>
      </c>
      <c r="D550" s="7" t="s">
        <v>266</v>
      </c>
      <c r="E550" s="7" t="s">
        <v>1065</v>
      </c>
      <c r="F550" s="13" t="n">
        <v>5</v>
      </c>
      <c r="G550" s="7" t="s">
        <v>1066</v>
      </c>
      <c r="H550" s="7" t="s">
        <v>1067</v>
      </c>
    </row>
    <row r="551" customFormat="false" ht="15" hidden="false" customHeight="false" outlineLevel="0" collapsed="false">
      <c r="A551" s="7" t="s">
        <v>287</v>
      </c>
      <c r="B551" s="13" t="n">
        <v>134</v>
      </c>
      <c r="C551" s="7" t="s">
        <v>505</v>
      </c>
      <c r="D551" s="7" t="s">
        <v>266</v>
      </c>
      <c r="E551" s="7" t="s">
        <v>1068</v>
      </c>
      <c r="F551" s="13" t="n">
        <v>5</v>
      </c>
      <c r="G551" s="7" t="s">
        <v>1069</v>
      </c>
      <c r="H551" s="7" t="s">
        <v>1070</v>
      </c>
    </row>
    <row r="552" customFormat="false" ht="23.85" hidden="false" customHeight="false" outlineLevel="0" collapsed="false">
      <c r="A552" s="7" t="s">
        <v>287</v>
      </c>
      <c r="B552" s="13" t="n">
        <v>135</v>
      </c>
      <c r="C552" s="7" t="s">
        <v>505</v>
      </c>
      <c r="D552" s="7" t="s">
        <v>266</v>
      </c>
      <c r="E552" s="7" t="s">
        <v>1071</v>
      </c>
      <c r="F552" s="13" t="n">
        <v>5</v>
      </c>
      <c r="G552" s="7" t="s">
        <v>1072</v>
      </c>
      <c r="H552" s="7" t="s">
        <v>1073</v>
      </c>
    </row>
    <row r="553" customFormat="false" ht="15" hidden="false" customHeight="false" outlineLevel="0" collapsed="false">
      <c r="A553" s="7" t="s">
        <v>287</v>
      </c>
      <c r="B553" s="13" t="n">
        <v>136</v>
      </c>
      <c r="C553" s="7" t="s">
        <v>505</v>
      </c>
      <c r="D553" s="7" t="s">
        <v>266</v>
      </c>
      <c r="E553" s="7" t="s">
        <v>1074</v>
      </c>
      <c r="F553" s="13" t="n">
        <v>3</v>
      </c>
      <c r="G553" s="7" t="s">
        <v>1075</v>
      </c>
      <c r="H553" s="7" t="s">
        <v>1076</v>
      </c>
    </row>
    <row r="554" customFormat="false" ht="15" hidden="false" customHeight="false" outlineLevel="0" collapsed="false">
      <c r="A554" s="7" t="s">
        <v>287</v>
      </c>
      <c r="B554" s="13" t="n">
        <v>137</v>
      </c>
      <c r="C554" s="7" t="s">
        <v>505</v>
      </c>
      <c r="D554" s="7" t="s">
        <v>266</v>
      </c>
      <c r="E554" s="7" t="s">
        <v>1077</v>
      </c>
      <c r="F554" s="13" t="n">
        <v>5</v>
      </c>
      <c r="G554" s="7" t="s">
        <v>1078</v>
      </c>
      <c r="H554" s="7" t="s">
        <v>1079</v>
      </c>
    </row>
    <row r="555" customFormat="false" ht="15" hidden="false" customHeight="false" outlineLevel="0" collapsed="false">
      <c r="A555" s="7" t="s">
        <v>287</v>
      </c>
      <c r="B555" s="13" t="n">
        <v>138</v>
      </c>
      <c r="C555" s="7" t="s">
        <v>505</v>
      </c>
      <c r="D555" s="7" t="s">
        <v>266</v>
      </c>
      <c r="E555" s="7" t="s">
        <v>1080</v>
      </c>
      <c r="F555" s="13" t="n">
        <v>5</v>
      </c>
      <c r="G555" s="7" t="s">
        <v>1081</v>
      </c>
      <c r="H555" s="7" t="s">
        <v>1082</v>
      </c>
    </row>
    <row r="556" customFormat="false" ht="15" hidden="false" customHeight="false" outlineLevel="0" collapsed="false">
      <c r="A556" s="7" t="s">
        <v>287</v>
      </c>
      <c r="B556" s="13" t="n">
        <v>139</v>
      </c>
      <c r="C556" s="7" t="s">
        <v>505</v>
      </c>
      <c r="D556" s="7" t="s">
        <v>266</v>
      </c>
      <c r="E556" s="7" t="s">
        <v>1083</v>
      </c>
      <c r="F556" s="13" t="n">
        <v>4</v>
      </c>
      <c r="G556" s="7" t="s">
        <v>1084</v>
      </c>
      <c r="H556" s="7" t="s">
        <v>1085</v>
      </c>
    </row>
    <row r="557" customFormat="false" ht="23.85" hidden="false" customHeight="false" outlineLevel="0" collapsed="false">
      <c r="A557" s="7" t="s">
        <v>287</v>
      </c>
      <c r="B557" s="13" t="n">
        <v>140</v>
      </c>
      <c r="C557" s="7" t="s">
        <v>505</v>
      </c>
      <c r="D557" s="7" t="s">
        <v>266</v>
      </c>
      <c r="E557" s="7" t="s">
        <v>1086</v>
      </c>
      <c r="F557" s="13" t="n">
        <v>5</v>
      </c>
      <c r="G557" s="7" t="s">
        <v>1087</v>
      </c>
      <c r="H557" s="7" t="s">
        <v>1088</v>
      </c>
    </row>
    <row r="558" customFormat="false" ht="15" hidden="false" customHeight="false" outlineLevel="0" collapsed="false">
      <c r="A558" s="7" t="s">
        <v>287</v>
      </c>
      <c r="B558" s="13" t="n">
        <v>141</v>
      </c>
      <c r="C558" s="7" t="s">
        <v>505</v>
      </c>
      <c r="D558" s="7" t="s">
        <v>266</v>
      </c>
      <c r="E558" s="7" t="s">
        <v>1089</v>
      </c>
      <c r="F558" s="13" t="n">
        <v>4</v>
      </c>
      <c r="G558" s="7" t="s">
        <v>1090</v>
      </c>
      <c r="H558" s="7" t="s">
        <v>1091</v>
      </c>
    </row>
    <row r="559" customFormat="false" ht="15" hidden="false" customHeight="false" outlineLevel="0" collapsed="false">
      <c r="A559" s="7" t="s">
        <v>287</v>
      </c>
      <c r="B559" s="13" t="n">
        <v>142</v>
      </c>
      <c r="C559" s="7" t="s">
        <v>505</v>
      </c>
      <c r="D559" s="7" t="s">
        <v>266</v>
      </c>
      <c r="E559" s="7" t="s">
        <v>1092</v>
      </c>
      <c r="F559" s="13" t="n">
        <v>4</v>
      </c>
      <c r="G559" s="7" t="s">
        <v>1093</v>
      </c>
      <c r="H559" s="7" t="s">
        <v>1094</v>
      </c>
    </row>
    <row r="560" customFormat="false" ht="23.85" hidden="false" customHeight="false" outlineLevel="0" collapsed="false">
      <c r="A560" s="7" t="s">
        <v>287</v>
      </c>
      <c r="B560" s="13" t="n">
        <v>143</v>
      </c>
      <c r="C560" s="7" t="s">
        <v>505</v>
      </c>
      <c r="D560" s="7" t="s">
        <v>266</v>
      </c>
      <c r="E560" s="7" t="s">
        <v>1095</v>
      </c>
      <c r="F560" s="13" t="n">
        <v>4</v>
      </c>
      <c r="G560" s="7" t="s">
        <v>1096</v>
      </c>
      <c r="H560" s="7" t="s">
        <v>1097</v>
      </c>
    </row>
    <row r="561" customFormat="false" ht="15" hidden="false" customHeight="false" outlineLevel="0" collapsed="false">
      <c r="A561" s="7" t="s">
        <v>287</v>
      </c>
      <c r="B561" s="13" t="n">
        <v>144</v>
      </c>
      <c r="C561" s="7" t="s">
        <v>505</v>
      </c>
      <c r="D561" s="7" t="s">
        <v>266</v>
      </c>
      <c r="E561" s="7" t="s">
        <v>1098</v>
      </c>
      <c r="F561" s="13" t="n">
        <v>5</v>
      </c>
      <c r="G561" s="7" t="s">
        <v>1099</v>
      </c>
      <c r="H561" s="7" t="s">
        <v>1100</v>
      </c>
    </row>
    <row r="562" customFormat="false" ht="15" hidden="false" customHeight="false" outlineLevel="0" collapsed="false">
      <c r="A562" s="7" t="s">
        <v>287</v>
      </c>
      <c r="B562" s="13" t="n">
        <v>145</v>
      </c>
      <c r="C562" s="7" t="s">
        <v>505</v>
      </c>
      <c r="D562" s="7" t="s">
        <v>266</v>
      </c>
      <c r="E562" s="7" t="s">
        <v>1101</v>
      </c>
      <c r="F562" s="13" t="n">
        <v>4</v>
      </c>
      <c r="G562" s="7" t="s">
        <v>1102</v>
      </c>
      <c r="H562" s="7" t="s">
        <v>1103</v>
      </c>
    </row>
    <row r="563" customFormat="false" ht="23.85" hidden="false" customHeight="false" outlineLevel="0" collapsed="false">
      <c r="A563" s="7" t="s">
        <v>287</v>
      </c>
      <c r="B563" s="13" t="n">
        <v>146</v>
      </c>
      <c r="C563" s="7" t="s">
        <v>505</v>
      </c>
      <c r="D563" s="7" t="s">
        <v>266</v>
      </c>
      <c r="E563" s="7" t="s">
        <v>1104</v>
      </c>
      <c r="F563" s="13" t="n">
        <v>4</v>
      </c>
      <c r="G563" s="7" t="s">
        <v>1105</v>
      </c>
      <c r="H563" s="7" t="s">
        <v>1106</v>
      </c>
    </row>
    <row r="564" customFormat="false" ht="15" hidden="false" customHeight="false" outlineLevel="0" collapsed="false">
      <c r="A564" s="7" t="s">
        <v>287</v>
      </c>
      <c r="B564" s="13" t="n">
        <v>147</v>
      </c>
      <c r="C564" s="7" t="s">
        <v>505</v>
      </c>
      <c r="D564" s="7" t="s">
        <v>266</v>
      </c>
      <c r="E564" s="7" t="s">
        <v>1107</v>
      </c>
      <c r="F564" s="13" t="n">
        <v>5</v>
      </c>
      <c r="G564" s="7" t="s">
        <v>1108</v>
      </c>
      <c r="H564" s="7" t="s">
        <v>1109</v>
      </c>
    </row>
    <row r="565" customFormat="false" ht="23.85" hidden="false" customHeight="false" outlineLevel="0" collapsed="false">
      <c r="A565" s="7" t="s">
        <v>287</v>
      </c>
      <c r="B565" s="13" t="n">
        <v>148</v>
      </c>
      <c r="C565" s="7" t="s">
        <v>505</v>
      </c>
      <c r="D565" s="7" t="s">
        <v>266</v>
      </c>
      <c r="E565" s="7" t="s">
        <v>1110</v>
      </c>
      <c r="F565" s="13" t="n">
        <v>4</v>
      </c>
      <c r="G565" s="7" t="s">
        <v>1111</v>
      </c>
      <c r="H565" s="7" t="s">
        <v>1112</v>
      </c>
    </row>
    <row r="566" customFormat="false" ht="15" hidden="false" customHeight="false" outlineLevel="0" collapsed="false">
      <c r="A566" s="7" t="s">
        <v>287</v>
      </c>
      <c r="B566" s="13" t="n">
        <v>149</v>
      </c>
      <c r="C566" s="7" t="s">
        <v>505</v>
      </c>
      <c r="D566" s="7" t="s">
        <v>266</v>
      </c>
      <c r="E566" s="7" t="s">
        <v>1113</v>
      </c>
      <c r="F566" s="13" t="n">
        <v>4</v>
      </c>
      <c r="G566" s="7" t="s">
        <v>1114</v>
      </c>
      <c r="H566" s="7" t="s">
        <v>1115</v>
      </c>
    </row>
    <row r="567" customFormat="false" ht="15" hidden="false" customHeight="false" outlineLevel="0" collapsed="false">
      <c r="A567" s="7" t="s">
        <v>287</v>
      </c>
      <c r="B567" s="13" t="n">
        <v>150</v>
      </c>
      <c r="C567" s="7" t="s">
        <v>505</v>
      </c>
      <c r="D567" s="7" t="s">
        <v>266</v>
      </c>
      <c r="E567" s="7" t="s">
        <v>1116</v>
      </c>
      <c r="F567" s="13" t="n">
        <v>4</v>
      </c>
      <c r="G567" s="7" t="s">
        <v>1117</v>
      </c>
      <c r="H567" s="7" t="s">
        <v>1118</v>
      </c>
    </row>
    <row r="568" customFormat="false" ht="23.85" hidden="false" customHeight="false" outlineLevel="0" collapsed="false">
      <c r="A568" s="7" t="s">
        <v>287</v>
      </c>
      <c r="B568" s="13" t="n">
        <v>151</v>
      </c>
      <c r="C568" s="7" t="s">
        <v>505</v>
      </c>
      <c r="D568" s="7" t="s">
        <v>266</v>
      </c>
      <c r="E568" s="7" t="s">
        <v>1119</v>
      </c>
      <c r="F568" s="13" t="n">
        <v>5</v>
      </c>
      <c r="G568" s="7" t="s">
        <v>1120</v>
      </c>
      <c r="H568" s="7" t="s">
        <v>1121</v>
      </c>
    </row>
    <row r="569" customFormat="false" ht="23.85" hidden="false" customHeight="false" outlineLevel="0" collapsed="false">
      <c r="A569" s="7" t="s">
        <v>287</v>
      </c>
      <c r="B569" s="13" t="n">
        <v>152</v>
      </c>
      <c r="C569" s="7" t="s">
        <v>505</v>
      </c>
      <c r="D569" s="7" t="s">
        <v>276</v>
      </c>
      <c r="E569" s="7" t="s">
        <v>693</v>
      </c>
      <c r="F569" s="13" t="n">
        <v>6</v>
      </c>
      <c r="G569" s="7" t="s">
        <v>694</v>
      </c>
      <c r="H569" s="7" t="s">
        <v>1122</v>
      </c>
    </row>
    <row r="570" customFormat="false" ht="15" hidden="false" customHeight="false" outlineLevel="0" collapsed="false">
      <c r="A570" s="7" t="s">
        <v>287</v>
      </c>
      <c r="B570" s="13" t="n">
        <v>153</v>
      </c>
      <c r="C570" s="7" t="s">
        <v>505</v>
      </c>
      <c r="D570" s="7" t="s">
        <v>276</v>
      </c>
      <c r="E570" s="7" t="s">
        <v>920</v>
      </c>
      <c r="F570" s="13" t="n">
        <v>4</v>
      </c>
      <c r="G570" s="7" t="s">
        <v>921</v>
      </c>
      <c r="H570" s="7" t="s">
        <v>1123</v>
      </c>
    </row>
    <row r="571" customFormat="false" ht="15" hidden="false" customHeight="false" outlineLevel="0" collapsed="false">
      <c r="A571" s="7" t="s">
        <v>287</v>
      </c>
      <c r="B571" s="13" t="n">
        <v>154</v>
      </c>
      <c r="C571" s="7" t="s">
        <v>505</v>
      </c>
      <c r="D571" s="7" t="s">
        <v>276</v>
      </c>
      <c r="E571" s="7" t="s">
        <v>923</v>
      </c>
      <c r="F571" s="13" t="n">
        <v>8</v>
      </c>
      <c r="G571" s="7" t="s">
        <v>924</v>
      </c>
      <c r="H571" s="7" t="s">
        <v>1124</v>
      </c>
    </row>
    <row r="572" customFormat="false" ht="23.85" hidden="false" customHeight="false" outlineLevel="0" collapsed="false">
      <c r="A572" s="7" t="s">
        <v>287</v>
      </c>
      <c r="B572" s="13" t="n">
        <v>155</v>
      </c>
      <c r="C572" s="7" t="s">
        <v>505</v>
      </c>
      <c r="D572" s="7" t="s">
        <v>276</v>
      </c>
      <c r="E572" s="7" t="s">
        <v>1125</v>
      </c>
      <c r="F572" s="13" t="n">
        <v>5</v>
      </c>
      <c r="G572" s="7" t="s">
        <v>1126</v>
      </c>
      <c r="H572" s="7" t="s">
        <v>1127</v>
      </c>
    </row>
    <row r="573" customFormat="false" ht="15" hidden="false" customHeight="false" outlineLevel="0" collapsed="false">
      <c r="A573" s="7" t="s">
        <v>287</v>
      </c>
      <c r="B573" s="13" t="n">
        <v>156</v>
      </c>
      <c r="C573" s="7" t="s">
        <v>505</v>
      </c>
      <c r="D573" s="7" t="s">
        <v>276</v>
      </c>
      <c r="E573" s="7" t="s">
        <v>1128</v>
      </c>
      <c r="F573" s="13" t="n">
        <v>4</v>
      </c>
      <c r="G573" s="7" t="s">
        <v>1129</v>
      </c>
      <c r="H573" s="7" t="s">
        <v>1130</v>
      </c>
    </row>
    <row r="574" customFormat="false" ht="23.85" hidden="false" customHeight="false" outlineLevel="0" collapsed="false">
      <c r="A574" s="7" t="s">
        <v>287</v>
      </c>
      <c r="B574" s="13" t="n">
        <v>157</v>
      </c>
      <c r="C574" s="7" t="s">
        <v>505</v>
      </c>
      <c r="D574" s="7" t="s">
        <v>276</v>
      </c>
      <c r="E574" s="7" t="s">
        <v>1131</v>
      </c>
      <c r="F574" s="13" t="n">
        <v>4</v>
      </c>
      <c r="G574" s="7" t="s">
        <v>1132</v>
      </c>
      <c r="H574" s="7" t="s">
        <v>1133</v>
      </c>
    </row>
    <row r="575" customFormat="false" ht="15" hidden="false" customHeight="false" outlineLevel="0" collapsed="false">
      <c r="A575" s="7" t="s">
        <v>287</v>
      </c>
      <c r="B575" s="13" t="n">
        <v>158</v>
      </c>
      <c r="C575" s="7" t="s">
        <v>505</v>
      </c>
      <c r="D575" s="7" t="s">
        <v>276</v>
      </c>
      <c r="E575" s="7" t="s">
        <v>1134</v>
      </c>
      <c r="F575" s="13" t="n">
        <v>4</v>
      </c>
      <c r="G575" s="7" t="s">
        <v>1135</v>
      </c>
      <c r="H575" s="7" t="s">
        <v>1136</v>
      </c>
    </row>
    <row r="576" customFormat="false" ht="15" hidden="false" customHeight="false" outlineLevel="0" collapsed="false">
      <c r="A576" s="7" t="s">
        <v>287</v>
      </c>
      <c r="B576" s="13" t="n">
        <v>159</v>
      </c>
      <c r="C576" s="7" t="s">
        <v>505</v>
      </c>
      <c r="D576" s="7" t="s">
        <v>276</v>
      </c>
      <c r="E576" s="7" t="s">
        <v>1137</v>
      </c>
      <c r="F576" s="13" t="n">
        <v>4</v>
      </c>
      <c r="G576" s="7" t="s">
        <v>1138</v>
      </c>
      <c r="H576" s="7" t="s">
        <v>1139</v>
      </c>
    </row>
    <row r="577" customFormat="false" ht="23.85" hidden="false" customHeight="false" outlineLevel="0" collapsed="false">
      <c r="A577" s="7" t="s">
        <v>287</v>
      </c>
      <c r="B577" s="13" t="n">
        <v>160</v>
      </c>
      <c r="C577" s="7" t="s">
        <v>505</v>
      </c>
      <c r="D577" s="7" t="s">
        <v>240</v>
      </c>
      <c r="E577" s="7" t="s">
        <v>723</v>
      </c>
      <c r="F577" s="13" t="n">
        <v>4</v>
      </c>
      <c r="G577" s="7" t="s">
        <v>724</v>
      </c>
      <c r="H577" s="7" t="s">
        <v>1140</v>
      </c>
    </row>
    <row r="578" customFormat="false" ht="15" hidden="false" customHeight="false" outlineLevel="0" collapsed="false">
      <c r="A578" s="7" t="s">
        <v>287</v>
      </c>
      <c r="B578" s="13" t="n">
        <v>161</v>
      </c>
      <c r="C578" s="7" t="s">
        <v>505</v>
      </c>
      <c r="D578" s="7" t="s">
        <v>240</v>
      </c>
      <c r="E578" s="7" t="s">
        <v>726</v>
      </c>
      <c r="F578" s="13" t="n">
        <v>4</v>
      </c>
      <c r="G578" s="7" t="s">
        <v>727</v>
      </c>
      <c r="H578" s="7" t="s">
        <v>1141</v>
      </c>
    </row>
    <row r="579" customFormat="false" ht="23.85" hidden="false" customHeight="false" outlineLevel="0" collapsed="false">
      <c r="A579" s="7" t="s">
        <v>287</v>
      </c>
      <c r="B579" s="13" t="n">
        <v>162</v>
      </c>
      <c r="C579" s="7" t="s">
        <v>505</v>
      </c>
      <c r="D579" s="7" t="s">
        <v>240</v>
      </c>
      <c r="E579" s="7" t="s">
        <v>738</v>
      </c>
      <c r="F579" s="13" t="n">
        <v>4</v>
      </c>
      <c r="G579" s="7" t="s">
        <v>739</v>
      </c>
      <c r="H579" s="7" t="s">
        <v>1142</v>
      </c>
    </row>
    <row r="580" customFormat="false" ht="15" hidden="false" customHeight="false" outlineLevel="0" collapsed="false">
      <c r="A580" s="7" t="s">
        <v>287</v>
      </c>
      <c r="B580" s="13" t="n">
        <v>163</v>
      </c>
      <c r="C580" s="7" t="s">
        <v>505</v>
      </c>
      <c r="D580" s="7" t="s">
        <v>240</v>
      </c>
      <c r="E580" s="7" t="s">
        <v>750</v>
      </c>
      <c r="F580" s="13" t="n">
        <v>4</v>
      </c>
      <c r="G580" s="7" t="s">
        <v>751</v>
      </c>
      <c r="H580" s="7" t="s">
        <v>1143</v>
      </c>
    </row>
    <row r="581" customFormat="false" ht="15" hidden="false" customHeight="false" outlineLevel="0" collapsed="false">
      <c r="A581" s="7" t="s">
        <v>287</v>
      </c>
      <c r="B581" s="13" t="n">
        <v>164</v>
      </c>
      <c r="C581" s="7" t="s">
        <v>505</v>
      </c>
      <c r="D581" s="7" t="s">
        <v>240</v>
      </c>
      <c r="E581" s="7" t="s">
        <v>1144</v>
      </c>
      <c r="F581" s="13" t="n">
        <v>4</v>
      </c>
      <c r="G581" s="7" t="s">
        <v>1145</v>
      </c>
      <c r="H581" s="7" t="s">
        <v>1146</v>
      </c>
    </row>
    <row r="582" customFormat="false" ht="15" hidden="false" customHeight="false" outlineLevel="0" collapsed="false">
      <c r="A582" s="7" t="s">
        <v>287</v>
      </c>
      <c r="B582" s="13" t="n">
        <v>165</v>
      </c>
      <c r="C582" s="7" t="s">
        <v>505</v>
      </c>
      <c r="D582" s="7" t="s">
        <v>240</v>
      </c>
      <c r="E582" s="7" t="s">
        <v>1147</v>
      </c>
      <c r="F582" s="13" t="n">
        <v>5</v>
      </c>
      <c r="G582" s="7" t="s">
        <v>733</v>
      </c>
      <c r="H582" s="7" t="s">
        <v>734</v>
      </c>
    </row>
    <row r="583" customFormat="false" ht="15" hidden="false" customHeight="false" outlineLevel="0" collapsed="false">
      <c r="A583" s="7" t="s">
        <v>287</v>
      </c>
      <c r="B583" s="13" t="n">
        <v>166</v>
      </c>
      <c r="C583" s="7" t="s">
        <v>505</v>
      </c>
      <c r="D583" s="7" t="s">
        <v>240</v>
      </c>
      <c r="E583" s="7" t="s">
        <v>1148</v>
      </c>
      <c r="F583" s="13" t="n">
        <v>3</v>
      </c>
      <c r="G583" s="7" t="s">
        <v>1149</v>
      </c>
      <c r="H583" s="7" t="s">
        <v>1150</v>
      </c>
    </row>
    <row r="584" customFormat="false" ht="15" hidden="false" customHeight="false" outlineLevel="0" collapsed="false">
      <c r="A584" s="7" t="s">
        <v>287</v>
      </c>
      <c r="B584" s="13" t="n">
        <v>167</v>
      </c>
      <c r="C584" s="7" t="s">
        <v>505</v>
      </c>
      <c r="D584" s="7" t="s">
        <v>290</v>
      </c>
      <c r="E584" s="7" t="s">
        <v>1151</v>
      </c>
      <c r="F584" s="13" t="n">
        <v>4</v>
      </c>
      <c r="G584" s="7" t="s">
        <v>1152</v>
      </c>
      <c r="H584" s="7" t="s">
        <v>1153</v>
      </c>
    </row>
    <row r="585" customFormat="false" ht="23.85" hidden="false" customHeight="false" outlineLevel="0" collapsed="false">
      <c r="A585" s="7" t="s">
        <v>287</v>
      </c>
      <c r="B585" s="13" t="n">
        <v>168</v>
      </c>
      <c r="C585" s="7" t="s">
        <v>505</v>
      </c>
      <c r="D585" s="7" t="s">
        <v>290</v>
      </c>
      <c r="E585" s="7" t="s">
        <v>1154</v>
      </c>
      <c r="F585" s="13" t="n">
        <v>5</v>
      </c>
      <c r="G585" s="7" t="s">
        <v>1155</v>
      </c>
      <c r="H585" s="7" t="s">
        <v>1156</v>
      </c>
    </row>
    <row r="586" customFormat="false" ht="23.85" hidden="false" customHeight="false" outlineLevel="0" collapsed="false">
      <c r="A586" s="7" t="s">
        <v>287</v>
      </c>
      <c r="B586" s="13" t="n">
        <v>169</v>
      </c>
      <c r="C586" s="7" t="s">
        <v>505</v>
      </c>
      <c r="D586" s="7" t="s">
        <v>290</v>
      </c>
      <c r="E586" s="7" t="s">
        <v>1157</v>
      </c>
      <c r="F586" s="13" t="n">
        <v>4</v>
      </c>
      <c r="G586" s="7" t="s">
        <v>1158</v>
      </c>
      <c r="H586" s="7" t="s">
        <v>1159</v>
      </c>
    </row>
    <row r="587" customFormat="false" ht="15" hidden="false" customHeight="false" outlineLevel="0" collapsed="false">
      <c r="A587" s="7" t="s">
        <v>287</v>
      </c>
      <c r="B587" s="13" t="n">
        <v>170</v>
      </c>
      <c r="C587" s="7" t="s">
        <v>505</v>
      </c>
      <c r="D587" s="7" t="s">
        <v>290</v>
      </c>
      <c r="E587" s="7" t="s">
        <v>1160</v>
      </c>
      <c r="F587" s="13" t="n">
        <v>4</v>
      </c>
      <c r="G587" s="7" t="s">
        <v>1161</v>
      </c>
      <c r="H587" s="7" t="s">
        <v>1162</v>
      </c>
    </row>
    <row r="588" customFormat="false" ht="23.85" hidden="false" customHeight="false" outlineLevel="0" collapsed="false">
      <c r="A588" s="7" t="s">
        <v>287</v>
      </c>
      <c r="B588" s="13" t="n">
        <v>171</v>
      </c>
      <c r="C588" s="7" t="s">
        <v>505</v>
      </c>
      <c r="D588" s="7" t="s">
        <v>290</v>
      </c>
      <c r="E588" s="7" t="s">
        <v>1163</v>
      </c>
      <c r="F588" s="13" t="n">
        <v>3</v>
      </c>
      <c r="G588" s="7" t="s">
        <v>1164</v>
      </c>
      <c r="H588" s="7" t="s">
        <v>1165</v>
      </c>
    </row>
    <row r="589" customFormat="false" ht="15" hidden="false" customHeight="false" outlineLevel="0" collapsed="false">
      <c r="A589" s="7" t="s">
        <v>287</v>
      </c>
      <c r="B589" s="13" t="n">
        <v>172</v>
      </c>
      <c r="C589" s="7" t="s">
        <v>505</v>
      </c>
      <c r="D589" s="7" t="s">
        <v>290</v>
      </c>
      <c r="E589" s="7" t="s">
        <v>1166</v>
      </c>
      <c r="F589" s="13" t="n">
        <v>4</v>
      </c>
      <c r="G589" s="7" t="s">
        <v>1167</v>
      </c>
      <c r="H589" s="7" t="s">
        <v>1168</v>
      </c>
    </row>
    <row r="590" customFormat="false" ht="15" hidden="false" customHeight="false" outlineLevel="0" collapsed="false">
      <c r="A590" s="7" t="s">
        <v>287</v>
      </c>
      <c r="B590" s="13" t="n">
        <v>173</v>
      </c>
      <c r="C590" s="7" t="s">
        <v>505</v>
      </c>
      <c r="D590" s="7" t="s">
        <v>235</v>
      </c>
      <c r="E590" s="7" t="s">
        <v>777</v>
      </c>
      <c r="F590" s="13" t="n">
        <v>3</v>
      </c>
      <c r="G590" s="7" t="s">
        <v>778</v>
      </c>
      <c r="H590" s="7" t="s">
        <v>1169</v>
      </c>
    </row>
    <row r="591" customFormat="false" ht="15" hidden="false" customHeight="false" outlineLevel="0" collapsed="false">
      <c r="A591" s="7" t="s">
        <v>287</v>
      </c>
      <c r="B591" s="13" t="n">
        <v>174</v>
      </c>
      <c r="C591" s="7" t="s">
        <v>505</v>
      </c>
      <c r="D591" s="7" t="s">
        <v>235</v>
      </c>
      <c r="E591" s="7" t="s">
        <v>792</v>
      </c>
      <c r="F591" s="13" t="n">
        <v>4</v>
      </c>
      <c r="G591" s="7" t="s">
        <v>793</v>
      </c>
      <c r="H591" s="7" t="s">
        <v>1170</v>
      </c>
    </row>
    <row r="592" customFormat="false" ht="15" hidden="false" customHeight="false" outlineLevel="0" collapsed="false">
      <c r="A592" s="7" t="s">
        <v>287</v>
      </c>
      <c r="B592" s="13" t="n">
        <v>175</v>
      </c>
      <c r="C592" s="7" t="s">
        <v>505</v>
      </c>
      <c r="D592" s="7" t="s">
        <v>235</v>
      </c>
      <c r="E592" s="7" t="s">
        <v>1009</v>
      </c>
      <c r="F592" s="13" t="n">
        <v>4</v>
      </c>
      <c r="G592" s="7" t="s">
        <v>1010</v>
      </c>
      <c r="H592" s="7" t="s">
        <v>1171</v>
      </c>
    </row>
    <row r="593" customFormat="false" ht="15" hidden="false" customHeight="false" outlineLevel="0" collapsed="false">
      <c r="A593" s="7" t="s">
        <v>287</v>
      </c>
      <c r="B593" s="13" t="n">
        <v>176</v>
      </c>
      <c r="C593" s="7" t="s">
        <v>505</v>
      </c>
      <c r="D593" s="7" t="s">
        <v>235</v>
      </c>
      <c r="E593" s="7" t="s">
        <v>1172</v>
      </c>
      <c r="F593" s="13" t="n">
        <v>5</v>
      </c>
      <c r="G593" s="7" t="s">
        <v>1173</v>
      </c>
      <c r="H593" s="7" t="s">
        <v>1174</v>
      </c>
    </row>
    <row r="594" customFormat="false" ht="15" hidden="false" customHeight="false" outlineLevel="0" collapsed="false">
      <c r="A594" s="7" t="s">
        <v>287</v>
      </c>
      <c r="B594" s="13" t="n">
        <v>177</v>
      </c>
      <c r="C594" s="7" t="s">
        <v>505</v>
      </c>
      <c r="D594" s="7" t="s">
        <v>235</v>
      </c>
      <c r="E594" s="7" t="s">
        <v>1175</v>
      </c>
      <c r="F594" s="13" t="n">
        <v>3</v>
      </c>
      <c r="G594" s="7" t="s">
        <v>1176</v>
      </c>
      <c r="H594" s="7" t="s">
        <v>1177</v>
      </c>
    </row>
    <row r="595" customFormat="false" ht="15" hidden="false" customHeight="false" outlineLevel="0" collapsed="false">
      <c r="A595" s="7" t="s">
        <v>287</v>
      </c>
      <c r="B595" s="13" t="n">
        <v>178</v>
      </c>
      <c r="C595" s="7" t="s">
        <v>505</v>
      </c>
      <c r="D595" s="7" t="s">
        <v>235</v>
      </c>
      <c r="E595" s="7" t="s">
        <v>1178</v>
      </c>
      <c r="F595" s="13" t="n">
        <v>4</v>
      </c>
      <c r="G595" s="7" t="s">
        <v>1179</v>
      </c>
      <c r="H595" s="7" t="s">
        <v>1177</v>
      </c>
    </row>
    <row r="596" customFormat="false" ht="15" hidden="false" customHeight="false" outlineLevel="0" collapsed="false">
      <c r="A596" s="7" t="s">
        <v>287</v>
      </c>
      <c r="B596" s="13" t="n">
        <v>179</v>
      </c>
      <c r="C596" s="7" t="s">
        <v>505</v>
      </c>
      <c r="D596" s="7" t="s">
        <v>235</v>
      </c>
      <c r="E596" s="7" t="s">
        <v>1180</v>
      </c>
      <c r="F596" s="13" t="n">
        <v>4</v>
      </c>
      <c r="G596" s="7" t="s">
        <v>1181</v>
      </c>
      <c r="H596" s="7" t="s">
        <v>1182</v>
      </c>
    </row>
    <row r="597" customFormat="false" ht="15" hidden="false" customHeight="false" outlineLevel="0" collapsed="false">
      <c r="A597" s="7" t="s">
        <v>287</v>
      </c>
      <c r="B597" s="13" t="n">
        <v>180</v>
      </c>
      <c r="C597" s="7" t="s">
        <v>505</v>
      </c>
      <c r="D597" s="7" t="s">
        <v>235</v>
      </c>
      <c r="E597" s="7" t="s">
        <v>1183</v>
      </c>
      <c r="F597" s="13" t="n">
        <v>3</v>
      </c>
      <c r="G597" s="7" t="s">
        <v>1184</v>
      </c>
      <c r="H597" s="7" t="s">
        <v>1185</v>
      </c>
    </row>
    <row r="598" customFormat="false" ht="15" hidden="false" customHeight="false" outlineLevel="0" collapsed="false">
      <c r="A598" s="7" t="s">
        <v>287</v>
      </c>
      <c r="B598" s="13" t="n">
        <v>181</v>
      </c>
      <c r="C598" s="7" t="s">
        <v>505</v>
      </c>
      <c r="D598" s="7" t="s">
        <v>394</v>
      </c>
      <c r="E598" s="7" t="s">
        <v>813</v>
      </c>
      <c r="F598" s="13" t="n">
        <v>4</v>
      </c>
      <c r="G598" s="7" t="s">
        <v>814</v>
      </c>
      <c r="H598" s="7" t="s">
        <v>1186</v>
      </c>
    </row>
    <row r="599" customFormat="false" ht="15" hidden="false" customHeight="false" outlineLevel="0" collapsed="false">
      <c r="A599" s="7" t="s">
        <v>287</v>
      </c>
      <c r="B599" s="13" t="n">
        <v>182</v>
      </c>
      <c r="C599" s="7" t="s">
        <v>505</v>
      </c>
      <c r="D599" s="7" t="s">
        <v>394</v>
      </c>
      <c r="E599" s="7" t="s">
        <v>816</v>
      </c>
      <c r="F599" s="13" t="n">
        <v>4</v>
      </c>
      <c r="G599" s="7" t="s">
        <v>817</v>
      </c>
      <c r="H599" s="7" t="s">
        <v>1187</v>
      </c>
    </row>
    <row r="600" customFormat="false" ht="15" hidden="false" customHeight="false" outlineLevel="0" collapsed="false">
      <c r="A600" s="7" t="s">
        <v>287</v>
      </c>
      <c r="B600" s="13" t="n">
        <v>183</v>
      </c>
      <c r="C600" s="7" t="s">
        <v>505</v>
      </c>
      <c r="D600" s="7" t="s">
        <v>394</v>
      </c>
      <c r="E600" s="7" t="s">
        <v>1188</v>
      </c>
      <c r="F600" s="13" t="n">
        <v>4</v>
      </c>
      <c r="G600" s="7" t="s">
        <v>1189</v>
      </c>
      <c r="H600" s="7" t="s">
        <v>1190</v>
      </c>
    </row>
    <row r="601" customFormat="false" ht="15" hidden="false" customHeight="false" outlineLevel="0" collapsed="false">
      <c r="A601" s="7" t="s">
        <v>287</v>
      </c>
      <c r="B601" s="13" t="n">
        <v>184</v>
      </c>
      <c r="C601" s="7" t="s">
        <v>505</v>
      </c>
      <c r="D601" s="7" t="s">
        <v>394</v>
      </c>
      <c r="E601" s="7" t="s">
        <v>1191</v>
      </c>
      <c r="F601" s="13" t="n">
        <v>4</v>
      </c>
      <c r="G601" s="7" t="s">
        <v>1192</v>
      </c>
      <c r="H601" s="7" t="s">
        <v>1193</v>
      </c>
    </row>
    <row r="602" customFormat="false" ht="15" hidden="false" customHeight="false" outlineLevel="0" collapsed="false">
      <c r="A602" s="7" t="s">
        <v>287</v>
      </c>
      <c r="B602" s="13" t="n">
        <v>185</v>
      </c>
      <c r="C602" s="7" t="s">
        <v>505</v>
      </c>
      <c r="D602" s="7" t="s">
        <v>394</v>
      </c>
      <c r="E602" s="7" t="s">
        <v>1194</v>
      </c>
      <c r="F602" s="13" t="n">
        <v>3</v>
      </c>
      <c r="G602" s="7" t="s">
        <v>1195</v>
      </c>
      <c r="H602" s="7" t="s">
        <v>1196</v>
      </c>
    </row>
    <row r="603" customFormat="false" ht="15" hidden="false" customHeight="false" outlineLevel="0" collapsed="false">
      <c r="A603" s="7" t="s">
        <v>287</v>
      </c>
      <c r="B603" s="13" t="n">
        <v>186</v>
      </c>
      <c r="C603" s="7" t="s">
        <v>505</v>
      </c>
      <c r="D603" s="7" t="s">
        <v>394</v>
      </c>
      <c r="E603" s="7" t="s">
        <v>1197</v>
      </c>
      <c r="F603" s="13" t="n">
        <v>3</v>
      </c>
      <c r="G603" s="7" t="s">
        <v>1198</v>
      </c>
      <c r="H603" s="7" t="s">
        <v>1199</v>
      </c>
    </row>
    <row r="604" customFormat="false" ht="15" hidden="false" customHeight="false" outlineLevel="0" collapsed="false">
      <c r="A604" s="7" t="s">
        <v>287</v>
      </c>
      <c r="B604" s="13" t="n">
        <v>187</v>
      </c>
      <c r="C604" s="7" t="s">
        <v>505</v>
      </c>
      <c r="D604" s="7" t="s">
        <v>394</v>
      </c>
      <c r="E604" s="7" t="s">
        <v>1200</v>
      </c>
      <c r="F604" s="13" t="n">
        <v>3</v>
      </c>
      <c r="G604" s="7" t="s">
        <v>1201</v>
      </c>
      <c r="H604" s="7" t="s">
        <v>1202</v>
      </c>
    </row>
    <row r="605" customFormat="false" ht="15" hidden="false" customHeight="false" outlineLevel="0" collapsed="false">
      <c r="A605" s="7" t="s">
        <v>287</v>
      </c>
      <c r="B605" s="13" t="n">
        <v>188</v>
      </c>
      <c r="C605" s="7" t="s">
        <v>505</v>
      </c>
      <c r="D605" s="7" t="s">
        <v>394</v>
      </c>
      <c r="E605" s="7" t="s">
        <v>1203</v>
      </c>
      <c r="F605" s="13" t="n">
        <v>4</v>
      </c>
      <c r="G605" s="7" t="s">
        <v>1204</v>
      </c>
      <c r="H605" s="7" t="s">
        <v>1205</v>
      </c>
    </row>
    <row r="606" customFormat="false" ht="15" hidden="false" customHeight="false" outlineLevel="0" collapsed="false">
      <c r="A606" s="7" t="s">
        <v>287</v>
      </c>
      <c r="B606" s="13" t="n">
        <v>189</v>
      </c>
      <c r="C606" s="7" t="s">
        <v>505</v>
      </c>
      <c r="D606" s="7" t="s">
        <v>394</v>
      </c>
      <c r="E606" s="7" t="s">
        <v>1206</v>
      </c>
      <c r="F606" s="13" t="n">
        <v>3</v>
      </c>
      <c r="G606" s="7" t="s">
        <v>1207</v>
      </c>
      <c r="H606" s="7" t="s">
        <v>1208</v>
      </c>
    </row>
    <row r="607" customFormat="false" ht="15" hidden="false" customHeight="false" outlineLevel="0" collapsed="false">
      <c r="A607" s="7" t="s">
        <v>287</v>
      </c>
      <c r="B607" s="13" t="n">
        <v>190</v>
      </c>
      <c r="C607" s="7" t="s">
        <v>505</v>
      </c>
      <c r="D607" s="7" t="s">
        <v>394</v>
      </c>
      <c r="E607" s="7" t="s">
        <v>1209</v>
      </c>
      <c r="F607" s="13" t="n">
        <v>3</v>
      </c>
      <c r="G607" s="7" t="s">
        <v>1210</v>
      </c>
      <c r="H607" s="7" t="s">
        <v>1211</v>
      </c>
    </row>
    <row r="608" customFormat="false" ht="15" hidden="false" customHeight="false" outlineLevel="0" collapsed="false">
      <c r="A608" s="7" t="s">
        <v>287</v>
      </c>
      <c r="B608" s="13" t="n">
        <v>191</v>
      </c>
      <c r="C608" s="7" t="s">
        <v>505</v>
      </c>
      <c r="D608" s="7" t="s">
        <v>394</v>
      </c>
      <c r="E608" s="7" t="s">
        <v>1212</v>
      </c>
      <c r="F608" s="13" t="n">
        <v>3</v>
      </c>
      <c r="G608" s="7" t="s">
        <v>1213</v>
      </c>
      <c r="H608" s="7" t="s">
        <v>1214</v>
      </c>
    </row>
    <row r="609" customFormat="false" ht="15" hidden="false" customHeight="false" outlineLevel="0" collapsed="false">
      <c r="A609" s="7" t="s">
        <v>287</v>
      </c>
      <c r="B609" s="13" t="n">
        <v>192</v>
      </c>
      <c r="C609" s="7" t="s">
        <v>505</v>
      </c>
      <c r="D609" s="7" t="s">
        <v>394</v>
      </c>
      <c r="E609" s="7" t="s">
        <v>1215</v>
      </c>
      <c r="F609" s="13" t="n">
        <v>3</v>
      </c>
      <c r="G609" s="7" t="s">
        <v>1216</v>
      </c>
      <c r="H609" s="7" t="s">
        <v>1217</v>
      </c>
    </row>
    <row r="610" customFormat="false" ht="15" hidden="false" customHeight="false" outlineLevel="0" collapsed="false">
      <c r="A610" s="7" t="s">
        <v>287</v>
      </c>
      <c r="B610" s="13" t="n">
        <v>193</v>
      </c>
      <c r="C610" s="7" t="s">
        <v>505</v>
      </c>
      <c r="D610" s="7" t="s">
        <v>260</v>
      </c>
      <c r="E610" s="7" t="s">
        <v>825</v>
      </c>
      <c r="F610" s="13" t="n">
        <v>3</v>
      </c>
      <c r="G610" s="7" t="s">
        <v>826</v>
      </c>
      <c r="H610" s="7" t="s">
        <v>1218</v>
      </c>
    </row>
    <row r="611" customFormat="false" ht="15" hidden="false" customHeight="false" outlineLevel="0" collapsed="false">
      <c r="A611" s="7" t="s">
        <v>287</v>
      </c>
      <c r="B611" s="13" t="n">
        <v>194</v>
      </c>
      <c r="C611" s="7" t="s">
        <v>505</v>
      </c>
      <c r="D611" s="7" t="s">
        <v>260</v>
      </c>
      <c r="E611" s="7" t="s">
        <v>831</v>
      </c>
      <c r="F611" s="13" t="n">
        <v>3</v>
      </c>
      <c r="G611" s="7" t="s">
        <v>832</v>
      </c>
      <c r="H611" s="7" t="s">
        <v>1219</v>
      </c>
    </row>
    <row r="612" customFormat="false" ht="15" hidden="false" customHeight="false" outlineLevel="0" collapsed="false">
      <c r="A612" s="7" t="s">
        <v>287</v>
      </c>
      <c r="B612" s="13" t="n">
        <v>195</v>
      </c>
      <c r="C612" s="7" t="s">
        <v>505</v>
      </c>
      <c r="D612" s="7" t="s">
        <v>260</v>
      </c>
      <c r="E612" s="7" t="s">
        <v>1220</v>
      </c>
      <c r="F612" s="13" t="n">
        <v>3</v>
      </c>
      <c r="G612" s="7" t="s">
        <v>1221</v>
      </c>
      <c r="H612" s="7" t="s">
        <v>1222</v>
      </c>
    </row>
    <row r="613" customFormat="false" ht="23.85" hidden="false" customHeight="false" outlineLevel="0" collapsed="false">
      <c r="A613" s="7" t="s">
        <v>287</v>
      </c>
      <c r="B613" s="13" t="n">
        <v>196</v>
      </c>
      <c r="C613" s="7" t="s">
        <v>505</v>
      </c>
      <c r="D613" s="7" t="s">
        <v>260</v>
      </c>
      <c r="E613" s="7" t="s">
        <v>1223</v>
      </c>
      <c r="F613" s="13" t="n">
        <v>3</v>
      </c>
      <c r="G613" s="7" t="s">
        <v>1224</v>
      </c>
      <c r="H613" s="7" t="s">
        <v>1225</v>
      </c>
    </row>
    <row r="614" customFormat="false" ht="15" hidden="false" customHeight="false" outlineLevel="0" collapsed="false">
      <c r="A614" s="7" t="s">
        <v>287</v>
      </c>
      <c r="B614" s="13" t="n">
        <v>197</v>
      </c>
      <c r="C614" s="7" t="s">
        <v>505</v>
      </c>
      <c r="D614" s="7" t="s">
        <v>271</v>
      </c>
      <c r="E614" s="7" t="s">
        <v>1226</v>
      </c>
      <c r="F614" s="13" t="n">
        <v>5</v>
      </c>
      <c r="G614" s="7" t="s">
        <v>1227</v>
      </c>
      <c r="H614" s="7" t="s">
        <v>1228</v>
      </c>
    </row>
    <row r="615" customFormat="false" ht="15" hidden="false" customHeight="false" outlineLevel="0" collapsed="false">
      <c r="A615" s="7" t="s">
        <v>287</v>
      </c>
      <c r="B615" s="13" t="n">
        <v>198</v>
      </c>
      <c r="C615" s="7" t="s">
        <v>505</v>
      </c>
      <c r="D615" s="7" t="s">
        <v>271</v>
      </c>
      <c r="E615" s="7" t="s">
        <v>1229</v>
      </c>
      <c r="F615" s="13" t="n">
        <v>5</v>
      </c>
      <c r="G615" s="7" t="s">
        <v>1230</v>
      </c>
      <c r="H615" s="7" t="s">
        <v>1231</v>
      </c>
    </row>
    <row r="616" customFormat="false" ht="15" hidden="false" customHeight="false" outlineLevel="0" collapsed="false">
      <c r="A616" s="7" t="s">
        <v>287</v>
      </c>
      <c r="B616" s="13" t="n">
        <v>199</v>
      </c>
      <c r="C616" s="7" t="s">
        <v>505</v>
      </c>
      <c r="D616" s="7" t="s">
        <v>271</v>
      </c>
      <c r="E616" s="7" t="s">
        <v>1232</v>
      </c>
      <c r="F616" s="13" t="n">
        <v>6</v>
      </c>
      <c r="G616" s="7" t="s">
        <v>1233</v>
      </c>
      <c r="H616" s="7" t="s">
        <v>1234</v>
      </c>
    </row>
    <row r="617" customFormat="false" ht="15" hidden="false" customHeight="false" outlineLevel="0" collapsed="false">
      <c r="A617" s="7" t="s">
        <v>287</v>
      </c>
      <c r="B617" s="13" t="n">
        <v>200</v>
      </c>
      <c r="C617" s="7" t="s">
        <v>505</v>
      </c>
      <c r="D617" s="7" t="s">
        <v>271</v>
      </c>
      <c r="E617" s="7" t="s">
        <v>1235</v>
      </c>
      <c r="F617" s="13" t="n">
        <v>4</v>
      </c>
      <c r="G617" s="7" t="s">
        <v>1236</v>
      </c>
      <c r="H617" s="7" t="s">
        <v>1237</v>
      </c>
    </row>
    <row r="618" customFormat="false" ht="15" hidden="false" customHeight="false" outlineLevel="0" collapsed="false">
      <c r="A618" s="7" t="s">
        <v>288</v>
      </c>
      <c r="B618" s="13" t="n">
        <v>1</v>
      </c>
      <c r="C618" s="7" t="s">
        <v>504</v>
      </c>
      <c r="D618" s="7" t="s">
        <v>290</v>
      </c>
      <c r="E618" s="7" t="s">
        <v>291</v>
      </c>
      <c r="F618" s="13" t="n">
        <v>6</v>
      </c>
      <c r="G618" s="7" t="s">
        <v>292</v>
      </c>
      <c r="H618" s="7" t="s">
        <v>513</v>
      </c>
    </row>
    <row r="619" customFormat="false" ht="15" hidden="false" customHeight="false" outlineLevel="0" collapsed="false">
      <c r="A619" s="7" t="s">
        <v>288</v>
      </c>
      <c r="B619" s="13" t="n">
        <v>2</v>
      </c>
      <c r="C619" s="7" t="s">
        <v>504</v>
      </c>
      <c r="D619" s="7" t="s">
        <v>290</v>
      </c>
      <c r="E619" s="7" t="s">
        <v>293</v>
      </c>
      <c r="F619" s="13" t="n">
        <v>8</v>
      </c>
      <c r="G619" s="7" t="s">
        <v>294</v>
      </c>
      <c r="H619" s="7" t="s">
        <v>513</v>
      </c>
    </row>
    <row r="620" customFormat="false" ht="15" hidden="false" customHeight="false" outlineLevel="0" collapsed="false">
      <c r="A620" s="7" t="s">
        <v>288</v>
      </c>
      <c r="B620" s="13" t="n">
        <v>3</v>
      </c>
      <c r="C620" s="7" t="s">
        <v>504</v>
      </c>
      <c r="D620" s="7" t="s">
        <v>290</v>
      </c>
      <c r="E620" s="7" t="s">
        <v>295</v>
      </c>
      <c r="F620" s="13" t="n">
        <v>4</v>
      </c>
      <c r="G620" s="7" t="s">
        <v>296</v>
      </c>
      <c r="H620" s="7" t="s">
        <v>513</v>
      </c>
    </row>
    <row r="621" customFormat="false" ht="15" hidden="false" customHeight="false" outlineLevel="0" collapsed="false">
      <c r="A621" s="7" t="s">
        <v>288</v>
      </c>
      <c r="B621" s="13" t="n">
        <v>4</v>
      </c>
      <c r="C621" s="7" t="s">
        <v>504</v>
      </c>
      <c r="D621" s="7" t="s">
        <v>290</v>
      </c>
      <c r="E621" s="7" t="s">
        <v>297</v>
      </c>
      <c r="F621" s="13" t="n">
        <v>8</v>
      </c>
      <c r="G621" s="7" t="s">
        <v>298</v>
      </c>
      <c r="H621" s="7" t="s">
        <v>513</v>
      </c>
    </row>
    <row r="622" customFormat="false" ht="15" hidden="false" customHeight="false" outlineLevel="0" collapsed="false">
      <c r="A622" s="7" t="s">
        <v>288</v>
      </c>
      <c r="B622" s="13" t="n">
        <v>5</v>
      </c>
      <c r="C622" s="7" t="s">
        <v>504</v>
      </c>
      <c r="D622" s="7" t="s">
        <v>290</v>
      </c>
      <c r="E622" s="7" t="s">
        <v>299</v>
      </c>
      <c r="F622" s="13" t="n">
        <v>4</v>
      </c>
      <c r="G622" s="7" t="s">
        <v>300</v>
      </c>
      <c r="H622" s="7" t="s">
        <v>513</v>
      </c>
    </row>
    <row r="623" customFormat="false" ht="15" hidden="false" customHeight="false" outlineLevel="0" collapsed="false">
      <c r="A623" s="7" t="s">
        <v>288</v>
      </c>
      <c r="B623" s="13" t="n">
        <v>6</v>
      </c>
      <c r="C623" s="7" t="s">
        <v>504</v>
      </c>
      <c r="D623" s="7" t="s">
        <v>290</v>
      </c>
      <c r="E623" s="7" t="s">
        <v>301</v>
      </c>
      <c r="F623" s="13" t="n">
        <v>3</v>
      </c>
      <c r="G623" s="7" t="s">
        <v>302</v>
      </c>
      <c r="H623" s="7" t="s">
        <v>513</v>
      </c>
    </row>
    <row r="624" customFormat="false" ht="15" hidden="false" customHeight="false" outlineLevel="0" collapsed="false">
      <c r="A624" s="7" t="s">
        <v>288</v>
      </c>
      <c r="B624" s="13" t="n">
        <v>7</v>
      </c>
      <c r="C624" s="7" t="s">
        <v>504</v>
      </c>
      <c r="D624" s="7" t="s">
        <v>290</v>
      </c>
      <c r="E624" s="7" t="s">
        <v>303</v>
      </c>
      <c r="F624" s="13" t="n">
        <v>5</v>
      </c>
      <c r="G624" s="7" t="s">
        <v>304</v>
      </c>
      <c r="H624" s="7" t="s">
        <v>513</v>
      </c>
    </row>
    <row r="625" customFormat="false" ht="15" hidden="false" customHeight="false" outlineLevel="0" collapsed="false">
      <c r="A625" s="7" t="s">
        <v>288</v>
      </c>
      <c r="B625" s="13" t="n">
        <v>8</v>
      </c>
      <c r="C625" s="7" t="s">
        <v>504</v>
      </c>
      <c r="D625" s="7" t="s">
        <v>290</v>
      </c>
      <c r="E625" s="7" t="s">
        <v>305</v>
      </c>
      <c r="F625" s="13" t="n">
        <v>6</v>
      </c>
      <c r="G625" s="7" t="s">
        <v>306</v>
      </c>
      <c r="H625" s="7" t="s">
        <v>513</v>
      </c>
    </row>
    <row r="626" customFormat="false" ht="15" hidden="false" customHeight="false" outlineLevel="0" collapsed="false">
      <c r="A626" s="7" t="s">
        <v>288</v>
      </c>
      <c r="B626" s="13" t="n">
        <v>9</v>
      </c>
      <c r="C626" s="7" t="s">
        <v>504</v>
      </c>
      <c r="D626" s="7" t="s">
        <v>290</v>
      </c>
      <c r="E626" s="7" t="s">
        <v>307</v>
      </c>
      <c r="F626" s="13" t="n">
        <v>6</v>
      </c>
      <c r="G626" s="7" t="s">
        <v>308</v>
      </c>
      <c r="H626" s="7" t="s">
        <v>513</v>
      </c>
    </row>
    <row r="627" customFormat="false" ht="15" hidden="false" customHeight="false" outlineLevel="0" collapsed="false">
      <c r="A627" s="7" t="s">
        <v>288</v>
      </c>
      <c r="B627" s="13" t="n">
        <v>10</v>
      </c>
      <c r="C627" s="7" t="s">
        <v>504</v>
      </c>
      <c r="D627" s="7" t="s">
        <v>290</v>
      </c>
      <c r="E627" s="7" t="s">
        <v>309</v>
      </c>
      <c r="F627" s="13" t="n">
        <v>4</v>
      </c>
      <c r="G627" s="7" t="s">
        <v>310</v>
      </c>
      <c r="H627" s="7" t="s">
        <v>513</v>
      </c>
    </row>
    <row r="628" customFormat="false" ht="15" hidden="false" customHeight="false" outlineLevel="0" collapsed="false">
      <c r="A628" s="7" t="s">
        <v>288</v>
      </c>
      <c r="B628" s="13" t="n">
        <v>11</v>
      </c>
      <c r="C628" s="7" t="s">
        <v>504</v>
      </c>
      <c r="D628" s="7" t="s">
        <v>290</v>
      </c>
      <c r="E628" s="7" t="s">
        <v>311</v>
      </c>
      <c r="F628" s="13" t="n">
        <v>10</v>
      </c>
      <c r="G628" s="7" t="s">
        <v>312</v>
      </c>
      <c r="H628" s="7" t="s">
        <v>513</v>
      </c>
    </row>
    <row r="629" customFormat="false" ht="15" hidden="false" customHeight="false" outlineLevel="0" collapsed="false">
      <c r="A629" s="7" t="s">
        <v>288</v>
      </c>
      <c r="B629" s="13" t="n">
        <v>12</v>
      </c>
      <c r="C629" s="7" t="s">
        <v>504</v>
      </c>
      <c r="D629" s="7" t="s">
        <v>290</v>
      </c>
      <c r="E629" s="7" t="s">
        <v>313</v>
      </c>
      <c r="F629" s="13" t="n">
        <v>6</v>
      </c>
      <c r="G629" s="7" t="s">
        <v>314</v>
      </c>
      <c r="H629" s="7" t="s">
        <v>513</v>
      </c>
    </row>
    <row r="630" customFormat="false" ht="15" hidden="false" customHeight="false" outlineLevel="0" collapsed="false">
      <c r="A630" s="7" t="s">
        <v>288</v>
      </c>
      <c r="B630" s="13" t="n">
        <v>13</v>
      </c>
      <c r="C630" s="7" t="s">
        <v>504</v>
      </c>
      <c r="D630" s="7" t="s">
        <v>290</v>
      </c>
      <c r="E630" s="7" t="s">
        <v>315</v>
      </c>
      <c r="F630" s="13" t="n">
        <v>4</v>
      </c>
      <c r="G630" s="7" t="s">
        <v>316</v>
      </c>
      <c r="H630" s="7" t="s">
        <v>513</v>
      </c>
    </row>
    <row r="631" customFormat="false" ht="15" hidden="false" customHeight="false" outlineLevel="0" collapsed="false">
      <c r="A631" s="7" t="s">
        <v>288</v>
      </c>
      <c r="B631" s="13" t="n">
        <v>14</v>
      </c>
      <c r="C631" s="7" t="s">
        <v>504</v>
      </c>
      <c r="D631" s="7" t="s">
        <v>290</v>
      </c>
      <c r="E631" s="7" t="s">
        <v>317</v>
      </c>
      <c r="F631" s="13" t="n">
        <v>4</v>
      </c>
      <c r="G631" s="7" t="s">
        <v>318</v>
      </c>
      <c r="H631" s="7" t="s">
        <v>513</v>
      </c>
    </row>
    <row r="632" customFormat="false" ht="15" hidden="false" customHeight="false" outlineLevel="0" collapsed="false">
      <c r="A632" s="7" t="s">
        <v>288</v>
      </c>
      <c r="B632" s="13" t="n">
        <v>15</v>
      </c>
      <c r="C632" s="7" t="s">
        <v>504</v>
      </c>
      <c r="D632" s="7" t="s">
        <v>290</v>
      </c>
      <c r="E632" s="7" t="s">
        <v>319</v>
      </c>
      <c r="F632" s="13" t="n">
        <v>3</v>
      </c>
      <c r="G632" s="7" t="s">
        <v>320</v>
      </c>
      <c r="H632" s="7" t="s">
        <v>513</v>
      </c>
    </row>
    <row r="633" customFormat="false" ht="15" hidden="false" customHeight="false" outlineLevel="0" collapsed="false">
      <c r="A633" s="7" t="s">
        <v>288</v>
      </c>
      <c r="B633" s="13" t="n">
        <v>16</v>
      </c>
      <c r="C633" s="7" t="s">
        <v>504</v>
      </c>
      <c r="D633" s="7" t="s">
        <v>290</v>
      </c>
      <c r="E633" s="7" t="s">
        <v>321</v>
      </c>
      <c r="F633" s="13" t="n">
        <v>4</v>
      </c>
      <c r="G633" s="7" t="s">
        <v>322</v>
      </c>
      <c r="H633" s="7" t="s">
        <v>513</v>
      </c>
    </row>
    <row r="634" customFormat="false" ht="15" hidden="false" customHeight="false" outlineLevel="0" collapsed="false">
      <c r="A634" s="7" t="s">
        <v>288</v>
      </c>
      <c r="B634" s="13" t="n">
        <v>17</v>
      </c>
      <c r="C634" s="7" t="s">
        <v>504</v>
      </c>
      <c r="D634" s="7" t="s">
        <v>290</v>
      </c>
      <c r="E634" s="7" t="s">
        <v>323</v>
      </c>
      <c r="F634" s="13" t="n">
        <v>6</v>
      </c>
      <c r="G634" s="7" t="s">
        <v>324</v>
      </c>
      <c r="H634" s="7" t="s">
        <v>513</v>
      </c>
    </row>
    <row r="635" customFormat="false" ht="15" hidden="false" customHeight="false" outlineLevel="0" collapsed="false">
      <c r="A635" s="7" t="s">
        <v>288</v>
      </c>
      <c r="B635" s="13" t="n">
        <v>18</v>
      </c>
      <c r="C635" s="7" t="s">
        <v>504</v>
      </c>
      <c r="D635" s="7" t="s">
        <v>290</v>
      </c>
      <c r="E635" s="7" t="s">
        <v>325</v>
      </c>
      <c r="F635" s="13" t="n">
        <v>6</v>
      </c>
      <c r="G635" s="7" t="s">
        <v>326</v>
      </c>
      <c r="H635" s="7" t="s">
        <v>513</v>
      </c>
    </row>
    <row r="636" customFormat="false" ht="15" hidden="false" customHeight="false" outlineLevel="0" collapsed="false">
      <c r="A636" s="7" t="s">
        <v>288</v>
      </c>
      <c r="B636" s="13" t="n">
        <v>19</v>
      </c>
      <c r="C636" s="7" t="s">
        <v>504</v>
      </c>
      <c r="D636" s="7" t="s">
        <v>290</v>
      </c>
      <c r="E636" s="7" t="s">
        <v>327</v>
      </c>
      <c r="F636" s="13" t="n">
        <v>5</v>
      </c>
      <c r="G636" s="7" t="s">
        <v>328</v>
      </c>
      <c r="H636" s="7" t="s">
        <v>513</v>
      </c>
    </row>
    <row r="637" customFormat="false" ht="15" hidden="false" customHeight="false" outlineLevel="0" collapsed="false">
      <c r="A637" s="7" t="s">
        <v>288</v>
      </c>
      <c r="B637" s="13" t="n">
        <v>20</v>
      </c>
      <c r="C637" s="7" t="s">
        <v>504</v>
      </c>
      <c r="D637" s="7" t="s">
        <v>290</v>
      </c>
      <c r="E637" s="7" t="s">
        <v>329</v>
      </c>
      <c r="F637" s="13" t="n">
        <v>6</v>
      </c>
      <c r="G637" s="7" t="s">
        <v>330</v>
      </c>
      <c r="H637" s="7" t="s">
        <v>513</v>
      </c>
    </row>
    <row r="638" customFormat="false" ht="15" hidden="false" customHeight="false" outlineLevel="0" collapsed="false">
      <c r="A638" s="7" t="s">
        <v>288</v>
      </c>
      <c r="B638" s="13" t="n">
        <v>21</v>
      </c>
      <c r="C638" s="7" t="s">
        <v>504</v>
      </c>
      <c r="D638" s="7" t="s">
        <v>235</v>
      </c>
      <c r="E638" s="7" t="s">
        <v>331</v>
      </c>
      <c r="F638" s="13" t="n">
        <v>2</v>
      </c>
      <c r="G638" s="7" t="s">
        <v>332</v>
      </c>
      <c r="H638" s="7" t="s">
        <v>513</v>
      </c>
    </row>
    <row r="639" customFormat="false" ht="15" hidden="false" customHeight="false" outlineLevel="0" collapsed="false">
      <c r="A639" s="7" t="s">
        <v>288</v>
      </c>
      <c r="B639" s="13" t="n">
        <v>22</v>
      </c>
      <c r="C639" s="7" t="s">
        <v>504</v>
      </c>
      <c r="D639" s="7" t="s">
        <v>235</v>
      </c>
      <c r="E639" s="7" t="s">
        <v>333</v>
      </c>
      <c r="F639" s="13" t="n">
        <v>3</v>
      </c>
      <c r="G639" s="7" t="s">
        <v>334</v>
      </c>
      <c r="H639" s="7" t="s">
        <v>513</v>
      </c>
    </row>
    <row r="640" customFormat="false" ht="15" hidden="false" customHeight="false" outlineLevel="0" collapsed="false">
      <c r="A640" s="7" t="s">
        <v>288</v>
      </c>
      <c r="B640" s="13" t="n">
        <v>23</v>
      </c>
      <c r="C640" s="7" t="s">
        <v>504</v>
      </c>
      <c r="D640" s="7" t="s">
        <v>235</v>
      </c>
      <c r="E640" s="7" t="s">
        <v>335</v>
      </c>
      <c r="F640" s="13" t="n">
        <v>6</v>
      </c>
      <c r="G640" s="7" t="s">
        <v>336</v>
      </c>
      <c r="H640" s="7" t="s">
        <v>513</v>
      </c>
    </row>
    <row r="641" customFormat="false" ht="15" hidden="false" customHeight="false" outlineLevel="0" collapsed="false">
      <c r="A641" s="7" t="s">
        <v>288</v>
      </c>
      <c r="B641" s="13" t="n">
        <v>24</v>
      </c>
      <c r="C641" s="7" t="s">
        <v>504</v>
      </c>
      <c r="D641" s="7" t="s">
        <v>235</v>
      </c>
      <c r="E641" s="7" t="s">
        <v>337</v>
      </c>
      <c r="F641" s="13" t="n">
        <v>4</v>
      </c>
      <c r="G641" s="7" t="s">
        <v>338</v>
      </c>
      <c r="H641" s="7" t="s">
        <v>513</v>
      </c>
    </row>
    <row r="642" customFormat="false" ht="15" hidden="false" customHeight="false" outlineLevel="0" collapsed="false">
      <c r="A642" s="7" t="s">
        <v>288</v>
      </c>
      <c r="B642" s="13" t="n">
        <v>25</v>
      </c>
      <c r="C642" s="7" t="s">
        <v>504</v>
      </c>
      <c r="D642" s="7" t="s">
        <v>235</v>
      </c>
      <c r="E642" s="7" t="s">
        <v>339</v>
      </c>
      <c r="F642" s="13" t="n">
        <v>8</v>
      </c>
      <c r="G642" s="7" t="s">
        <v>340</v>
      </c>
      <c r="H642" s="7" t="s">
        <v>513</v>
      </c>
    </row>
    <row r="643" customFormat="false" ht="15" hidden="false" customHeight="false" outlineLevel="0" collapsed="false">
      <c r="A643" s="7" t="s">
        <v>288</v>
      </c>
      <c r="B643" s="13" t="n">
        <v>26</v>
      </c>
      <c r="C643" s="7" t="s">
        <v>504</v>
      </c>
      <c r="D643" s="7" t="s">
        <v>235</v>
      </c>
      <c r="E643" s="7" t="s">
        <v>341</v>
      </c>
      <c r="F643" s="13" t="n">
        <v>10</v>
      </c>
      <c r="G643" s="7" t="s">
        <v>342</v>
      </c>
      <c r="H643" s="7" t="s">
        <v>513</v>
      </c>
    </row>
    <row r="644" customFormat="false" ht="15" hidden="false" customHeight="false" outlineLevel="0" collapsed="false">
      <c r="A644" s="7" t="s">
        <v>288</v>
      </c>
      <c r="B644" s="13" t="n">
        <v>27</v>
      </c>
      <c r="C644" s="7" t="s">
        <v>504</v>
      </c>
      <c r="D644" s="7" t="s">
        <v>235</v>
      </c>
      <c r="E644" s="7" t="s">
        <v>343</v>
      </c>
      <c r="F644" s="13" t="n">
        <v>6</v>
      </c>
      <c r="G644" s="7" t="s">
        <v>344</v>
      </c>
      <c r="H644" s="7" t="s">
        <v>513</v>
      </c>
    </row>
    <row r="645" customFormat="false" ht="15" hidden="false" customHeight="false" outlineLevel="0" collapsed="false">
      <c r="A645" s="7" t="s">
        <v>288</v>
      </c>
      <c r="B645" s="13" t="n">
        <v>28</v>
      </c>
      <c r="C645" s="7" t="s">
        <v>504</v>
      </c>
      <c r="D645" s="7" t="s">
        <v>235</v>
      </c>
      <c r="E645" s="7" t="s">
        <v>345</v>
      </c>
      <c r="F645" s="13" t="n">
        <v>4</v>
      </c>
      <c r="G645" s="7" t="s">
        <v>346</v>
      </c>
      <c r="H645" s="7" t="s">
        <v>513</v>
      </c>
    </row>
    <row r="646" customFormat="false" ht="15" hidden="false" customHeight="false" outlineLevel="0" collapsed="false">
      <c r="A646" s="7" t="s">
        <v>288</v>
      </c>
      <c r="B646" s="13" t="n">
        <v>29</v>
      </c>
      <c r="C646" s="7" t="s">
        <v>504</v>
      </c>
      <c r="D646" s="7" t="s">
        <v>235</v>
      </c>
      <c r="E646" s="7" t="s">
        <v>347</v>
      </c>
      <c r="F646" s="13" t="n">
        <v>3</v>
      </c>
      <c r="G646" s="7" t="s">
        <v>348</v>
      </c>
      <c r="H646" s="7" t="s">
        <v>513</v>
      </c>
    </row>
    <row r="647" customFormat="false" ht="15" hidden="false" customHeight="false" outlineLevel="0" collapsed="false">
      <c r="A647" s="7" t="s">
        <v>288</v>
      </c>
      <c r="B647" s="13" t="n">
        <v>30</v>
      </c>
      <c r="C647" s="7" t="s">
        <v>504</v>
      </c>
      <c r="D647" s="7" t="s">
        <v>235</v>
      </c>
      <c r="E647" s="7" t="s">
        <v>349</v>
      </c>
      <c r="F647" s="13" t="n">
        <v>3</v>
      </c>
      <c r="G647" s="7" t="s">
        <v>350</v>
      </c>
      <c r="H647" s="7" t="s">
        <v>513</v>
      </c>
    </row>
    <row r="648" customFormat="false" ht="15" hidden="false" customHeight="false" outlineLevel="0" collapsed="false">
      <c r="A648" s="7" t="s">
        <v>288</v>
      </c>
      <c r="B648" s="13" t="n">
        <v>31</v>
      </c>
      <c r="C648" s="7" t="s">
        <v>504</v>
      </c>
      <c r="D648" s="7" t="s">
        <v>235</v>
      </c>
      <c r="E648" s="7" t="s">
        <v>351</v>
      </c>
      <c r="F648" s="13" t="n">
        <v>6</v>
      </c>
      <c r="G648" s="7" t="s">
        <v>352</v>
      </c>
      <c r="H648" s="7" t="s">
        <v>513</v>
      </c>
    </row>
    <row r="649" customFormat="false" ht="15" hidden="false" customHeight="false" outlineLevel="0" collapsed="false">
      <c r="A649" s="7" t="s">
        <v>288</v>
      </c>
      <c r="B649" s="13" t="n">
        <v>32</v>
      </c>
      <c r="C649" s="7" t="s">
        <v>504</v>
      </c>
      <c r="D649" s="7" t="s">
        <v>235</v>
      </c>
      <c r="E649" s="7" t="s">
        <v>353</v>
      </c>
      <c r="F649" s="13" t="n">
        <v>4</v>
      </c>
      <c r="G649" s="7" t="s">
        <v>354</v>
      </c>
      <c r="H649" s="7" t="s">
        <v>513</v>
      </c>
    </row>
    <row r="650" customFormat="false" ht="15" hidden="false" customHeight="false" outlineLevel="0" collapsed="false">
      <c r="A650" s="7" t="s">
        <v>288</v>
      </c>
      <c r="B650" s="13" t="n">
        <v>33</v>
      </c>
      <c r="C650" s="7" t="s">
        <v>504</v>
      </c>
      <c r="D650" s="7" t="s">
        <v>235</v>
      </c>
      <c r="E650" s="7" t="s">
        <v>355</v>
      </c>
      <c r="F650" s="13" t="n">
        <v>5</v>
      </c>
      <c r="G650" s="7" t="s">
        <v>356</v>
      </c>
      <c r="H650" s="7" t="s">
        <v>513</v>
      </c>
    </row>
    <row r="651" customFormat="false" ht="15" hidden="false" customHeight="false" outlineLevel="0" collapsed="false">
      <c r="A651" s="7" t="s">
        <v>288</v>
      </c>
      <c r="B651" s="13" t="n">
        <v>34</v>
      </c>
      <c r="C651" s="7" t="s">
        <v>504</v>
      </c>
      <c r="D651" s="7" t="s">
        <v>235</v>
      </c>
      <c r="E651" s="7" t="s">
        <v>357</v>
      </c>
      <c r="F651" s="13" t="n">
        <v>3</v>
      </c>
      <c r="G651" s="7" t="s">
        <v>358</v>
      </c>
      <c r="H651" s="7" t="s">
        <v>513</v>
      </c>
    </row>
    <row r="652" customFormat="false" ht="15" hidden="false" customHeight="false" outlineLevel="0" collapsed="false">
      <c r="A652" s="7" t="s">
        <v>288</v>
      </c>
      <c r="B652" s="13" t="n">
        <v>35</v>
      </c>
      <c r="C652" s="7" t="s">
        <v>504</v>
      </c>
      <c r="D652" s="7" t="s">
        <v>235</v>
      </c>
      <c r="E652" s="7" t="s">
        <v>359</v>
      </c>
      <c r="F652" s="13" t="n">
        <v>8</v>
      </c>
      <c r="G652" s="7" t="s">
        <v>360</v>
      </c>
      <c r="H652" s="7" t="s">
        <v>513</v>
      </c>
    </row>
    <row r="653" customFormat="false" ht="15" hidden="false" customHeight="false" outlineLevel="0" collapsed="false">
      <c r="A653" s="7" t="s">
        <v>288</v>
      </c>
      <c r="B653" s="13" t="n">
        <v>36</v>
      </c>
      <c r="C653" s="7" t="s">
        <v>504</v>
      </c>
      <c r="D653" s="7" t="s">
        <v>235</v>
      </c>
      <c r="E653" s="7" t="s">
        <v>361</v>
      </c>
      <c r="F653" s="13" t="n">
        <v>8</v>
      </c>
      <c r="G653" s="7" t="s">
        <v>362</v>
      </c>
      <c r="H653" s="7" t="s">
        <v>513</v>
      </c>
    </row>
    <row r="654" customFormat="false" ht="15" hidden="false" customHeight="false" outlineLevel="0" collapsed="false">
      <c r="A654" s="7" t="s">
        <v>288</v>
      </c>
      <c r="B654" s="13" t="n">
        <v>37</v>
      </c>
      <c r="C654" s="7" t="s">
        <v>504</v>
      </c>
      <c r="D654" s="7" t="s">
        <v>235</v>
      </c>
      <c r="E654" s="7" t="s">
        <v>363</v>
      </c>
      <c r="F654" s="13" t="n">
        <v>10</v>
      </c>
      <c r="G654" s="7" t="s">
        <v>364</v>
      </c>
      <c r="H654" s="7" t="s">
        <v>513</v>
      </c>
    </row>
    <row r="655" customFormat="false" ht="15" hidden="false" customHeight="false" outlineLevel="0" collapsed="false">
      <c r="A655" s="7" t="s">
        <v>288</v>
      </c>
      <c r="B655" s="13" t="n">
        <v>38</v>
      </c>
      <c r="C655" s="7" t="s">
        <v>504</v>
      </c>
      <c r="D655" s="7" t="s">
        <v>235</v>
      </c>
      <c r="E655" s="7" t="s">
        <v>365</v>
      </c>
      <c r="F655" s="13" t="n">
        <v>10</v>
      </c>
      <c r="G655" s="7" t="s">
        <v>364</v>
      </c>
      <c r="H655" s="7" t="s">
        <v>513</v>
      </c>
    </row>
    <row r="656" customFormat="false" ht="15" hidden="false" customHeight="false" outlineLevel="0" collapsed="false">
      <c r="A656" s="7" t="s">
        <v>288</v>
      </c>
      <c r="B656" s="13" t="n">
        <v>39</v>
      </c>
      <c r="C656" s="7" t="s">
        <v>504</v>
      </c>
      <c r="D656" s="7" t="s">
        <v>240</v>
      </c>
      <c r="E656" s="7" t="s">
        <v>366</v>
      </c>
      <c r="F656" s="13" t="n">
        <v>8</v>
      </c>
      <c r="G656" s="7" t="s">
        <v>367</v>
      </c>
      <c r="H656" s="7" t="s">
        <v>513</v>
      </c>
    </row>
    <row r="657" customFormat="false" ht="15" hidden="false" customHeight="false" outlineLevel="0" collapsed="false">
      <c r="A657" s="7" t="s">
        <v>288</v>
      </c>
      <c r="B657" s="13" t="n">
        <v>40</v>
      </c>
      <c r="C657" s="7" t="s">
        <v>504</v>
      </c>
      <c r="D657" s="7" t="s">
        <v>240</v>
      </c>
      <c r="E657" s="7" t="s">
        <v>368</v>
      </c>
      <c r="F657" s="13" t="n">
        <v>6</v>
      </c>
      <c r="G657" s="7" t="s">
        <v>369</v>
      </c>
      <c r="H657" s="7" t="s">
        <v>513</v>
      </c>
    </row>
    <row r="658" customFormat="false" ht="15" hidden="false" customHeight="false" outlineLevel="0" collapsed="false">
      <c r="A658" s="7" t="s">
        <v>288</v>
      </c>
      <c r="B658" s="13" t="n">
        <v>41</v>
      </c>
      <c r="C658" s="7" t="s">
        <v>504</v>
      </c>
      <c r="D658" s="7" t="s">
        <v>240</v>
      </c>
      <c r="E658" s="7" t="s">
        <v>370</v>
      </c>
      <c r="F658" s="13" t="n">
        <v>6</v>
      </c>
      <c r="G658" s="7" t="s">
        <v>371</v>
      </c>
      <c r="H658" s="7" t="s">
        <v>513</v>
      </c>
    </row>
    <row r="659" customFormat="false" ht="15" hidden="false" customHeight="false" outlineLevel="0" collapsed="false">
      <c r="A659" s="7" t="s">
        <v>288</v>
      </c>
      <c r="B659" s="13" t="n">
        <v>42</v>
      </c>
      <c r="C659" s="7" t="s">
        <v>504</v>
      </c>
      <c r="D659" s="7" t="s">
        <v>240</v>
      </c>
      <c r="E659" s="7" t="s">
        <v>372</v>
      </c>
      <c r="F659" s="13" t="n">
        <v>6</v>
      </c>
      <c r="G659" s="7" t="s">
        <v>373</v>
      </c>
      <c r="H659" s="7" t="s">
        <v>513</v>
      </c>
    </row>
    <row r="660" customFormat="false" ht="15" hidden="false" customHeight="false" outlineLevel="0" collapsed="false">
      <c r="A660" s="7" t="s">
        <v>288</v>
      </c>
      <c r="B660" s="13" t="n">
        <v>43</v>
      </c>
      <c r="C660" s="7" t="s">
        <v>504</v>
      </c>
      <c r="D660" s="7" t="s">
        <v>240</v>
      </c>
      <c r="E660" s="7" t="s">
        <v>374</v>
      </c>
      <c r="F660" s="13" t="n">
        <v>8</v>
      </c>
      <c r="G660" s="7" t="s">
        <v>375</v>
      </c>
      <c r="H660" s="7" t="s">
        <v>513</v>
      </c>
    </row>
    <row r="661" customFormat="false" ht="15" hidden="false" customHeight="false" outlineLevel="0" collapsed="false">
      <c r="A661" s="7" t="s">
        <v>288</v>
      </c>
      <c r="B661" s="13" t="n">
        <v>44</v>
      </c>
      <c r="C661" s="7" t="s">
        <v>504</v>
      </c>
      <c r="D661" s="7" t="s">
        <v>240</v>
      </c>
      <c r="E661" s="7" t="s">
        <v>376</v>
      </c>
      <c r="F661" s="13" t="n">
        <v>4</v>
      </c>
      <c r="G661" s="7" t="s">
        <v>377</v>
      </c>
      <c r="H661" s="7" t="s">
        <v>513</v>
      </c>
    </row>
    <row r="662" customFormat="false" ht="15" hidden="false" customHeight="false" outlineLevel="0" collapsed="false">
      <c r="A662" s="7" t="s">
        <v>288</v>
      </c>
      <c r="B662" s="13" t="n">
        <v>45</v>
      </c>
      <c r="C662" s="7" t="s">
        <v>504</v>
      </c>
      <c r="D662" s="7" t="s">
        <v>240</v>
      </c>
      <c r="E662" s="7" t="s">
        <v>378</v>
      </c>
      <c r="F662" s="13" t="n">
        <v>6</v>
      </c>
      <c r="G662" s="7" t="s">
        <v>379</v>
      </c>
      <c r="H662" s="7" t="s">
        <v>513</v>
      </c>
    </row>
    <row r="663" customFormat="false" ht="15" hidden="false" customHeight="false" outlineLevel="0" collapsed="false">
      <c r="A663" s="7" t="s">
        <v>288</v>
      </c>
      <c r="B663" s="13" t="n">
        <v>46</v>
      </c>
      <c r="C663" s="7" t="s">
        <v>504</v>
      </c>
      <c r="D663" s="7" t="s">
        <v>240</v>
      </c>
      <c r="E663" s="7" t="s">
        <v>380</v>
      </c>
      <c r="F663" s="13" t="n">
        <v>8</v>
      </c>
      <c r="G663" s="7" t="s">
        <v>381</v>
      </c>
      <c r="H663" s="7" t="s">
        <v>513</v>
      </c>
    </row>
    <row r="664" customFormat="false" ht="15" hidden="false" customHeight="false" outlineLevel="0" collapsed="false">
      <c r="A664" s="7" t="s">
        <v>288</v>
      </c>
      <c r="B664" s="13" t="n">
        <v>47</v>
      </c>
      <c r="C664" s="7" t="s">
        <v>504</v>
      </c>
      <c r="D664" s="7" t="s">
        <v>246</v>
      </c>
      <c r="E664" s="7" t="s">
        <v>382</v>
      </c>
      <c r="F664" s="13" t="n">
        <v>4</v>
      </c>
      <c r="G664" s="7" t="s">
        <v>383</v>
      </c>
      <c r="H664" s="7" t="s">
        <v>513</v>
      </c>
    </row>
    <row r="665" customFormat="false" ht="15" hidden="false" customHeight="false" outlineLevel="0" collapsed="false">
      <c r="A665" s="7" t="s">
        <v>288</v>
      </c>
      <c r="B665" s="13" t="n">
        <v>48</v>
      </c>
      <c r="C665" s="7" t="s">
        <v>504</v>
      </c>
      <c r="D665" s="7" t="s">
        <v>246</v>
      </c>
      <c r="E665" s="7" t="s">
        <v>384</v>
      </c>
      <c r="F665" s="13" t="n">
        <v>4</v>
      </c>
      <c r="G665" s="7" t="s">
        <v>385</v>
      </c>
      <c r="H665" s="7" t="s">
        <v>513</v>
      </c>
    </row>
    <row r="666" customFormat="false" ht="15" hidden="false" customHeight="false" outlineLevel="0" collapsed="false">
      <c r="A666" s="7" t="s">
        <v>288</v>
      </c>
      <c r="B666" s="13" t="n">
        <v>49</v>
      </c>
      <c r="C666" s="7" t="s">
        <v>504</v>
      </c>
      <c r="D666" s="7" t="s">
        <v>246</v>
      </c>
      <c r="E666" s="7" t="s">
        <v>386</v>
      </c>
      <c r="F666" s="13" t="n">
        <v>10</v>
      </c>
      <c r="G666" s="7" t="s">
        <v>387</v>
      </c>
      <c r="H666" s="7" t="s">
        <v>513</v>
      </c>
    </row>
    <row r="667" customFormat="false" ht="15" hidden="false" customHeight="false" outlineLevel="0" collapsed="false">
      <c r="A667" s="7" t="s">
        <v>288</v>
      </c>
      <c r="B667" s="13" t="n">
        <v>50</v>
      </c>
      <c r="C667" s="7" t="s">
        <v>504</v>
      </c>
      <c r="D667" s="7" t="s">
        <v>246</v>
      </c>
      <c r="E667" s="7" t="s">
        <v>388</v>
      </c>
      <c r="F667" s="13" t="n">
        <v>6</v>
      </c>
      <c r="G667" s="7" t="s">
        <v>389</v>
      </c>
      <c r="H667" s="7" t="s">
        <v>513</v>
      </c>
    </row>
    <row r="668" customFormat="false" ht="15" hidden="false" customHeight="false" outlineLevel="0" collapsed="false">
      <c r="A668" s="7" t="s">
        <v>288</v>
      </c>
      <c r="B668" s="13" t="n">
        <v>51</v>
      </c>
      <c r="C668" s="7" t="s">
        <v>504</v>
      </c>
      <c r="D668" s="7" t="s">
        <v>246</v>
      </c>
      <c r="E668" s="7" t="s">
        <v>390</v>
      </c>
      <c r="F668" s="13" t="n">
        <v>6</v>
      </c>
      <c r="G668" s="7" t="s">
        <v>391</v>
      </c>
      <c r="H668" s="7" t="s">
        <v>513</v>
      </c>
    </row>
    <row r="669" customFormat="false" ht="15" hidden="false" customHeight="false" outlineLevel="0" collapsed="false">
      <c r="A669" s="7" t="s">
        <v>288</v>
      </c>
      <c r="B669" s="13" t="n">
        <v>52</v>
      </c>
      <c r="C669" s="7" t="s">
        <v>504</v>
      </c>
      <c r="D669" s="7" t="s">
        <v>246</v>
      </c>
      <c r="E669" s="7" t="s">
        <v>392</v>
      </c>
      <c r="F669" s="13" t="n">
        <v>6</v>
      </c>
      <c r="G669" s="7" t="s">
        <v>393</v>
      </c>
      <c r="H669" s="7" t="s">
        <v>513</v>
      </c>
    </row>
    <row r="670" customFormat="false" ht="15" hidden="false" customHeight="false" outlineLevel="0" collapsed="false">
      <c r="A670" s="7" t="s">
        <v>288</v>
      </c>
      <c r="B670" s="13" t="n">
        <v>53</v>
      </c>
      <c r="C670" s="7" t="s">
        <v>504</v>
      </c>
      <c r="D670" s="7" t="s">
        <v>394</v>
      </c>
      <c r="E670" s="7" t="s">
        <v>395</v>
      </c>
      <c r="F670" s="13" t="n">
        <v>8</v>
      </c>
      <c r="G670" s="7" t="s">
        <v>396</v>
      </c>
      <c r="H670" s="7" t="s">
        <v>513</v>
      </c>
    </row>
    <row r="671" customFormat="false" ht="15" hidden="false" customHeight="false" outlineLevel="0" collapsed="false">
      <c r="A671" s="7" t="s">
        <v>288</v>
      </c>
      <c r="B671" s="13" t="n">
        <v>54</v>
      </c>
      <c r="C671" s="7" t="s">
        <v>504</v>
      </c>
      <c r="D671" s="7" t="s">
        <v>394</v>
      </c>
      <c r="E671" s="7" t="s">
        <v>397</v>
      </c>
      <c r="F671" s="13" t="n">
        <v>4</v>
      </c>
      <c r="G671" s="7" t="s">
        <v>398</v>
      </c>
      <c r="H671" s="7" t="s">
        <v>513</v>
      </c>
    </row>
    <row r="672" customFormat="false" ht="15" hidden="false" customHeight="false" outlineLevel="0" collapsed="false">
      <c r="A672" s="7" t="s">
        <v>288</v>
      </c>
      <c r="B672" s="13" t="n">
        <v>55</v>
      </c>
      <c r="C672" s="7" t="s">
        <v>504</v>
      </c>
      <c r="D672" s="7" t="s">
        <v>394</v>
      </c>
      <c r="E672" s="7" t="s">
        <v>399</v>
      </c>
      <c r="F672" s="13" t="n">
        <v>4</v>
      </c>
      <c r="G672" s="7" t="s">
        <v>400</v>
      </c>
      <c r="H672" s="7" t="s">
        <v>513</v>
      </c>
    </row>
    <row r="673" customFormat="false" ht="15" hidden="false" customHeight="false" outlineLevel="0" collapsed="false">
      <c r="A673" s="7" t="s">
        <v>288</v>
      </c>
      <c r="B673" s="13" t="n">
        <v>56</v>
      </c>
      <c r="C673" s="7" t="s">
        <v>504</v>
      </c>
      <c r="D673" s="7" t="s">
        <v>394</v>
      </c>
      <c r="E673" s="7" t="s">
        <v>401</v>
      </c>
      <c r="F673" s="13" t="n">
        <v>5</v>
      </c>
      <c r="G673" s="7" t="s">
        <v>402</v>
      </c>
      <c r="H673" s="7" t="s">
        <v>513</v>
      </c>
    </row>
    <row r="674" customFormat="false" ht="15" hidden="false" customHeight="false" outlineLevel="0" collapsed="false">
      <c r="A674" s="7" t="s">
        <v>288</v>
      </c>
      <c r="B674" s="13" t="n">
        <v>57</v>
      </c>
      <c r="C674" s="7" t="s">
        <v>504</v>
      </c>
      <c r="D674" s="7" t="s">
        <v>394</v>
      </c>
      <c r="E674" s="7" t="s">
        <v>403</v>
      </c>
      <c r="F674" s="13" t="n">
        <v>8</v>
      </c>
      <c r="G674" s="7" t="s">
        <v>404</v>
      </c>
      <c r="H674" s="7" t="s">
        <v>513</v>
      </c>
    </row>
    <row r="675" customFormat="false" ht="15" hidden="false" customHeight="false" outlineLevel="0" collapsed="false">
      <c r="A675" s="7" t="s">
        <v>288</v>
      </c>
      <c r="B675" s="13" t="n">
        <v>58</v>
      </c>
      <c r="C675" s="7" t="s">
        <v>504</v>
      </c>
      <c r="D675" s="7" t="s">
        <v>394</v>
      </c>
      <c r="E675" s="7" t="s">
        <v>405</v>
      </c>
      <c r="F675" s="13" t="n">
        <v>3</v>
      </c>
      <c r="G675" s="7" t="s">
        <v>406</v>
      </c>
      <c r="H675" s="7" t="s">
        <v>513</v>
      </c>
    </row>
    <row r="676" customFormat="false" ht="15" hidden="false" customHeight="false" outlineLevel="0" collapsed="false">
      <c r="A676" s="7" t="s">
        <v>288</v>
      </c>
      <c r="B676" s="13" t="n">
        <v>59</v>
      </c>
      <c r="C676" s="7" t="s">
        <v>504</v>
      </c>
      <c r="D676" s="7" t="s">
        <v>260</v>
      </c>
      <c r="E676" s="7" t="s">
        <v>407</v>
      </c>
      <c r="F676" s="13" t="n">
        <v>6</v>
      </c>
      <c r="G676" s="7" t="s">
        <v>408</v>
      </c>
      <c r="H676" s="7" t="s">
        <v>513</v>
      </c>
    </row>
    <row r="677" customFormat="false" ht="15" hidden="false" customHeight="false" outlineLevel="0" collapsed="false">
      <c r="A677" s="7" t="s">
        <v>288</v>
      </c>
      <c r="B677" s="13" t="n">
        <v>60</v>
      </c>
      <c r="C677" s="7" t="s">
        <v>504</v>
      </c>
      <c r="D677" s="7" t="s">
        <v>260</v>
      </c>
      <c r="E677" s="7" t="s">
        <v>409</v>
      </c>
      <c r="F677" s="13" t="n">
        <v>4</v>
      </c>
      <c r="G677" s="7" t="s">
        <v>410</v>
      </c>
      <c r="H677" s="7" t="s">
        <v>513</v>
      </c>
    </row>
    <row r="678" customFormat="false" ht="15" hidden="false" customHeight="false" outlineLevel="0" collapsed="false">
      <c r="A678" s="7" t="s">
        <v>288</v>
      </c>
      <c r="B678" s="13" t="n">
        <v>61</v>
      </c>
      <c r="C678" s="7" t="s">
        <v>504</v>
      </c>
      <c r="D678" s="7" t="s">
        <v>266</v>
      </c>
      <c r="E678" s="7" t="s">
        <v>411</v>
      </c>
      <c r="F678" s="13" t="n">
        <v>5</v>
      </c>
      <c r="G678" s="7" t="s">
        <v>412</v>
      </c>
      <c r="H678" s="7" t="s">
        <v>513</v>
      </c>
    </row>
    <row r="679" customFormat="false" ht="15" hidden="false" customHeight="false" outlineLevel="0" collapsed="false">
      <c r="A679" s="7" t="s">
        <v>288</v>
      </c>
      <c r="B679" s="13" t="n">
        <v>62</v>
      </c>
      <c r="C679" s="7" t="s">
        <v>504</v>
      </c>
      <c r="D679" s="7" t="s">
        <v>266</v>
      </c>
      <c r="E679" s="7" t="s">
        <v>413</v>
      </c>
      <c r="F679" s="13" t="n">
        <v>8</v>
      </c>
      <c r="G679" s="7" t="s">
        <v>414</v>
      </c>
      <c r="H679" s="7" t="s">
        <v>513</v>
      </c>
    </row>
    <row r="680" customFormat="false" ht="15" hidden="false" customHeight="false" outlineLevel="0" collapsed="false">
      <c r="A680" s="7" t="s">
        <v>288</v>
      </c>
      <c r="B680" s="13" t="n">
        <v>63</v>
      </c>
      <c r="C680" s="7" t="s">
        <v>504</v>
      </c>
      <c r="D680" s="7" t="s">
        <v>266</v>
      </c>
      <c r="E680" s="7" t="s">
        <v>415</v>
      </c>
      <c r="F680" s="13" t="n">
        <v>5</v>
      </c>
      <c r="G680" s="7" t="s">
        <v>416</v>
      </c>
      <c r="H680" s="7" t="s">
        <v>513</v>
      </c>
    </row>
    <row r="681" customFormat="false" ht="15" hidden="false" customHeight="false" outlineLevel="0" collapsed="false">
      <c r="A681" s="7" t="s">
        <v>288</v>
      </c>
      <c r="B681" s="13" t="n">
        <v>64</v>
      </c>
      <c r="C681" s="7" t="s">
        <v>504</v>
      </c>
      <c r="D681" s="7" t="s">
        <v>266</v>
      </c>
      <c r="E681" s="7" t="s">
        <v>417</v>
      </c>
      <c r="F681" s="13" t="n">
        <v>4</v>
      </c>
      <c r="G681" s="7" t="s">
        <v>418</v>
      </c>
      <c r="H681" s="7" t="s">
        <v>513</v>
      </c>
    </row>
    <row r="682" customFormat="false" ht="15" hidden="false" customHeight="false" outlineLevel="0" collapsed="false">
      <c r="A682" s="7" t="s">
        <v>288</v>
      </c>
      <c r="B682" s="13" t="n">
        <v>65</v>
      </c>
      <c r="C682" s="7" t="s">
        <v>504</v>
      </c>
      <c r="D682" s="7" t="s">
        <v>271</v>
      </c>
      <c r="E682" s="7" t="s">
        <v>419</v>
      </c>
      <c r="F682" s="13" t="n">
        <v>4</v>
      </c>
      <c r="G682" s="7" t="s">
        <v>420</v>
      </c>
      <c r="H682" s="7" t="s">
        <v>513</v>
      </c>
    </row>
    <row r="683" customFormat="false" ht="15" hidden="false" customHeight="false" outlineLevel="0" collapsed="false">
      <c r="A683" s="7" t="s">
        <v>288</v>
      </c>
      <c r="B683" s="13" t="n">
        <v>66</v>
      </c>
      <c r="C683" s="7" t="s">
        <v>504</v>
      </c>
      <c r="D683" s="7" t="s">
        <v>271</v>
      </c>
      <c r="E683" s="7" t="s">
        <v>421</v>
      </c>
      <c r="F683" s="13" t="n">
        <v>5</v>
      </c>
      <c r="G683" s="7" t="s">
        <v>422</v>
      </c>
      <c r="H683" s="7" t="s">
        <v>513</v>
      </c>
    </row>
    <row r="684" customFormat="false" ht="15" hidden="false" customHeight="false" outlineLevel="0" collapsed="false">
      <c r="A684" s="7" t="s">
        <v>288</v>
      </c>
      <c r="B684" s="13" t="n">
        <v>67</v>
      </c>
      <c r="C684" s="7" t="s">
        <v>504</v>
      </c>
      <c r="D684" s="7" t="s">
        <v>276</v>
      </c>
      <c r="E684" s="7" t="s">
        <v>423</v>
      </c>
      <c r="F684" s="13" t="n">
        <v>20</v>
      </c>
      <c r="G684" s="7" t="s">
        <v>424</v>
      </c>
      <c r="H684" s="7" t="s">
        <v>513</v>
      </c>
    </row>
    <row r="685" customFormat="false" ht="15" hidden="false" customHeight="false" outlineLevel="0" collapsed="false">
      <c r="A685" s="7" t="s">
        <v>288</v>
      </c>
      <c r="B685" s="13" t="n">
        <v>68</v>
      </c>
      <c r="C685" s="7" t="s">
        <v>504</v>
      </c>
      <c r="D685" s="7" t="s">
        <v>276</v>
      </c>
      <c r="E685" s="7" t="s">
        <v>425</v>
      </c>
      <c r="F685" s="13" t="n">
        <v>4</v>
      </c>
      <c r="G685" s="7" t="s">
        <v>426</v>
      </c>
      <c r="H685" s="7" t="s">
        <v>513</v>
      </c>
    </row>
    <row r="686" customFormat="false" ht="15" hidden="false" customHeight="false" outlineLevel="0" collapsed="false">
      <c r="A686" s="7" t="s">
        <v>288</v>
      </c>
      <c r="B686" s="13" t="n">
        <v>69</v>
      </c>
      <c r="C686" s="7" t="s">
        <v>504</v>
      </c>
      <c r="D686" s="7" t="s">
        <v>276</v>
      </c>
      <c r="E686" s="7" t="s">
        <v>427</v>
      </c>
      <c r="F686" s="13" t="n">
        <v>3</v>
      </c>
      <c r="G686" s="7" t="s">
        <v>428</v>
      </c>
      <c r="H686" s="7" t="s">
        <v>513</v>
      </c>
    </row>
    <row r="687" customFormat="false" ht="15" hidden="false" customHeight="false" outlineLevel="0" collapsed="false">
      <c r="A687" s="7" t="s">
        <v>288</v>
      </c>
      <c r="B687" s="13" t="n">
        <v>70</v>
      </c>
      <c r="C687" s="7" t="s">
        <v>504</v>
      </c>
      <c r="D687" s="7" t="s">
        <v>276</v>
      </c>
      <c r="E687" s="7" t="s">
        <v>429</v>
      </c>
      <c r="F687" s="13" t="n">
        <v>6</v>
      </c>
      <c r="G687" s="7" t="s">
        <v>430</v>
      </c>
      <c r="H687" s="7" t="s">
        <v>513</v>
      </c>
    </row>
    <row r="688" customFormat="false" ht="15" hidden="false" customHeight="false" outlineLevel="0" collapsed="false">
      <c r="A688" s="7" t="s">
        <v>288</v>
      </c>
      <c r="B688" s="13" t="n">
        <v>71</v>
      </c>
      <c r="C688" s="7" t="s">
        <v>504</v>
      </c>
      <c r="D688" s="7" t="s">
        <v>276</v>
      </c>
      <c r="E688" s="7" t="s">
        <v>431</v>
      </c>
      <c r="F688" s="13" t="n">
        <v>10</v>
      </c>
      <c r="G688" s="7" t="s">
        <v>432</v>
      </c>
      <c r="H688" s="7" t="s">
        <v>513</v>
      </c>
    </row>
    <row r="689" customFormat="false" ht="15" hidden="false" customHeight="false" outlineLevel="0" collapsed="false">
      <c r="A689" s="7" t="s">
        <v>288</v>
      </c>
      <c r="B689" s="13" t="n">
        <v>72</v>
      </c>
      <c r="C689" s="7" t="s">
        <v>504</v>
      </c>
      <c r="D689" s="7" t="s">
        <v>246</v>
      </c>
      <c r="E689" s="7" t="s">
        <v>514</v>
      </c>
      <c r="F689" s="13" t="n">
        <v>3</v>
      </c>
      <c r="G689" s="7" t="s">
        <v>515</v>
      </c>
      <c r="H689" s="7" t="s">
        <v>513</v>
      </c>
    </row>
    <row r="690" customFormat="false" ht="15" hidden="false" customHeight="false" outlineLevel="0" collapsed="false">
      <c r="A690" s="7" t="s">
        <v>288</v>
      </c>
      <c r="B690" s="13" t="n">
        <v>73</v>
      </c>
      <c r="C690" s="7" t="s">
        <v>504</v>
      </c>
      <c r="D690" s="7" t="s">
        <v>246</v>
      </c>
      <c r="E690" s="7" t="s">
        <v>516</v>
      </c>
      <c r="F690" s="13" t="n">
        <v>3</v>
      </c>
      <c r="G690" s="7" t="s">
        <v>517</v>
      </c>
      <c r="H690" s="7" t="s">
        <v>513</v>
      </c>
    </row>
    <row r="691" customFormat="false" ht="15" hidden="false" customHeight="false" outlineLevel="0" collapsed="false">
      <c r="A691" s="7" t="s">
        <v>288</v>
      </c>
      <c r="B691" s="13" t="n">
        <v>74</v>
      </c>
      <c r="C691" s="7" t="s">
        <v>504</v>
      </c>
      <c r="D691" s="7" t="s">
        <v>246</v>
      </c>
      <c r="E691" s="7" t="s">
        <v>518</v>
      </c>
      <c r="F691" s="13" t="n">
        <v>4</v>
      </c>
      <c r="G691" s="7" t="s">
        <v>519</v>
      </c>
      <c r="H691" s="7" t="s">
        <v>513</v>
      </c>
    </row>
    <row r="692" customFormat="false" ht="15" hidden="false" customHeight="false" outlineLevel="0" collapsed="false">
      <c r="A692" s="7" t="s">
        <v>288</v>
      </c>
      <c r="B692" s="13" t="n">
        <v>75</v>
      </c>
      <c r="C692" s="7" t="s">
        <v>504</v>
      </c>
      <c r="D692" s="7" t="s">
        <v>246</v>
      </c>
      <c r="E692" s="7" t="s">
        <v>520</v>
      </c>
      <c r="F692" s="13" t="n">
        <v>4</v>
      </c>
      <c r="G692" s="7" t="s">
        <v>521</v>
      </c>
      <c r="H692" s="7" t="s">
        <v>513</v>
      </c>
    </row>
    <row r="693" customFormat="false" ht="15" hidden="false" customHeight="false" outlineLevel="0" collapsed="false">
      <c r="A693" s="7" t="s">
        <v>288</v>
      </c>
      <c r="B693" s="13" t="n">
        <v>76</v>
      </c>
      <c r="C693" s="7" t="s">
        <v>504</v>
      </c>
      <c r="D693" s="7" t="s">
        <v>246</v>
      </c>
      <c r="E693" s="7" t="s">
        <v>522</v>
      </c>
      <c r="F693" s="13" t="n">
        <v>5</v>
      </c>
      <c r="G693" s="7" t="s">
        <v>523</v>
      </c>
      <c r="H693" s="7" t="s">
        <v>513</v>
      </c>
    </row>
    <row r="694" customFormat="false" ht="15" hidden="false" customHeight="false" outlineLevel="0" collapsed="false">
      <c r="A694" s="7" t="s">
        <v>288</v>
      </c>
      <c r="B694" s="13" t="n">
        <v>77</v>
      </c>
      <c r="C694" s="7" t="s">
        <v>504</v>
      </c>
      <c r="D694" s="7" t="s">
        <v>246</v>
      </c>
      <c r="E694" s="7" t="s">
        <v>524</v>
      </c>
      <c r="F694" s="13" t="n">
        <v>3</v>
      </c>
      <c r="G694" s="7" t="s">
        <v>525</v>
      </c>
      <c r="H694" s="7" t="s">
        <v>513</v>
      </c>
    </row>
    <row r="695" customFormat="false" ht="15" hidden="false" customHeight="false" outlineLevel="0" collapsed="false">
      <c r="A695" s="7" t="s">
        <v>288</v>
      </c>
      <c r="B695" s="13" t="n">
        <v>78</v>
      </c>
      <c r="C695" s="7" t="s">
        <v>504</v>
      </c>
      <c r="D695" s="7" t="s">
        <v>266</v>
      </c>
      <c r="E695" s="7" t="s">
        <v>526</v>
      </c>
      <c r="F695" s="13" t="n">
        <v>4</v>
      </c>
      <c r="G695" s="7" t="s">
        <v>527</v>
      </c>
      <c r="H695" s="7" t="s">
        <v>513</v>
      </c>
    </row>
    <row r="696" customFormat="false" ht="15" hidden="false" customHeight="false" outlineLevel="0" collapsed="false">
      <c r="A696" s="7" t="s">
        <v>288</v>
      </c>
      <c r="B696" s="13" t="n">
        <v>79</v>
      </c>
      <c r="C696" s="7" t="s">
        <v>504</v>
      </c>
      <c r="D696" s="7" t="s">
        <v>266</v>
      </c>
      <c r="E696" s="7" t="s">
        <v>528</v>
      </c>
      <c r="F696" s="13" t="n">
        <v>6</v>
      </c>
      <c r="G696" s="7" t="s">
        <v>529</v>
      </c>
      <c r="H696" s="7" t="s">
        <v>513</v>
      </c>
    </row>
    <row r="697" customFormat="false" ht="15" hidden="false" customHeight="false" outlineLevel="0" collapsed="false">
      <c r="A697" s="7" t="s">
        <v>288</v>
      </c>
      <c r="B697" s="13" t="n">
        <v>80</v>
      </c>
      <c r="C697" s="7" t="s">
        <v>504</v>
      </c>
      <c r="D697" s="7" t="s">
        <v>266</v>
      </c>
      <c r="E697" s="7" t="s">
        <v>530</v>
      </c>
      <c r="F697" s="13" t="n">
        <v>5</v>
      </c>
      <c r="G697" s="7" t="s">
        <v>531</v>
      </c>
      <c r="H697" s="7" t="s">
        <v>513</v>
      </c>
    </row>
    <row r="698" customFormat="false" ht="15" hidden="false" customHeight="false" outlineLevel="0" collapsed="false">
      <c r="A698" s="7" t="s">
        <v>288</v>
      </c>
      <c r="B698" s="13" t="n">
        <v>81</v>
      </c>
      <c r="C698" s="7" t="s">
        <v>504</v>
      </c>
      <c r="D698" s="7" t="s">
        <v>266</v>
      </c>
      <c r="E698" s="7" t="s">
        <v>532</v>
      </c>
      <c r="F698" s="13" t="n">
        <v>5</v>
      </c>
      <c r="G698" s="7" t="s">
        <v>533</v>
      </c>
      <c r="H698" s="7" t="s">
        <v>513</v>
      </c>
    </row>
    <row r="699" customFormat="false" ht="15" hidden="false" customHeight="false" outlineLevel="0" collapsed="false">
      <c r="A699" s="7" t="s">
        <v>288</v>
      </c>
      <c r="B699" s="13" t="n">
        <v>82</v>
      </c>
      <c r="C699" s="7" t="s">
        <v>504</v>
      </c>
      <c r="D699" s="7" t="s">
        <v>266</v>
      </c>
      <c r="E699" s="7" t="s">
        <v>534</v>
      </c>
      <c r="F699" s="13" t="n">
        <v>3</v>
      </c>
      <c r="G699" s="7" t="s">
        <v>535</v>
      </c>
      <c r="H699" s="7" t="s">
        <v>513</v>
      </c>
    </row>
    <row r="700" customFormat="false" ht="15" hidden="false" customHeight="false" outlineLevel="0" collapsed="false">
      <c r="A700" s="7" t="s">
        <v>288</v>
      </c>
      <c r="B700" s="13" t="n">
        <v>83</v>
      </c>
      <c r="C700" s="7" t="s">
        <v>504</v>
      </c>
      <c r="D700" s="7" t="s">
        <v>266</v>
      </c>
      <c r="E700" s="7" t="s">
        <v>536</v>
      </c>
      <c r="F700" s="13" t="n">
        <v>4</v>
      </c>
      <c r="G700" s="7" t="s">
        <v>537</v>
      </c>
      <c r="H700" s="7" t="s">
        <v>513</v>
      </c>
    </row>
    <row r="701" customFormat="false" ht="15" hidden="false" customHeight="false" outlineLevel="0" collapsed="false">
      <c r="A701" s="7" t="s">
        <v>288</v>
      </c>
      <c r="B701" s="13" t="n">
        <v>84</v>
      </c>
      <c r="C701" s="7" t="s">
        <v>504</v>
      </c>
      <c r="D701" s="7" t="s">
        <v>276</v>
      </c>
      <c r="E701" s="7" t="s">
        <v>538</v>
      </c>
      <c r="F701" s="13" t="n">
        <v>5</v>
      </c>
      <c r="G701" s="7" t="s">
        <v>539</v>
      </c>
      <c r="H701" s="7" t="s">
        <v>513</v>
      </c>
    </row>
    <row r="702" customFormat="false" ht="15" hidden="false" customHeight="false" outlineLevel="0" collapsed="false">
      <c r="A702" s="7" t="s">
        <v>288</v>
      </c>
      <c r="B702" s="13" t="n">
        <v>85</v>
      </c>
      <c r="C702" s="7" t="s">
        <v>504</v>
      </c>
      <c r="D702" s="7" t="s">
        <v>276</v>
      </c>
      <c r="E702" s="7" t="s">
        <v>540</v>
      </c>
      <c r="F702" s="13" t="n">
        <v>3</v>
      </c>
      <c r="G702" s="7" t="s">
        <v>541</v>
      </c>
      <c r="H702" s="7" t="s">
        <v>513</v>
      </c>
    </row>
    <row r="703" customFormat="false" ht="15" hidden="false" customHeight="false" outlineLevel="0" collapsed="false">
      <c r="A703" s="7" t="s">
        <v>288</v>
      </c>
      <c r="B703" s="13" t="n">
        <v>86</v>
      </c>
      <c r="C703" s="7" t="s">
        <v>504</v>
      </c>
      <c r="D703" s="7" t="s">
        <v>276</v>
      </c>
      <c r="E703" s="7" t="s">
        <v>542</v>
      </c>
      <c r="F703" s="13" t="n">
        <v>3</v>
      </c>
      <c r="G703" s="7" t="s">
        <v>543</v>
      </c>
      <c r="H703" s="7" t="s">
        <v>513</v>
      </c>
    </row>
    <row r="704" customFormat="false" ht="15" hidden="false" customHeight="false" outlineLevel="0" collapsed="false">
      <c r="A704" s="7" t="s">
        <v>288</v>
      </c>
      <c r="B704" s="13" t="n">
        <v>87</v>
      </c>
      <c r="C704" s="7" t="s">
        <v>504</v>
      </c>
      <c r="D704" s="7" t="s">
        <v>276</v>
      </c>
      <c r="E704" s="7" t="s">
        <v>544</v>
      </c>
      <c r="F704" s="13" t="n">
        <v>6</v>
      </c>
      <c r="G704" s="7" t="s">
        <v>545</v>
      </c>
      <c r="H704" s="7" t="s">
        <v>513</v>
      </c>
    </row>
    <row r="705" customFormat="false" ht="15" hidden="false" customHeight="false" outlineLevel="0" collapsed="false">
      <c r="A705" s="7" t="s">
        <v>288</v>
      </c>
      <c r="B705" s="13" t="n">
        <v>88</v>
      </c>
      <c r="C705" s="7" t="s">
        <v>504</v>
      </c>
      <c r="D705" s="7" t="s">
        <v>276</v>
      </c>
      <c r="E705" s="7" t="s">
        <v>546</v>
      </c>
      <c r="F705" s="13" t="n">
        <v>5</v>
      </c>
      <c r="G705" s="7" t="s">
        <v>547</v>
      </c>
      <c r="H705" s="7" t="s">
        <v>513</v>
      </c>
    </row>
    <row r="706" customFormat="false" ht="15" hidden="false" customHeight="false" outlineLevel="0" collapsed="false">
      <c r="A706" s="7" t="s">
        <v>288</v>
      </c>
      <c r="B706" s="13" t="n">
        <v>89</v>
      </c>
      <c r="C706" s="7" t="s">
        <v>504</v>
      </c>
      <c r="D706" s="7" t="s">
        <v>276</v>
      </c>
      <c r="E706" s="7" t="s">
        <v>548</v>
      </c>
      <c r="F706" s="13" t="n">
        <v>4</v>
      </c>
      <c r="G706" s="7" t="s">
        <v>549</v>
      </c>
      <c r="H706" s="7" t="s">
        <v>513</v>
      </c>
    </row>
    <row r="707" customFormat="false" ht="15" hidden="false" customHeight="false" outlineLevel="0" collapsed="false">
      <c r="A707" s="7" t="s">
        <v>288</v>
      </c>
      <c r="B707" s="13" t="n">
        <v>90</v>
      </c>
      <c r="C707" s="7" t="s">
        <v>504</v>
      </c>
      <c r="D707" s="7" t="s">
        <v>276</v>
      </c>
      <c r="E707" s="7" t="s">
        <v>550</v>
      </c>
      <c r="F707" s="13" t="n">
        <v>5</v>
      </c>
      <c r="G707" s="7" t="s">
        <v>551</v>
      </c>
      <c r="H707" s="7" t="s">
        <v>513</v>
      </c>
    </row>
    <row r="708" customFormat="false" ht="15" hidden="false" customHeight="false" outlineLevel="0" collapsed="false">
      <c r="A708" s="7" t="s">
        <v>288</v>
      </c>
      <c r="B708" s="13" t="n">
        <v>91</v>
      </c>
      <c r="C708" s="7" t="s">
        <v>504</v>
      </c>
      <c r="D708" s="7" t="s">
        <v>240</v>
      </c>
      <c r="E708" s="7" t="s">
        <v>552</v>
      </c>
      <c r="F708" s="13" t="n">
        <v>4</v>
      </c>
      <c r="G708" s="7" t="s">
        <v>553</v>
      </c>
      <c r="H708" s="7" t="s">
        <v>513</v>
      </c>
    </row>
    <row r="709" customFormat="false" ht="15" hidden="false" customHeight="false" outlineLevel="0" collapsed="false">
      <c r="A709" s="7" t="s">
        <v>288</v>
      </c>
      <c r="B709" s="13" t="n">
        <v>92</v>
      </c>
      <c r="C709" s="7" t="s">
        <v>504</v>
      </c>
      <c r="D709" s="7" t="s">
        <v>240</v>
      </c>
      <c r="E709" s="7" t="s">
        <v>554</v>
      </c>
      <c r="F709" s="13" t="n">
        <v>4</v>
      </c>
      <c r="G709" s="7" t="s">
        <v>555</v>
      </c>
      <c r="H709" s="7" t="s">
        <v>513</v>
      </c>
    </row>
    <row r="710" customFormat="false" ht="15" hidden="false" customHeight="false" outlineLevel="0" collapsed="false">
      <c r="A710" s="7" t="s">
        <v>288</v>
      </c>
      <c r="B710" s="13" t="n">
        <v>93</v>
      </c>
      <c r="C710" s="7" t="s">
        <v>504</v>
      </c>
      <c r="D710" s="7" t="s">
        <v>240</v>
      </c>
      <c r="E710" s="7" t="s">
        <v>556</v>
      </c>
      <c r="F710" s="13" t="n">
        <v>3</v>
      </c>
      <c r="G710" s="7" t="s">
        <v>557</v>
      </c>
      <c r="H710" s="7" t="s">
        <v>513</v>
      </c>
    </row>
    <row r="711" customFormat="false" ht="15" hidden="false" customHeight="false" outlineLevel="0" collapsed="false">
      <c r="A711" s="7" t="s">
        <v>288</v>
      </c>
      <c r="B711" s="13" t="n">
        <v>94</v>
      </c>
      <c r="C711" s="7" t="s">
        <v>504</v>
      </c>
      <c r="D711" s="7" t="s">
        <v>240</v>
      </c>
      <c r="E711" s="7" t="s">
        <v>558</v>
      </c>
      <c r="F711" s="13" t="n">
        <v>5</v>
      </c>
      <c r="G711" s="7" t="s">
        <v>559</v>
      </c>
      <c r="H711" s="7" t="s">
        <v>513</v>
      </c>
    </row>
    <row r="712" customFormat="false" ht="15" hidden="false" customHeight="false" outlineLevel="0" collapsed="false">
      <c r="A712" s="7" t="s">
        <v>288</v>
      </c>
      <c r="B712" s="13" t="n">
        <v>95</v>
      </c>
      <c r="C712" s="7" t="s">
        <v>504</v>
      </c>
      <c r="D712" s="7" t="s">
        <v>290</v>
      </c>
      <c r="E712" s="7" t="s">
        <v>560</v>
      </c>
      <c r="F712" s="13" t="n">
        <v>3</v>
      </c>
      <c r="G712" s="7" t="s">
        <v>561</v>
      </c>
      <c r="H712" s="7" t="s">
        <v>513</v>
      </c>
    </row>
    <row r="713" customFormat="false" ht="15" hidden="false" customHeight="false" outlineLevel="0" collapsed="false">
      <c r="A713" s="7" t="s">
        <v>288</v>
      </c>
      <c r="B713" s="13" t="n">
        <v>96</v>
      </c>
      <c r="C713" s="7" t="s">
        <v>504</v>
      </c>
      <c r="D713" s="7" t="s">
        <v>290</v>
      </c>
      <c r="E713" s="7" t="s">
        <v>562</v>
      </c>
      <c r="F713" s="13" t="n">
        <v>3</v>
      </c>
      <c r="G713" s="7" t="s">
        <v>563</v>
      </c>
      <c r="H713" s="7" t="s">
        <v>513</v>
      </c>
    </row>
    <row r="714" customFormat="false" ht="15" hidden="false" customHeight="false" outlineLevel="0" collapsed="false">
      <c r="A714" s="7" t="s">
        <v>288</v>
      </c>
      <c r="B714" s="13" t="n">
        <v>97</v>
      </c>
      <c r="C714" s="7" t="s">
        <v>504</v>
      </c>
      <c r="D714" s="7" t="s">
        <v>290</v>
      </c>
      <c r="E714" s="7" t="s">
        <v>564</v>
      </c>
      <c r="F714" s="13" t="n">
        <v>4</v>
      </c>
      <c r="G714" s="7" t="s">
        <v>565</v>
      </c>
      <c r="H714" s="7" t="s">
        <v>513</v>
      </c>
    </row>
    <row r="715" customFormat="false" ht="15" hidden="false" customHeight="false" outlineLevel="0" collapsed="false">
      <c r="A715" s="7" t="s">
        <v>288</v>
      </c>
      <c r="B715" s="13" t="n">
        <v>98</v>
      </c>
      <c r="C715" s="7" t="s">
        <v>504</v>
      </c>
      <c r="D715" s="7" t="s">
        <v>235</v>
      </c>
      <c r="E715" s="7" t="s">
        <v>566</v>
      </c>
      <c r="F715" s="13" t="n">
        <v>3</v>
      </c>
      <c r="G715" s="7" t="s">
        <v>567</v>
      </c>
      <c r="H715" s="7" t="s">
        <v>513</v>
      </c>
    </row>
    <row r="716" customFormat="false" ht="15" hidden="false" customHeight="false" outlineLevel="0" collapsed="false">
      <c r="A716" s="7" t="s">
        <v>288</v>
      </c>
      <c r="B716" s="13" t="n">
        <v>99</v>
      </c>
      <c r="C716" s="7" t="s">
        <v>504</v>
      </c>
      <c r="D716" s="7" t="s">
        <v>235</v>
      </c>
      <c r="E716" s="7" t="s">
        <v>568</v>
      </c>
      <c r="F716" s="13" t="n">
        <v>3</v>
      </c>
      <c r="G716" s="7" t="s">
        <v>569</v>
      </c>
      <c r="H716" s="7" t="s">
        <v>513</v>
      </c>
    </row>
    <row r="717" customFormat="false" ht="15" hidden="false" customHeight="false" outlineLevel="0" collapsed="false">
      <c r="A717" s="7" t="s">
        <v>288</v>
      </c>
      <c r="B717" s="13" t="n">
        <v>100</v>
      </c>
      <c r="C717" s="7" t="s">
        <v>504</v>
      </c>
      <c r="D717" s="7" t="s">
        <v>235</v>
      </c>
      <c r="E717" s="7" t="s">
        <v>570</v>
      </c>
      <c r="F717" s="13" t="n">
        <v>4</v>
      </c>
      <c r="G717" s="7" t="s">
        <v>571</v>
      </c>
      <c r="H717" s="7" t="s">
        <v>513</v>
      </c>
    </row>
    <row r="718" customFormat="false" ht="15" hidden="false" customHeight="false" outlineLevel="0" collapsed="false">
      <c r="A718" s="7" t="s">
        <v>288</v>
      </c>
      <c r="B718" s="13" t="n">
        <v>101</v>
      </c>
      <c r="C718" s="7" t="s">
        <v>504</v>
      </c>
      <c r="D718" s="7" t="s">
        <v>235</v>
      </c>
      <c r="E718" s="7" t="s">
        <v>572</v>
      </c>
      <c r="F718" s="13" t="n">
        <v>4</v>
      </c>
      <c r="G718" s="7" t="s">
        <v>573</v>
      </c>
      <c r="H718" s="7" t="s">
        <v>513</v>
      </c>
    </row>
    <row r="719" customFormat="false" ht="15" hidden="false" customHeight="false" outlineLevel="0" collapsed="false">
      <c r="A719" s="7" t="s">
        <v>288</v>
      </c>
      <c r="B719" s="13" t="n">
        <v>102</v>
      </c>
      <c r="C719" s="7" t="s">
        <v>504</v>
      </c>
      <c r="D719" s="7" t="s">
        <v>394</v>
      </c>
      <c r="E719" s="7" t="s">
        <v>574</v>
      </c>
      <c r="F719" s="13" t="n">
        <v>3</v>
      </c>
      <c r="G719" s="7" t="s">
        <v>575</v>
      </c>
      <c r="H719" s="7" t="s">
        <v>513</v>
      </c>
    </row>
    <row r="720" customFormat="false" ht="15" hidden="false" customHeight="false" outlineLevel="0" collapsed="false">
      <c r="A720" s="7" t="s">
        <v>288</v>
      </c>
      <c r="B720" s="13" t="n">
        <v>103</v>
      </c>
      <c r="C720" s="7" t="s">
        <v>504</v>
      </c>
      <c r="D720" s="7" t="s">
        <v>394</v>
      </c>
      <c r="E720" s="7" t="s">
        <v>576</v>
      </c>
      <c r="F720" s="13" t="n">
        <v>4</v>
      </c>
      <c r="G720" s="7" t="s">
        <v>577</v>
      </c>
      <c r="H720" s="7" t="s">
        <v>513</v>
      </c>
    </row>
    <row r="721" customFormat="false" ht="15" hidden="false" customHeight="false" outlineLevel="0" collapsed="false">
      <c r="A721" s="7" t="s">
        <v>288</v>
      </c>
      <c r="B721" s="13" t="n">
        <v>104</v>
      </c>
      <c r="C721" s="7" t="s">
        <v>504</v>
      </c>
      <c r="D721" s="7" t="s">
        <v>394</v>
      </c>
      <c r="E721" s="7" t="s">
        <v>578</v>
      </c>
      <c r="F721" s="13" t="n">
        <v>4</v>
      </c>
      <c r="G721" s="7" t="s">
        <v>579</v>
      </c>
      <c r="H721" s="7" t="s">
        <v>513</v>
      </c>
    </row>
    <row r="722" customFormat="false" ht="15" hidden="false" customHeight="false" outlineLevel="0" collapsed="false">
      <c r="A722" s="7" t="s">
        <v>288</v>
      </c>
      <c r="B722" s="13" t="n">
        <v>105</v>
      </c>
      <c r="C722" s="7" t="s">
        <v>504</v>
      </c>
      <c r="D722" s="7" t="s">
        <v>394</v>
      </c>
      <c r="E722" s="7" t="s">
        <v>580</v>
      </c>
      <c r="F722" s="13" t="n">
        <v>3</v>
      </c>
      <c r="G722" s="7" t="s">
        <v>581</v>
      </c>
      <c r="H722" s="7" t="s">
        <v>513</v>
      </c>
    </row>
    <row r="723" customFormat="false" ht="15" hidden="false" customHeight="false" outlineLevel="0" collapsed="false">
      <c r="A723" s="7" t="s">
        <v>288</v>
      </c>
      <c r="B723" s="13" t="n">
        <v>106</v>
      </c>
      <c r="C723" s="7" t="s">
        <v>504</v>
      </c>
      <c r="D723" s="7" t="s">
        <v>394</v>
      </c>
      <c r="E723" s="7" t="s">
        <v>582</v>
      </c>
      <c r="F723" s="13" t="n">
        <v>4</v>
      </c>
      <c r="G723" s="7" t="s">
        <v>583</v>
      </c>
      <c r="H723" s="7" t="s">
        <v>513</v>
      </c>
    </row>
    <row r="724" customFormat="false" ht="15" hidden="false" customHeight="false" outlineLevel="0" collapsed="false">
      <c r="A724" s="7" t="s">
        <v>288</v>
      </c>
      <c r="B724" s="13" t="n">
        <v>107</v>
      </c>
      <c r="C724" s="7" t="s">
        <v>504</v>
      </c>
      <c r="D724" s="7" t="s">
        <v>260</v>
      </c>
      <c r="E724" s="7" t="s">
        <v>584</v>
      </c>
      <c r="F724" s="13" t="n">
        <v>5</v>
      </c>
      <c r="G724" s="7" t="s">
        <v>585</v>
      </c>
      <c r="H724" s="7" t="s">
        <v>513</v>
      </c>
    </row>
    <row r="725" customFormat="false" ht="15" hidden="false" customHeight="false" outlineLevel="0" collapsed="false">
      <c r="A725" s="7" t="s">
        <v>288</v>
      </c>
      <c r="B725" s="13" t="n">
        <v>108</v>
      </c>
      <c r="C725" s="7" t="s">
        <v>504</v>
      </c>
      <c r="D725" s="7" t="s">
        <v>260</v>
      </c>
      <c r="E725" s="7" t="s">
        <v>586</v>
      </c>
      <c r="F725" s="13" t="n">
        <v>4</v>
      </c>
      <c r="G725" s="7" t="s">
        <v>587</v>
      </c>
      <c r="H725" s="7" t="s">
        <v>513</v>
      </c>
    </row>
    <row r="726" customFormat="false" ht="15" hidden="false" customHeight="false" outlineLevel="0" collapsed="false">
      <c r="A726" s="7" t="s">
        <v>288</v>
      </c>
      <c r="B726" s="13" t="n">
        <v>109</v>
      </c>
      <c r="C726" s="7" t="s">
        <v>504</v>
      </c>
      <c r="D726" s="7" t="s">
        <v>260</v>
      </c>
      <c r="E726" s="7" t="s">
        <v>588</v>
      </c>
      <c r="F726" s="13" t="n">
        <v>3</v>
      </c>
      <c r="G726" s="7" t="s">
        <v>589</v>
      </c>
      <c r="H726" s="7" t="s">
        <v>513</v>
      </c>
    </row>
    <row r="727" customFormat="false" ht="15" hidden="false" customHeight="false" outlineLevel="0" collapsed="false">
      <c r="A727" s="7" t="s">
        <v>288</v>
      </c>
      <c r="B727" s="13" t="n">
        <v>110</v>
      </c>
      <c r="C727" s="7" t="s">
        <v>504</v>
      </c>
      <c r="D727" s="7" t="s">
        <v>260</v>
      </c>
      <c r="E727" s="7" t="s">
        <v>590</v>
      </c>
      <c r="F727" s="13" t="n">
        <v>3</v>
      </c>
      <c r="G727" s="7" t="s">
        <v>591</v>
      </c>
      <c r="H727" s="7" t="s">
        <v>513</v>
      </c>
    </row>
    <row r="728" customFormat="false" ht="15" hidden="false" customHeight="false" outlineLevel="0" collapsed="false">
      <c r="A728" s="7" t="s">
        <v>288</v>
      </c>
      <c r="B728" s="13" t="n">
        <v>111</v>
      </c>
      <c r="C728" s="7" t="s">
        <v>504</v>
      </c>
      <c r="D728" s="7" t="s">
        <v>260</v>
      </c>
      <c r="E728" s="7" t="s">
        <v>592</v>
      </c>
      <c r="F728" s="13" t="n">
        <v>3</v>
      </c>
      <c r="G728" s="7" t="s">
        <v>593</v>
      </c>
      <c r="H728" s="7" t="s">
        <v>513</v>
      </c>
    </row>
    <row r="729" customFormat="false" ht="15" hidden="false" customHeight="false" outlineLevel="0" collapsed="false">
      <c r="A729" s="7" t="s">
        <v>288</v>
      </c>
      <c r="B729" s="13" t="n">
        <v>112</v>
      </c>
      <c r="C729" s="7" t="s">
        <v>504</v>
      </c>
      <c r="D729" s="7" t="s">
        <v>260</v>
      </c>
      <c r="E729" s="7" t="s">
        <v>594</v>
      </c>
      <c r="F729" s="13" t="n">
        <v>3</v>
      </c>
      <c r="G729" s="7" t="s">
        <v>595</v>
      </c>
      <c r="H729" s="7" t="s">
        <v>513</v>
      </c>
    </row>
    <row r="730" customFormat="false" ht="15" hidden="false" customHeight="false" outlineLevel="0" collapsed="false">
      <c r="A730" s="7" t="s">
        <v>288</v>
      </c>
      <c r="B730" s="13" t="n">
        <v>113</v>
      </c>
      <c r="C730" s="7" t="s">
        <v>504</v>
      </c>
      <c r="D730" s="7" t="s">
        <v>260</v>
      </c>
      <c r="E730" s="7" t="s">
        <v>596</v>
      </c>
      <c r="F730" s="13" t="n">
        <v>6</v>
      </c>
      <c r="G730" s="7" t="s">
        <v>597</v>
      </c>
      <c r="H730" s="7" t="s">
        <v>513</v>
      </c>
    </row>
    <row r="731" customFormat="false" ht="15" hidden="false" customHeight="false" outlineLevel="0" collapsed="false">
      <c r="A731" s="7" t="s">
        <v>288</v>
      </c>
      <c r="B731" s="13" t="n">
        <v>114</v>
      </c>
      <c r="C731" s="7" t="s">
        <v>504</v>
      </c>
      <c r="D731" s="7" t="s">
        <v>260</v>
      </c>
      <c r="E731" s="7" t="s">
        <v>598</v>
      </c>
      <c r="F731" s="13" t="n">
        <v>3</v>
      </c>
      <c r="G731" s="7" t="s">
        <v>599</v>
      </c>
      <c r="H731" s="7" t="s">
        <v>513</v>
      </c>
    </row>
    <row r="732" customFormat="false" ht="15" hidden="false" customHeight="false" outlineLevel="0" collapsed="false">
      <c r="A732" s="7" t="s">
        <v>288</v>
      </c>
      <c r="B732" s="13" t="n">
        <v>115</v>
      </c>
      <c r="C732" s="7" t="s">
        <v>504</v>
      </c>
      <c r="D732" s="7" t="s">
        <v>271</v>
      </c>
      <c r="E732" s="7" t="s">
        <v>600</v>
      </c>
      <c r="F732" s="13" t="n">
        <v>4</v>
      </c>
      <c r="G732" s="7" t="s">
        <v>601</v>
      </c>
      <c r="H732" s="7" t="s">
        <v>513</v>
      </c>
    </row>
    <row r="733" customFormat="false" ht="15" hidden="false" customHeight="false" outlineLevel="0" collapsed="false">
      <c r="A733" s="7" t="s">
        <v>288</v>
      </c>
      <c r="B733" s="13" t="n">
        <v>116</v>
      </c>
      <c r="C733" s="7" t="s">
        <v>504</v>
      </c>
      <c r="D733" s="7" t="s">
        <v>271</v>
      </c>
      <c r="E733" s="7" t="s">
        <v>602</v>
      </c>
      <c r="F733" s="13" t="n">
        <v>6</v>
      </c>
      <c r="G733" s="7" t="s">
        <v>603</v>
      </c>
      <c r="H733" s="7" t="s">
        <v>513</v>
      </c>
    </row>
    <row r="734" customFormat="false" ht="15" hidden="false" customHeight="false" outlineLevel="0" collapsed="false">
      <c r="A734" s="7" t="s">
        <v>288</v>
      </c>
      <c r="B734" s="13" t="n">
        <v>117</v>
      </c>
      <c r="C734" s="7" t="s">
        <v>504</v>
      </c>
      <c r="D734" s="7" t="s">
        <v>271</v>
      </c>
      <c r="E734" s="7" t="s">
        <v>604</v>
      </c>
      <c r="F734" s="13" t="n">
        <v>4</v>
      </c>
      <c r="G734" s="7" t="s">
        <v>605</v>
      </c>
      <c r="H734" s="7" t="s">
        <v>513</v>
      </c>
    </row>
    <row r="735" customFormat="false" ht="15" hidden="false" customHeight="false" outlineLevel="0" collapsed="false">
      <c r="A735" s="7" t="s">
        <v>288</v>
      </c>
      <c r="B735" s="13" t="n">
        <v>118</v>
      </c>
      <c r="C735" s="7" t="s">
        <v>504</v>
      </c>
      <c r="D735" s="7" t="s">
        <v>271</v>
      </c>
      <c r="E735" s="7" t="s">
        <v>606</v>
      </c>
      <c r="F735" s="13" t="n">
        <v>3</v>
      </c>
      <c r="G735" s="7" t="s">
        <v>607</v>
      </c>
      <c r="H735" s="7" t="s">
        <v>513</v>
      </c>
    </row>
    <row r="736" customFormat="false" ht="15" hidden="false" customHeight="false" outlineLevel="0" collapsed="false">
      <c r="A736" s="7" t="s">
        <v>288</v>
      </c>
      <c r="B736" s="13" t="n">
        <v>119</v>
      </c>
      <c r="C736" s="7" t="s">
        <v>504</v>
      </c>
      <c r="D736" s="7" t="s">
        <v>271</v>
      </c>
      <c r="E736" s="7" t="s">
        <v>608</v>
      </c>
      <c r="F736" s="13" t="n">
        <v>6</v>
      </c>
      <c r="G736" s="7" t="s">
        <v>609</v>
      </c>
      <c r="H736" s="7" t="s">
        <v>513</v>
      </c>
    </row>
    <row r="737" customFormat="false" ht="15" hidden="false" customHeight="false" outlineLevel="0" collapsed="false">
      <c r="A737" s="7" t="s">
        <v>288</v>
      </c>
      <c r="B737" s="13" t="n">
        <v>120</v>
      </c>
      <c r="C737" s="7" t="s">
        <v>504</v>
      </c>
      <c r="D737" s="7" t="s">
        <v>271</v>
      </c>
      <c r="E737" s="7" t="s">
        <v>610</v>
      </c>
      <c r="F737" s="13" t="n">
        <v>3</v>
      </c>
      <c r="G737" s="7" t="s">
        <v>611</v>
      </c>
      <c r="H737" s="7" t="s">
        <v>513</v>
      </c>
    </row>
    <row r="738" customFormat="false" ht="15" hidden="false" customHeight="false" outlineLevel="0" collapsed="false">
      <c r="A738" s="7" t="s">
        <v>288</v>
      </c>
      <c r="B738" s="13" t="n">
        <v>121</v>
      </c>
      <c r="C738" s="7" t="s">
        <v>505</v>
      </c>
      <c r="D738" s="7" t="s">
        <v>246</v>
      </c>
      <c r="E738" s="7" t="s">
        <v>1238</v>
      </c>
      <c r="F738" s="13" t="n">
        <v>4</v>
      </c>
      <c r="G738" s="7" t="s">
        <v>1239</v>
      </c>
      <c r="H738" s="7" t="s">
        <v>1240</v>
      </c>
    </row>
    <row r="739" customFormat="false" ht="23.85" hidden="false" customHeight="false" outlineLevel="0" collapsed="false">
      <c r="A739" s="7" t="s">
        <v>288</v>
      </c>
      <c r="B739" s="13" t="n">
        <v>122</v>
      </c>
      <c r="C739" s="7" t="s">
        <v>505</v>
      </c>
      <c r="D739" s="7" t="s">
        <v>246</v>
      </c>
      <c r="E739" s="7" t="s">
        <v>633</v>
      </c>
      <c r="F739" s="13" t="n">
        <v>4</v>
      </c>
      <c r="G739" s="7" t="s">
        <v>634</v>
      </c>
      <c r="H739" s="7" t="s">
        <v>1241</v>
      </c>
    </row>
    <row r="740" customFormat="false" ht="15" hidden="false" customHeight="false" outlineLevel="0" collapsed="false">
      <c r="A740" s="7" t="s">
        <v>288</v>
      </c>
      <c r="B740" s="13" t="n">
        <v>123</v>
      </c>
      <c r="C740" s="7" t="s">
        <v>505</v>
      </c>
      <c r="D740" s="7" t="s">
        <v>246</v>
      </c>
      <c r="E740" s="7" t="s">
        <v>639</v>
      </c>
      <c r="F740" s="13" t="n">
        <v>4</v>
      </c>
      <c r="G740" s="7" t="s">
        <v>640</v>
      </c>
      <c r="H740" s="7" t="s">
        <v>1242</v>
      </c>
    </row>
    <row r="741" customFormat="false" ht="15" hidden="false" customHeight="false" outlineLevel="0" collapsed="false">
      <c r="A741" s="7" t="s">
        <v>288</v>
      </c>
      <c r="B741" s="13" t="n">
        <v>124</v>
      </c>
      <c r="C741" s="7" t="s">
        <v>505</v>
      </c>
      <c r="D741" s="7" t="s">
        <v>246</v>
      </c>
      <c r="E741" s="7" t="s">
        <v>645</v>
      </c>
      <c r="F741" s="13" t="n">
        <v>4</v>
      </c>
      <c r="G741" s="7" t="s">
        <v>646</v>
      </c>
      <c r="H741" s="7" t="s">
        <v>1243</v>
      </c>
    </row>
    <row r="742" customFormat="false" ht="15" hidden="false" customHeight="false" outlineLevel="0" collapsed="false">
      <c r="A742" s="7" t="s">
        <v>288</v>
      </c>
      <c r="B742" s="13" t="n">
        <v>125</v>
      </c>
      <c r="C742" s="7" t="s">
        <v>505</v>
      </c>
      <c r="D742" s="7" t="s">
        <v>246</v>
      </c>
      <c r="E742" s="7" t="s">
        <v>648</v>
      </c>
      <c r="F742" s="13" t="n">
        <v>4</v>
      </c>
      <c r="G742" s="7" t="s">
        <v>649</v>
      </c>
      <c r="H742" s="7" t="s">
        <v>1244</v>
      </c>
    </row>
    <row r="743" customFormat="false" ht="15" hidden="false" customHeight="false" outlineLevel="0" collapsed="false">
      <c r="A743" s="7" t="s">
        <v>288</v>
      </c>
      <c r="B743" s="13" t="n">
        <v>126</v>
      </c>
      <c r="C743" s="7" t="s">
        <v>505</v>
      </c>
      <c r="D743" s="7" t="s">
        <v>246</v>
      </c>
      <c r="E743" s="7" t="s">
        <v>1036</v>
      </c>
      <c r="F743" s="13" t="n">
        <v>6</v>
      </c>
      <c r="G743" s="7" t="s">
        <v>1037</v>
      </c>
      <c r="H743" s="7" t="s">
        <v>1244</v>
      </c>
    </row>
    <row r="744" customFormat="false" ht="15" hidden="false" customHeight="false" outlineLevel="0" collapsed="false">
      <c r="A744" s="7" t="s">
        <v>288</v>
      </c>
      <c r="B744" s="13" t="n">
        <v>127</v>
      </c>
      <c r="C744" s="7" t="s">
        <v>505</v>
      </c>
      <c r="D744" s="7" t="s">
        <v>246</v>
      </c>
      <c r="E744" s="7" t="s">
        <v>1245</v>
      </c>
      <c r="F744" s="13" t="n">
        <v>10</v>
      </c>
      <c r="G744" s="7" t="s">
        <v>1246</v>
      </c>
      <c r="H744" s="7" t="s">
        <v>1247</v>
      </c>
    </row>
    <row r="745" customFormat="false" ht="15" hidden="false" customHeight="false" outlineLevel="0" collapsed="false">
      <c r="A745" s="7" t="s">
        <v>288</v>
      </c>
      <c r="B745" s="13" t="n">
        <v>128</v>
      </c>
      <c r="C745" s="7" t="s">
        <v>505</v>
      </c>
      <c r="D745" s="7" t="s">
        <v>246</v>
      </c>
      <c r="E745" s="7" t="s">
        <v>1248</v>
      </c>
      <c r="F745" s="13" t="n">
        <v>8</v>
      </c>
      <c r="G745" s="7" t="s">
        <v>1249</v>
      </c>
      <c r="H745" s="7" t="s">
        <v>1250</v>
      </c>
    </row>
    <row r="746" customFormat="false" ht="15" hidden="false" customHeight="false" outlineLevel="0" collapsed="false">
      <c r="A746" s="7" t="s">
        <v>288</v>
      </c>
      <c r="B746" s="13" t="n">
        <v>129</v>
      </c>
      <c r="C746" s="7" t="s">
        <v>505</v>
      </c>
      <c r="D746" s="7" t="s">
        <v>246</v>
      </c>
      <c r="E746" s="7" t="s">
        <v>1251</v>
      </c>
      <c r="F746" s="13" t="n">
        <v>6</v>
      </c>
      <c r="G746" s="7" t="s">
        <v>1252</v>
      </c>
      <c r="H746" s="7" t="s">
        <v>1253</v>
      </c>
    </row>
    <row r="747" customFormat="false" ht="15" hidden="false" customHeight="false" outlineLevel="0" collapsed="false">
      <c r="A747" s="7" t="s">
        <v>288</v>
      </c>
      <c r="B747" s="13" t="n">
        <v>130</v>
      </c>
      <c r="C747" s="7" t="s">
        <v>505</v>
      </c>
      <c r="D747" s="7" t="s">
        <v>246</v>
      </c>
      <c r="E747" s="7" t="s">
        <v>853</v>
      </c>
      <c r="F747" s="13" t="n">
        <v>4</v>
      </c>
      <c r="G747" s="7" t="s">
        <v>854</v>
      </c>
      <c r="H747" s="7" t="s">
        <v>1254</v>
      </c>
    </row>
    <row r="748" customFormat="false" ht="23.85" hidden="false" customHeight="false" outlineLevel="0" collapsed="false">
      <c r="A748" s="7" t="s">
        <v>288</v>
      </c>
      <c r="B748" s="13" t="n">
        <v>131</v>
      </c>
      <c r="C748" s="7" t="s">
        <v>505</v>
      </c>
      <c r="D748" s="7" t="s">
        <v>246</v>
      </c>
      <c r="E748" s="7" t="s">
        <v>1255</v>
      </c>
      <c r="F748" s="13" t="n">
        <v>5</v>
      </c>
      <c r="G748" s="7" t="s">
        <v>1256</v>
      </c>
      <c r="H748" s="7" t="s">
        <v>1257</v>
      </c>
    </row>
    <row r="749" customFormat="false" ht="23.85" hidden="false" customHeight="false" outlineLevel="0" collapsed="false">
      <c r="A749" s="7" t="s">
        <v>288</v>
      </c>
      <c r="B749" s="13" t="n">
        <v>132</v>
      </c>
      <c r="C749" s="7" t="s">
        <v>505</v>
      </c>
      <c r="D749" s="7" t="s">
        <v>246</v>
      </c>
      <c r="E749" s="7" t="s">
        <v>1258</v>
      </c>
      <c r="F749" s="13" t="n">
        <v>4</v>
      </c>
      <c r="G749" s="7" t="s">
        <v>1259</v>
      </c>
      <c r="H749" s="7" t="s">
        <v>1260</v>
      </c>
    </row>
    <row r="750" customFormat="false" ht="23.85" hidden="false" customHeight="false" outlineLevel="0" collapsed="false">
      <c r="A750" s="7" t="s">
        <v>288</v>
      </c>
      <c r="B750" s="13" t="n">
        <v>133</v>
      </c>
      <c r="C750" s="7" t="s">
        <v>505</v>
      </c>
      <c r="D750" s="7" t="s">
        <v>246</v>
      </c>
      <c r="E750" s="7" t="s">
        <v>1054</v>
      </c>
      <c r="F750" s="13" t="n">
        <v>5</v>
      </c>
      <c r="G750" s="7" t="s">
        <v>1055</v>
      </c>
      <c r="H750" s="7" t="s">
        <v>1261</v>
      </c>
    </row>
    <row r="751" customFormat="false" ht="15" hidden="false" customHeight="false" outlineLevel="0" collapsed="false">
      <c r="A751" s="7" t="s">
        <v>288</v>
      </c>
      <c r="B751" s="13" t="n">
        <v>134</v>
      </c>
      <c r="C751" s="7" t="s">
        <v>505</v>
      </c>
      <c r="D751" s="7" t="s">
        <v>266</v>
      </c>
      <c r="E751" s="7" t="s">
        <v>1101</v>
      </c>
      <c r="F751" s="13" t="n">
        <v>4</v>
      </c>
      <c r="G751" s="7" t="s">
        <v>1102</v>
      </c>
      <c r="H751" s="7" t="s">
        <v>1262</v>
      </c>
    </row>
    <row r="752" customFormat="false" ht="15" hidden="false" customHeight="false" outlineLevel="0" collapsed="false">
      <c r="A752" s="7" t="s">
        <v>288</v>
      </c>
      <c r="B752" s="13" t="n">
        <v>135</v>
      </c>
      <c r="C752" s="7" t="s">
        <v>505</v>
      </c>
      <c r="D752" s="7" t="s">
        <v>266</v>
      </c>
      <c r="E752" s="7" t="s">
        <v>1107</v>
      </c>
      <c r="F752" s="13" t="n">
        <v>5</v>
      </c>
      <c r="G752" s="7" t="s">
        <v>1108</v>
      </c>
      <c r="H752" s="7" t="s">
        <v>1263</v>
      </c>
    </row>
    <row r="753" customFormat="false" ht="15" hidden="false" customHeight="false" outlineLevel="0" collapsed="false">
      <c r="A753" s="7" t="s">
        <v>288</v>
      </c>
      <c r="B753" s="13" t="n">
        <v>136</v>
      </c>
      <c r="C753" s="7" t="s">
        <v>505</v>
      </c>
      <c r="D753" s="7" t="s">
        <v>266</v>
      </c>
      <c r="E753" s="7" t="s">
        <v>1113</v>
      </c>
      <c r="F753" s="13" t="n">
        <v>4</v>
      </c>
      <c r="G753" s="7" t="s">
        <v>1114</v>
      </c>
      <c r="H753" s="7" t="s">
        <v>1264</v>
      </c>
    </row>
    <row r="754" customFormat="false" ht="23.85" hidden="false" customHeight="false" outlineLevel="0" collapsed="false">
      <c r="A754" s="7" t="s">
        <v>288</v>
      </c>
      <c r="B754" s="13" t="n">
        <v>137</v>
      </c>
      <c r="C754" s="7" t="s">
        <v>505</v>
      </c>
      <c r="D754" s="7" t="s">
        <v>266</v>
      </c>
      <c r="E754" s="7" t="s">
        <v>1265</v>
      </c>
      <c r="F754" s="13" t="n">
        <v>5</v>
      </c>
      <c r="G754" s="7" t="s">
        <v>1266</v>
      </c>
      <c r="H754" s="7" t="s">
        <v>1267</v>
      </c>
    </row>
    <row r="755" customFormat="false" ht="23.85" hidden="false" customHeight="false" outlineLevel="0" collapsed="false">
      <c r="A755" s="7" t="s">
        <v>288</v>
      </c>
      <c r="B755" s="13" t="n">
        <v>138</v>
      </c>
      <c r="C755" s="7" t="s">
        <v>505</v>
      </c>
      <c r="D755" s="7" t="s">
        <v>266</v>
      </c>
      <c r="E755" s="7" t="s">
        <v>1268</v>
      </c>
      <c r="F755" s="13" t="n">
        <v>4</v>
      </c>
      <c r="G755" s="7" t="s">
        <v>1269</v>
      </c>
      <c r="H755" s="7" t="s">
        <v>1270</v>
      </c>
    </row>
    <row r="756" customFormat="false" ht="23.85" hidden="false" customHeight="false" outlineLevel="0" collapsed="false">
      <c r="A756" s="7" t="s">
        <v>288</v>
      </c>
      <c r="B756" s="13" t="n">
        <v>139</v>
      </c>
      <c r="C756" s="7" t="s">
        <v>505</v>
      </c>
      <c r="D756" s="7" t="s">
        <v>266</v>
      </c>
      <c r="E756" s="7" t="s">
        <v>1271</v>
      </c>
      <c r="F756" s="13" t="n">
        <v>4</v>
      </c>
      <c r="G756" s="7" t="s">
        <v>1272</v>
      </c>
      <c r="H756" s="7" t="s">
        <v>1273</v>
      </c>
    </row>
    <row r="757" customFormat="false" ht="15" hidden="false" customHeight="false" outlineLevel="0" collapsed="false">
      <c r="A757" s="7" t="s">
        <v>288</v>
      </c>
      <c r="B757" s="13" t="n">
        <v>140</v>
      </c>
      <c r="C757" s="7" t="s">
        <v>505</v>
      </c>
      <c r="D757" s="7" t="s">
        <v>266</v>
      </c>
      <c r="E757" s="7" t="s">
        <v>1274</v>
      </c>
      <c r="F757" s="13" t="n">
        <v>5</v>
      </c>
      <c r="G757" s="7" t="s">
        <v>1275</v>
      </c>
      <c r="H757" s="7" t="s">
        <v>1276</v>
      </c>
    </row>
    <row r="758" customFormat="false" ht="15" hidden="false" customHeight="false" outlineLevel="0" collapsed="false">
      <c r="A758" s="7" t="s">
        <v>288</v>
      </c>
      <c r="B758" s="13" t="n">
        <v>141</v>
      </c>
      <c r="C758" s="7" t="s">
        <v>505</v>
      </c>
      <c r="D758" s="7" t="s">
        <v>276</v>
      </c>
      <c r="E758" s="7" t="s">
        <v>711</v>
      </c>
      <c r="F758" s="13" t="n">
        <v>8</v>
      </c>
      <c r="G758" s="7" t="s">
        <v>712</v>
      </c>
      <c r="H758" s="7" t="s">
        <v>1277</v>
      </c>
    </row>
    <row r="759" customFormat="false" ht="15" hidden="false" customHeight="false" outlineLevel="0" collapsed="false">
      <c r="A759" s="7" t="s">
        <v>288</v>
      </c>
      <c r="B759" s="13" t="n">
        <v>142</v>
      </c>
      <c r="C759" s="7" t="s">
        <v>505</v>
      </c>
      <c r="D759" s="7" t="s">
        <v>276</v>
      </c>
      <c r="E759" s="7" t="s">
        <v>714</v>
      </c>
      <c r="F759" s="13" t="n">
        <v>8</v>
      </c>
      <c r="G759" s="7" t="s">
        <v>715</v>
      </c>
      <c r="H759" s="7" t="s">
        <v>1278</v>
      </c>
    </row>
    <row r="760" customFormat="false" ht="15" hidden="false" customHeight="false" outlineLevel="0" collapsed="false">
      <c r="A760" s="7" t="s">
        <v>288</v>
      </c>
      <c r="B760" s="13" t="n">
        <v>143</v>
      </c>
      <c r="C760" s="7" t="s">
        <v>505</v>
      </c>
      <c r="D760" s="7" t="s">
        <v>276</v>
      </c>
      <c r="E760" s="7" t="s">
        <v>720</v>
      </c>
      <c r="F760" s="13" t="n">
        <v>6</v>
      </c>
      <c r="G760" s="7" t="s">
        <v>721</v>
      </c>
      <c r="H760" s="7" t="s">
        <v>1279</v>
      </c>
    </row>
    <row r="761" customFormat="false" ht="15" hidden="false" customHeight="false" outlineLevel="0" collapsed="false">
      <c r="A761" s="7" t="s">
        <v>288</v>
      </c>
      <c r="B761" s="13" t="n">
        <v>144</v>
      </c>
      <c r="C761" s="7" t="s">
        <v>505</v>
      </c>
      <c r="D761" s="7" t="s">
        <v>276</v>
      </c>
      <c r="E761" s="7" t="s">
        <v>932</v>
      </c>
      <c r="F761" s="13" t="n">
        <v>12</v>
      </c>
      <c r="G761" s="7" t="s">
        <v>933</v>
      </c>
      <c r="H761" s="7" t="s">
        <v>1279</v>
      </c>
    </row>
    <row r="762" customFormat="false" ht="15" hidden="false" customHeight="false" outlineLevel="0" collapsed="false">
      <c r="A762" s="7" t="s">
        <v>288</v>
      </c>
      <c r="B762" s="13" t="n">
        <v>145</v>
      </c>
      <c r="C762" s="7" t="s">
        <v>505</v>
      </c>
      <c r="D762" s="7" t="s">
        <v>276</v>
      </c>
      <c r="E762" s="7" t="s">
        <v>1280</v>
      </c>
      <c r="F762" s="13" t="n">
        <v>8</v>
      </c>
      <c r="G762" s="7" t="s">
        <v>1281</v>
      </c>
      <c r="H762" s="7" t="s">
        <v>1282</v>
      </c>
    </row>
    <row r="763" customFormat="false" ht="15" hidden="false" customHeight="false" outlineLevel="0" collapsed="false">
      <c r="A763" s="7" t="s">
        <v>288</v>
      </c>
      <c r="B763" s="13" t="n">
        <v>146</v>
      </c>
      <c r="C763" s="7" t="s">
        <v>505</v>
      </c>
      <c r="D763" s="7" t="s">
        <v>276</v>
      </c>
      <c r="E763" s="7" t="s">
        <v>1283</v>
      </c>
      <c r="F763" s="13" t="n">
        <v>5</v>
      </c>
      <c r="G763" s="7" t="s">
        <v>1284</v>
      </c>
      <c r="H763" s="7" t="s">
        <v>1279</v>
      </c>
    </row>
    <row r="764" customFormat="false" ht="15" hidden="false" customHeight="false" outlineLevel="0" collapsed="false">
      <c r="A764" s="7" t="s">
        <v>288</v>
      </c>
      <c r="B764" s="13" t="n">
        <v>147</v>
      </c>
      <c r="C764" s="7" t="s">
        <v>505</v>
      </c>
      <c r="D764" s="7" t="s">
        <v>276</v>
      </c>
      <c r="E764" s="7" t="s">
        <v>1285</v>
      </c>
      <c r="F764" s="13" t="n">
        <v>4</v>
      </c>
      <c r="G764" s="7" t="s">
        <v>1286</v>
      </c>
      <c r="H764" s="7" t="s">
        <v>1287</v>
      </c>
    </row>
    <row r="765" customFormat="false" ht="15" hidden="false" customHeight="false" outlineLevel="0" collapsed="false">
      <c r="A765" s="7" t="s">
        <v>288</v>
      </c>
      <c r="B765" s="13" t="n">
        <v>148</v>
      </c>
      <c r="C765" s="7" t="s">
        <v>505</v>
      </c>
      <c r="D765" s="7" t="s">
        <v>276</v>
      </c>
      <c r="E765" s="7" t="s">
        <v>1288</v>
      </c>
      <c r="F765" s="13" t="n">
        <v>5</v>
      </c>
      <c r="G765" s="7" t="s">
        <v>1289</v>
      </c>
      <c r="H765" s="7" t="s">
        <v>1290</v>
      </c>
    </row>
    <row r="766" customFormat="false" ht="15" hidden="false" customHeight="false" outlineLevel="0" collapsed="false">
      <c r="A766" s="7" t="s">
        <v>288</v>
      </c>
      <c r="B766" s="13" t="n">
        <v>149</v>
      </c>
      <c r="C766" s="7" t="s">
        <v>505</v>
      </c>
      <c r="D766" s="7" t="s">
        <v>276</v>
      </c>
      <c r="E766" s="7" t="s">
        <v>1291</v>
      </c>
      <c r="F766" s="13" t="n">
        <v>10</v>
      </c>
      <c r="G766" s="7" t="s">
        <v>1292</v>
      </c>
      <c r="H766" s="7" t="s">
        <v>1290</v>
      </c>
    </row>
    <row r="767" customFormat="false" ht="15" hidden="false" customHeight="false" outlineLevel="0" collapsed="false">
      <c r="A767" s="7" t="s">
        <v>288</v>
      </c>
      <c r="B767" s="13" t="n">
        <v>150</v>
      </c>
      <c r="C767" s="7" t="s">
        <v>505</v>
      </c>
      <c r="D767" s="7" t="s">
        <v>276</v>
      </c>
      <c r="E767" s="7" t="s">
        <v>1293</v>
      </c>
      <c r="F767" s="13" t="n">
        <v>4</v>
      </c>
      <c r="G767" s="7" t="s">
        <v>1294</v>
      </c>
      <c r="H767" s="7" t="s">
        <v>1295</v>
      </c>
    </row>
    <row r="768" customFormat="false" ht="15" hidden="false" customHeight="false" outlineLevel="0" collapsed="false">
      <c r="A768" s="7" t="s">
        <v>288</v>
      </c>
      <c r="B768" s="13" t="n">
        <v>151</v>
      </c>
      <c r="C768" s="7" t="s">
        <v>505</v>
      </c>
      <c r="D768" s="7" t="s">
        <v>276</v>
      </c>
      <c r="E768" s="7" t="s">
        <v>1296</v>
      </c>
      <c r="F768" s="13" t="n">
        <v>5</v>
      </c>
      <c r="G768" s="7" t="s">
        <v>1297</v>
      </c>
      <c r="H768" s="7" t="s">
        <v>1298</v>
      </c>
    </row>
    <row r="769" customFormat="false" ht="15" hidden="false" customHeight="false" outlineLevel="0" collapsed="false">
      <c r="A769" s="7" t="s">
        <v>288</v>
      </c>
      <c r="B769" s="13" t="n">
        <v>152</v>
      </c>
      <c r="C769" s="7" t="s">
        <v>505</v>
      </c>
      <c r="D769" s="7" t="s">
        <v>240</v>
      </c>
      <c r="E769" s="7" t="s">
        <v>968</v>
      </c>
      <c r="F769" s="13" t="n">
        <v>3</v>
      </c>
      <c r="G769" s="7" t="s">
        <v>969</v>
      </c>
      <c r="H769" s="7" t="s">
        <v>1299</v>
      </c>
    </row>
    <row r="770" customFormat="false" ht="15" hidden="false" customHeight="false" outlineLevel="0" collapsed="false">
      <c r="A770" s="7" t="s">
        <v>288</v>
      </c>
      <c r="B770" s="13" t="n">
        <v>153</v>
      </c>
      <c r="C770" s="7" t="s">
        <v>505</v>
      </c>
      <c r="D770" s="7" t="s">
        <v>240</v>
      </c>
      <c r="E770" s="7" t="s">
        <v>1144</v>
      </c>
      <c r="F770" s="13" t="n">
        <v>4</v>
      </c>
      <c r="G770" s="7" t="s">
        <v>1145</v>
      </c>
      <c r="H770" s="7" t="s">
        <v>1300</v>
      </c>
    </row>
    <row r="771" customFormat="false" ht="15" hidden="false" customHeight="false" outlineLevel="0" collapsed="false">
      <c r="A771" s="7" t="s">
        <v>288</v>
      </c>
      <c r="B771" s="13" t="n">
        <v>154</v>
      </c>
      <c r="C771" s="7" t="s">
        <v>505</v>
      </c>
      <c r="D771" s="7" t="s">
        <v>240</v>
      </c>
      <c r="E771" s="7" t="s">
        <v>1301</v>
      </c>
      <c r="F771" s="13" t="n">
        <v>4</v>
      </c>
      <c r="G771" s="7" t="s">
        <v>1302</v>
      </c>
      <c r="H771" s="7" t="s">
        <v>1303</v>
      </c>
    </row>
    <row r="772" customFormat="false" ht="23.85" hidden="false" customHeight="false" outlineLevel="0" collapsed="false">
      <c r="A772" s="7" t="s">
        <v>288</v>
      </c>
      <c r="B772" s="13" t="n">
        <v>155</v>
      </c>
      <c r="C772" s="7" t="s">
        <v>505</v>
      </c>
      <c r="D772" s="7" t="s">
        <v>240</v>
      </c>
      <c r="E772" s="7" t="s">
        <v>1304</v>
      </c>
      <c r="F772" s="13" t="n">
        <v>4</v>
      </c>
      <c r="G772" s="7" t="s">
        <v>1305</v>
      </c>
      <c r="H772" s="7" t="s">
        <v>1306</v>
      </c>
    </row>
    <row r="773" customFormat="false" ht="15" hidden="false" customHeight="false" outlineLevel="0" collapsed="false">
      <c r="A773" s="7" t="s">
        <v>288</v>
      </c>
      <c r="B773" s="13" t="n">
        <v>156</v>
      </c>
      <c r="C773" s="7" t="s">
        <v>505</v>
      </c>
      <c r="D773" s="7" t="s">
        <v>240</v>
      </c>
      <c r="E773" s="7" t="s">
        <v>1307</v>
      </c>
      <c r="F773" s="13" t="n">
        <v>4</v>
      </c>
      <c r="G773" s="7" t="s">
        <v>1308</v>
      </c>
      <c r="H773" s="7" t="s">
        <v>1309</v>
      </c>
    </row>
    <row r="774" customFormat="false" ht="15" hidden="false" customHeight="false" outlineLevel="0" collapsed="false">
      <c r="A774" s="7" t="s">
        <v>288</v>
      </c>
      <c r="B774" s="13" t="n">
        <v>157</v>
      </c>
      <c r="C774" s="7" t="s">
        <v>505</v>
      </c>
      <c r="D774" s="7" t="s">
        <v>240</v>
      </c>
      <c r="E774" s="7" t="s">
        <v>1310</v>
      </c>
      <c r="F774" s="13" t="n">
        <v>4</v>
      </c>
      <c r="G774" s="7" t="s">
        <v>1311</v>
      </c>
      <c r="H774" s="7" t="s">
        <v>1312</v>
      </c>
    </row>
    <row r="775" customFormat="false" ht="23.85" hidden="false" customHeight="false" outlineLevel="0" collapsed="false">
      <c r="A775" s="7" t="s">
        <v>288</v>
      </c>
      <c r="B775" s="13" t="n">
        <v>158</v>
      </c>
      <c r="C775" s="7" t="s">
        <v>505</v>
      </c>
      <c r="D775" s="7" t="s">
        <v>290</v>
      </c>
      <c r="E775" s="7" t="s">
        <v>982</v>
      </c>
      <c r="F775" s="13" t="n">
        <v>6</v>
      </c>
      <c r="G775" s="7" t="s">
        <v>983</v>
      </c>
      <c r="H775" s="7" t="s">
        <v>1313</v>
      </c>
    </row>
    <row r="776" customFormat="false" ht="23.85" hidden="false" customHeight="false" outlineLevel="0" collapsed="false">
      <c r="A776" s="7" t="s">
        <v>288</v>
      </c>
      <c r="B776" s="13" t="n">
        <v>159</v>
      </c>
      <c r="C776" s="7" t="s">
        <v>505</v>
      </c>
      <c r="D776" s="7" t="s">
        <v>290</v>
      </c>
      <c r="E776" s="7" t="s">
        <v>985</v>
      </c>
      <c r="F776" s="13" t="n">
        <v>4</v>
      </c>
      <c r="G776" s="7" t="s">
        <v>986</v>
      </c>
      <c r="H776" s="7" t="s">
        <v>1313</v>
      </c>
    </row>
    <row r="777" customFormat="false" ht="23.85" hidden="false" customHeight="false" outlineLevel="0" collapsed="false">
      <c r="A777" s="7" t="s">
        <v>288</v>
      </c>
      <c r="B777" s="13" t="n">
        <v>160</v>
      </c>
      <c r="C777" s="7" t="s">
        <v>505</v>
      </c>
      <c r="D777" s="7" t="s">
        <v>290</v>
      </c>
      <c r="E777" s="7" t="s">
        <v>987</v>
      </c>
      <c r="F777" s="13" t="n">
        <v>3</v>
      </c>
      <c r="G777" s="7" t="s">
        <v>988</v>
      </c>
      <c r="H777" s="7" t="s">
        <v>1314</v>
      </c>
    </row>
    <row r="778" customFormat="false" ht="23.85" hidden="false" customHeight="false" outlineLevel="0" collapsed="false">
      <c r="A778" s="7" t="s">
        <v>288</v>
      </c>
      <c r="B778" s="13" t="n">
        <v>161</v>
      </c>
      <c r="C778" s="7" t="s">
        <v>505</v>
      </c>
      <c r="D778" s="7" t="s">
        <v>290</v>
      </c>
      <c r="E778" s="7" t="s">
        <v>990</v>
      </c>
      <c r="F778" s="13" t="n">
        <v>4</v>
      </c>
      <c r="G778" s="7" t="s">
        <v>991</v>
      </c>
      <c r="H778" s="7" t="s">
        <v>1315</v>
      </c>
    </row>
    <row r="779" customFormat="false" ht="15" hidden="false" customHeight="false" outlineLevel="0" collapsed="false">
      <c r="A779" s="7" t="s">
        <v>288</v>
      </c>
      <c r="B779" s="13" t="n">
        <v>162</v>
      </c>
      <c r="C779" s="7" t="s">
        <v>505</v>
      </c>
      <c r="D779" s="7" t="s">
        <v>290</v>
      </c>
      <c r="E779" s="7" t="s">
        <v>1166</v>
      </c>
      <c r="F779" s="13" t="n">
        <v>4</v>
      </c>
      <c r="G779" s="7" t="s">
        <v>1167</v>
      </c>
      <c r="H779" s="7" t="s">
        <v>1316</v>
      </c>
    </row>
    <row r="780" customFormat="false" ht="15" hidden="false" customHeight="false" outlineLevel="0" collapsed="false">
      <c r="A780" s="7" t="s">
        <v>288</v>
      </c>
      <c r="B780" s="13" t="n">
        <v>163</v>
      </c>
      <c r="C780" s="7" t="s">
        <v>505</v>
      </c>
      <c r="D780" s="7" t="s">
        <v>290</v>
      </c>
      <c r="E780" s="7" t="s">
        <v>1317</v>
      </c>
      <c r="F780" s="13" t="n">
        <v>4</v>
      </c>
      <c r="G780" s="7" t="s">
        <v>1318</v>
      </c>
      <c r="H780" s="7" t="s">
        <v>1319</v>
      </c>
    </row>
    <row r="781" customFormat="false" ht="15" hidden="false" customHeight="false" outlineLevel="0" collapsed="false">
      <c r="A781" s="7" t="s">
        <v>288</v>
      </c>
      <c r="B781" s="13" t="n">
        <v>164</v>
      </c>
      <c r="C781" s="7" t="s">
        <v>505</v>
      </c>
      <c r="D781" s="7" t="s">
        <v>290</v>
      </c>
      <c r="E781" s="7" t="s">
        <v>1320</v>
      </c>
      <c r="F781" s="13" t="n">
        <v>3</v>
      </c>
      <c r="G781" s="7" t="s">
        <v>1321</v>
      </c>
      <c r="H781" s="7" t="s">
        <v>1322</v>
      </c>
    </row>
    <row r="782" customFormat="false" ht="15" hidden="false" customHeight="false" outlineLevel="0" collapsed="false">
      <c r="A782" s="7" t="s">
        <v>288</v>
      </c>
      <c r="B782" s="13" t="n">
        <v>165</v>
      </c>
      <c r="C782" s="7" t="s">
        <v>505</v>
      </c>
      <c r="D782" s="7" t="s">
        <v>290</v>
      </c>
      <c r="E782" s="7" t="s">
        <v>1323</v>
      </c>
      <c r="F782" s="13" t="n">
        <v>3</v>
      </c>
      <c r="G782" s="7" t="s">
        <v>1324</v>
      </c>
      <c r="H782" s="7" t="s">
        <v>1325</v>
      </c>
    </row>
    <row r="783" customFormat="false" ht="23.85" hidden="false" customHeight="false" outlineLevel="0" collapsed="false">
      <c r="A783" s="7" t="s">
        <v>288</v>
      </c>
      <c r="B783" s="13" t="n">
        <v>166</v>
      </c>
      <c r="C783" s="7" t="s">
        <v>505</v>
      </c>
      <c r="D783" s="7" t="s">
        <v>290</v>
      </c>
      <c r="E783" s="7" t="s">
        <v>1326</v>
      </c>
      <c r="F783" s="13" t="n">
        <v>5</v>
      </c>
      <c r="G783" s="7" t="s">
        <v>1327</v>
      </c>
      <c r="H783" s="7" t="s">
        <v>1328</v>
      </c>
    </row>
    <row r="784" customFormat="false" ht="15" hidden="false" customHeight="false" outlineLevel="0" collapsed="false">
      <c r="A784" s="7" t="s">
        <v>288</v>
      </c>
      <c r="B784" s="13" t="n">
        <v>167</v>
      </c>
      <c r="C784" s="7" t="s">
        <v>505</v>
      </c>
      <c r="D784" s="7" t="s">
        <v>290</v>
      </c>
      <c r="E784" s="7" t="s">
        <v>1329</v>
      </c>
      <c r="F784" s="13" t="n">
        <v>3</v>
      </c>
      <c r="G784" s="7" t="s">
        <v>1330</v>
      </c>
      <c r="H784" s="7" t="s">
        <v>1331</v>
      </c>
    </row>
    <row r="785" customFormat="false" ht="15" hidden="false" customHeight="false" outlineLevel="0" collapsed="false">
      <c r="A785" s="7" t="s">
        <v>288</v>
      </c>
      <c r="B785" s="13" t="n">
        <v>168</v>
      </c>
      <c r="C785" s="7" t="s">
        <v>505</v>
      </c>
      <c r="D785" s="7" t="s">
        <v>290</v>
      </c>
      <c r="E785" s="7" t="s">
        <v>1332</v>
      </c>
      <c r="F785" s="13" t="n">
        <v>4</v>
      </c>
      <c r="G785" s="7" t="s">
        <v>1333</v>
      </c>
      <c r="H785" s="7" t="s">
        <v>1334</v>
      </c>
    </row>
    <row r="786" customFormat="false" ht="15" hidden="false" customHeight="false" outlineLevel="0" collapsed="false">
      <c r="A786" s="7" t="s">
        <v>288</v>
      </c>
      <c r="B786" s="13" t="n">
        <v>169</v>
      </c>
      <c r="C786" s="7" t="s">
        <v>505</v>
      </c>
      <c r="D786" s="7" t="s">
        <v>290</v>
      </c>
      <c r="E786" s="7" t="s">
        <v>1335</v>
      </c>
      <c r="F786" s="13" t="n">
        <v>3</v>
      </c>
      <c r="G786" s="7" t="s">
        <v>1336</v>
      </c>
      <c r="H786" s="7" t="s">
        <v>1337</v>
      </c>
    </row>
    <row r="787" customFormat="false" ht="15" hidden="false" customHeight="false" outlineLevel="0" collapsed="false">
      <c r="A787" s="7" t="s">
        <v>288</v>
      </c>
      <c r="B787" s="13" t="n">
        <v>170</v>
      </c>
      <c r="C787" s="7" t="s">
        <v>505</v>
      </c>
      <c r="D787" s="7" t="s">
        <v>235</v>
      </c>
      <c r="E787" s="7" t="s">
        <v>777</v>
      </c>
      <c r="F787" s="13" t="n">
        <v>3</v>
      </c>
      <c r="G787" s="7" t="s">
        <v>778</v>
      </c>
      <c r="H787" s="7" t="s">
        <v>1338</v>
      </c>
    </row>
    <row r="788" customFormat="false" ht="15" hidden="false" customHeight="false" outlineLevel="0" collapsed="false">
      <c r="A788" s="7" t="s">
        <v>288</v>
      </c>
      <c r="B788" s="13" t="n">
        <v>171</v>
      </c>
      <c r="C788" s="7" t="s">
        <v>505</v>
      </c>
      <c r="D788" s="7" t="s">
        <v>235</v>
      </c>
      <c r="E788" s="7" t="s">
        <v>1172</v>
      </c>
      <c r="F788" s="13" t="n">
        <v>5</v>
      </c>
      <c r="G788" s="7" t="s">
        <v>1173</v>
      </c>
      <c r="H788" s="7" t="s">
        <v>1339</v>
      </c>
    </row>
    <row r="789" customFormat="false" ht="15" hidden="false" customHeight="false" outlineLevel="0" collapsed="false">
      <c r="A789" s="7" t="s">
        <v>288</v>
      </c>
      <c r="B789" s="13" t="n">
        <v>172</v>
      </c>
      <c r="C789" s="7" t="s">
        <v>505</v>
      </c>
      <c r="D789" s="7" t="s">
        <v>235</v>
      </c>
      <c r="E789" s="7" t="s">
        <v>1175</v>
      </c>
      <c r="F789" s="13" t="n">
        <v>3</v>
      </c>
      <c r="G789" s="7" t="s">
        <v>1176</v>
      </c>
      <c r="H789" s="7" t="s">
        <v>1340</v>
      </c>
    </row>
    <row r="790" customFormat="false" ht="15" hidden="false" customHeight="false" outlineLevel="0" collapsed="false">
      <c r="A790" s="7" t="s">
        <v>288</v>
      </c>
      <c r="B790" s="13" t="n">
        <v>173</v>
      </c>
      <c r="C790" s="7" t="s">
        <v>505</v>
      </c>
      <c r="D790" s="7" t="s">
        <v>235</v>
      </c>
      <c r="E790" s="7" t="s">
        <v>1341</v>
      </c>
      <c r="F790" s="13" t="n">
        <v>6</v>
      </c>
      <c r="G790" s="7" t="s">
        <v>1342</v>
      </c>
      <c r="H790" s="7" t="s">
        <v>1343</v>
      </c>
    </row>
    <row r="791" customFormat="false" ht="23.85" hidden="false" customHeight="false" outlineLevel="0" collapsed="false">
      <c r="A791" s="7" t="s">
        <v>288</v>
      </c>
      <c r="B791" s="13" t="n">
        <v>174</v>
      </c>
      <c r="C791" s="7" t="s">
        <v>505</v>
      </c>
      <c r="D791" s="7" t="s">
        <v>235</v>
      </c>
      <c r="E791" s="7" t="s">
        <v>1344</v>
      </c>
      <c r="F791" s="13" t="n">
        <v>4</v>
      </c>
      <c r="G791" s="7" t="s">
        <v>1345</v>
      </c>
      <c r="H791" s="7" t="s">
        <v>1346</v>
      </c>
    </row>
    <row r="792" customFormat="false" ht="23.85" hidden="false" customHeight="false" outlineLevel="0" collapsed="false">
      <c r="A792" s="7" t="s">
        <v>288</v>
      </c>
      <c r="B792" s="13" t="n">
        <v>175</v>
      </c>
      <c r="C792" s="7" t="s">
        <v>505</v>
      </c>
      <c r="D792" s="7" t="s">
        <v>235</v>
      </c>
      <c r="E792" s="7" t="s">
        <v>1347</v>
      </c>
      <c r="F792" s="13" t="n">
        <v>3</v>
      </c>
      <c r="G792" s="7" t="s">
        <v>1348</v>
      </c>
      <c r="H792" s="7" t="s">
        <v>1349</v>
      </c>
    </row>
    <row r="793" customFormat="false" ht="23.85" hidden="false" customHeight="false" outlineLevel="0" collapsed="false">
      <c r="A793" s="7" t="s">
        <v>288</v>
      </c>
      <c r="B793" s="13" t="n">
        <v>176</v>
      </c>
      <c r="C793" s="7" t="s">
        <v>505</v>
      </c>
      <c r="D793" s="7" t="s">
        <v>235</v>
      </c>
      <c r="E793" s="7" t="s">
        <v>1350</v>
      </c>
      <c r="F793" s="13" t="n">
        <v>4</v>
      </c>
      <c r="G793" s="7" t="s">
        <v>1351</v>
      </c>
      <c r="H793" s="7" t="s">
        <v>1352</v>
      </c>
    </row>
    <row r="794" customFormat="false" ht="15" hidden="false" customHeight="false" outlineLevel="0" collapsed="false">
      <c r="A794" s="7" t="s">
        <v>288</v>
      </c>
      <c r="B794" s="13" t="n">
        <v>177</v>
      </c>
      <c r="C794" s="7" t="s">
        <v>505</v>
      </c>
      <c r="D794" s="7" t="s">
        <v>394</v>
      </c>
      <c r="E794" s="7" t="s">
        <v>816</v>
      </c>
      <c r="F794" s="13" t="n">
        <v>4</v>
      </c>
      <c r="G794" s="7" t="s">
        <v>817</v>
      </c>
      <c r="H794" s="7" t="s">
        <v>1353</v>
      </c>
    </row>
    <row r="795" customFormat="false" ht="15" hidden="false" customHeight="false" outlineLevel="0" collapsed="false">
      <c r="A795" s="7" t="s">
        <v>288</v>
      </c>
      <c r="B795" s="13" t="n">
        <v>178</v>
      </c>
      <c r="C795" s="7" t="s">
        <v>505</v>
      </c>
      <c r="D795" s="7" t="s">
        <v>394</v>
      </c>
      <c r="E795" s="7" t="s">
        <v>819</v>
      </c>
      <c r="F795" s="13" t="n">
        <v>4</v>
      </c>
      <c r="G795" s="7" t="s">
        <v>820</v>
      </c>
      <c r="H795" s="7" t="s">
        <v>1354</v>
      </c>
    </row>
    <row r="796" customFormat="false" ht="15" hidden="false" customHeight="false" outlineLevel="0" collapsed="false">
      <c r="A796" s="7" t="s">
        <v>288</v>
      </c>
      <c r="B796" s="13" t="n">
        <v>179</v>
      </c>
      <c r="C796" s="7" t="s">
        <v>505</v>
      </c>
      <c r="D796" s="7" t="s">
        <v>394</v>
      </c>
      <c r="E796" s="7" t="s">
        <v>1355</v>
      </c>
      <c r="F796" s="13" t="n">
        <v>4</v>
      </c>
      <c r="G796" s="7" t="s">
        <v>579</v>
      </c>
      <c r="H796" s="7" t="s">
        <v>1356</v>
      </c>
    </row>
    <row r="797" customFormat="false" ht="15" hidden="false" customHeight="false" outlineLevel="0" collapsed="false">
      <c r="A797" s="7" t="s">
        <v>288</v>
      </c>
      <c r="B797" s="13" t="n">
        <v>180</v>
      </c>
      <c r="C797" s="7" t="s">
        <v>505</v>
      </c>
      <c r="D797" s="7" t="s">
        <v>394</v>
      </c>
      <c r="E797" s="7" t="s">
        <v>1017</v>
      </c>
      <c r="F797" s="13" t="n">
        <v>4</v>
      </c>
      <c r="G797" s="7" t="s">
        <v>1018</v>
      </c>
      <c r="H797" s="7" t="s">
        <v>1357</v>
      </c>
    </row>
    <row r="798" customFormat="false" ht="15" hidden="false" customHeight="false" outlineLevel="0" collapsed="false">
      <c r="A798" s="7" t="s">
        <v>288</v>
      </c>
      <c r="B798" s="13" t="n">
        <v>181</v>
      </c>
      <c r="C798" s="7" t="s">
        <v>505</v>
      </c>
      <c r="D798" s="7" t="s">
        <v>394</v>
      </c>
      <c r="E798" s="7" t="s">
        <v>1020</v>
      </c>
      <c r="F798" s="13" t="n">
        <v>4</v>
      </c>
      <c r="G798" s="7" t="s">
        <v>1021</v>
      </c>
      <c r="H798" s="7" t="s">
        <v>1353</v>
      </c>
    </row>
    <row r="799" customFormat="false" ht="15" hidden="false" customHeight="false" outlineLevel="0" collapsed="false">
      <c r="A799" s="7" t="s">
        <v>288</v>
      </c>
      <c r="B799" s="13" t="n">
        <v>182</v>
      </c>
      <c r="C799" s="7" t="s">
        <v>505</v>
      </c>
      <c r="D799" s="7" t="s">
        <v>394</v>
      </c>
      <c r="E799" s="7" t="s">
        <v>1197</v>
      </c>
      <c r="F799" s="13" t="n">
        <v>3</v>
      </c>
      <c r="G799" s="7" t="s">
        <v>1198</v>
      </c>
      <c r="H799" s="7" t="s">
        <v>1358</v>
      </c>
    </row>
    <row r="800" customFormat="false" ht="15" hidden="false" customHeight="false" outlineLevel="0" collapsed="false">
      <c r="A800" s="7" t="s">
        <v>288</v>
      </c>
      <c r="B800" s="13" t="n">
        <v>183</v>
      </c>
      <c r="C800" s="7" t="s">
        <v>505</v>
      </c>
      <c r="D800" s="7" t="s">
        <v>394</v>
      </c>
      <c r="E800" s="7" t="s">
        <v>1359</v>
      </c>
      <c r="F800" s="13" t="n">
        <v>4</v>
      </c>
      <c r="G800" s="7" t="s">
        <v>1360</v>
      </c>
      <c r="H800" s="7" t="s">
        <v>1361</v>
      </c>
    </row>
    <row r="801" customFormat="false" ht="23.85" hidden="false" customHeight="false" outlineLevel="0" collapsed="false">
      <c r="A801" s="7" t="s">
        <v>288</v>
      </c>
      <c r="B801" s="13" t="n">
        <v>184</v>
      </c>
      <c r="C801" s="7" t="s">
        <v>505</v>
      </c>
      <c r="D801" s="7" t="s">
        <v>394</v>
      </c>
      <c r="E801" s="7" t="s">
        <v>1362</v>
      </c>
      <c r="F801" s="13" t="n">
        <v>3</v>
      </c>
      <c r="G801" s="7" t="s">
        <v>1363</v>
      </c>
      <c r="H801" s="7" t="s">
        <v>1364</v>
      </c>
    </row>
    <row r="802" customFormat="false" ht="15" hidden="false" customHeight="false" outlineLevel="0" collapsed="false">
      <c r="A802" s="7" t="s">
        <v>288</v>
      </c>
      <c r="B802" s="13" t="n">
        <v>185</v>
      </c>
      <c r="C802" s="7" t="s">
        <v>505</v>
      </c>
      <c r="D802" s="7" t="s">
        <v>394</v>
      </c>
      <c r="E802" s="7" t="s">
        <v>1365</v>
      </c>
      <c r="F802" s="13" t="n">
        <v>3</v>
      </c>
      <c r="G802" s="7" t="s">
        <v>1366</v>
      </c>
      <c r="H802" s="7" t="s">
        <v>1367</v>
      </c>
    </row>
    <row r="803" customFormat="false" ht="15" hidden="false" customHeight="false" outlineLevel="0" collapsed="false">
      <c r="A803" s="7" t="s">
        <v>288</v>
      </c>
      <c r="B803" s="13" t="n">
        <v>186</v>
      </c>
      <c r="C803" s="7" t="s">
        <v>505</v>
      </c>
      <c r="D803" s="7" t="s">
        <v>394</v>
      </c>
      <c r="E803" s="7" t="s">
        <v>1368</v>
      </c>
      <c r="F803" s="13" t="n">
        <v>4</v>
      </c>
      <c r="G803" s="7" t="s">
        <v>1369</v>
      </c>
      <c r="H803" s="7" t="s">
        <v>1370</v>
      </c>
    </row>
    <row r="804" customFormat="false" ht="23.85" hidden="false" customHeight="false" outlineLevel="0" collapsed="false">
      <c r="A804" s="7" t="s">
        <v>288</v>
      </c>
      <c r="B804" s="13" t="n">
        <v>187</v>
      </c>
      <c r="C804" s="7" t="s">
        <v>505</v>
      </c>
      <c r="D804" s="7" t="s">
        <v>260</v>
      </c>
      <c r="E804" s="7" t="s">
        <v>1026</v>
      </c>
      <c r="F804" s="13" t="n">
        <v>3</v>
      </c>
      <c r="G804" s="7" t="s">
        <v>1027</v>
      </c>
      <c r="H804" s="7" t="s">
        <v>1313</v>
      </c>
    </row>
    <row r="805" customFormat="false" ht="15" hidden="false" customHeight="false" outlineLevel="0" collapsed="false">
      <c r="A805" s="7" t="s">
        <v>288</v>
      </c>
      <c r="B805" s="13" t="n">
        <v>188</v>
      </c>
      <c r="C805" s="7" t="s">
        <v>505</v>
      </c>
      <c r="D805" s="7" t="s">
        <v>260</v>
      </c>
      <c r="E805" s="7" t="s">
        <v>1371</v>
      </c>
      <c r="F805" s="13" t="n">
        <v>5</v>
      </c>
      <c r="G805" s="7" t="s">
        <v>1372</v>
      </c>
      <c r="H805" s="7" t="s">
        <v>1373</v>
      </c>
    </row>
    <row r="806" customFormat="false" ht="23.85" hidden="false" customHeight="false" outlineLevel="0" collapsed="false">
      <c r="A806" s="7" t="s">
        <v>288</v>
      </c>
      <c r="B806" s="13" t="n">
        <v>189</v>
      </c>
      <c r="C806" s="7" t="s">
        <v>505</v>
      </c>
      <c r="D806" s="7" t="s">
        <v>260</v>
      </c>
      <c r="E806" s="7" t="s">
        <v>1374</v>
      </c>
      <c r="F806" s="13" t="n">
        <v>4</v>
      </c>
      <c r="G806" s="7" t="s">
        <v>1375</v>
      </c>
      <c r="H806" s="7" t="s">
        <v>1376</v>
      </c>
    </row>
    <row r="807" customFormat="false" ht="23.85" hidden="false" customHeight="false" outlineLevel="0" collapsed="false">
      <c r="A807" s="7" t="s">
        <v>288</v>
      </c>
      <c r="B807" s="13" t="n">
        <v>190</v>
      </c>
      <c r="C807" s="7" t="s">
        <v>505</v>
      </c>
      <c r="D807" s="7" t="s">
        <v>260</v>
      </c>
      <c r="E807" s="7" t="s">
        <v>1377</v>
      </c>
      <c r="F807" s="13" t="n">
        <v>4</v>
      </c>
      <c r="G807" s="7" t="s">
        <v>1378</v>
      </c>
      <c r="H807" s="7" t="s">
        <v>1379</v>
      </c>
    </row>
    <row r="808" customFormat="false" ht="15" hidden="false" customHeight="false" outlineLevel="0" collapsed="false">
      <c r="A808" s="7" t="s">
        <v>288</v>
      </c>
      <c r="B808" s="13" t="n">
        <v>191</v>
      </c>
      <c r="C808" s="7" t="s">
        <v>505</v>
      </c>
      <c r="D808" s="7" t="s">
        <v>260</v>
      </c>
      <c r="E808" s="7" t="s">
        <v>1380</v>
      </c>
      <c r="F808" s="13" t="n">
        <v>3</v>
      </c>
      <c r="G808" s="7" t="s">
        <v>1381</v>
      </c>
      <c r="H808" s="7" t="s">
        <v>1382</v>
      </c>
    </row>
    <row r="809" customFormat="false" ht="15" hidden="false" customHeight="false" outlineLevel="0" collapsed="false">
      <c r="A809" s="7" t="s">
        <v>288</v>
      </c>
      <c r="B809" s="13" t="n">
        <v>192</v>
      </c>
      <c r="C809" s="7" t="s">
        <v>505</v>
      </c>
      <c r="D809" s="7" t="s">
        <v>260</v>
      </c>
      <c r="E809" s="7" t="s">
        <v>1383</v>
      </c>
      <c r="F809" s="13" t="n">
        <v>4</v>
      </c>
      <c r="G809" s="7" t="s">
        <v>1384</v>
      </c>
      <c r="H809" s="7" t="s">
        <v>1379</v>
      </c>
    </row>
    <row r="810" customFormat="false" ht="15" hidden="false" customHeight="false" outlineLevel="0" collapsed="false">
      <c r="A810" s="7" t="s">
        <v>288</v>
      </c>
      <c r="B810" s="13" t="n">
        <v>193</v>
      </c>
      <c r="C810" s="7" t="s">
        <v>505</v>
      </c>
      <c r="D810" s="7" t="s">
        <v>260</v>
      </c>
      <c r="E810" s="7" t="s">
        <v>1385</v>
      </c>
      <c r="F810" s="13" t="n">
        <v>3</v>
      </c>
      <c r="G810" s="7" t="s">
        <v>1386</v>
      </c>
      <c r="H810" s="7" t="s">
        <v>1379</v>
      </c>
    </row>
    <row r="811" customFormat="false" ht="15" hidden="false" customHeight="false" outlineLevel="0" collapsed="false">
      <c r="A811" s="7" t="s">
        <v>288</v>
      </c>
      <c r="B811" s="13" t="n">
        <v>194</v>
      </c>
      <c r="C811" s="7" t="s">
        <v>505</v>
      </c>
      <c r="D811" s="7" t="s">
        <v>271</v>
      </c>
      <c r="E811" s="7" t="s">
        <v>1232</v>
      </c>
      <c r="F811" s="13" t="n">
        <v>6</v>
      </c>
      <c r="G811" s="7" t="s">
        <v>1233</v>
      </c>
      <c r="H811" s="7" t="s">
        <v>1387</v>
      </c>
    </row>
    <row r="812" customFormat="false" ht="15" hidden="false" customHeight="false" outlineLevel="0" collapsed="false">
      <c r="A812" s="7" t="s">
        <v>288</v>
      </c>
      <c r="B812" s="13" t="n">
        <v>195</v>
      </c>
      <c r="C812" s="7" t="s">
        <v>505</v>
      </c>
      <c r="D812" s="7" t="s">
        <v>271</v>
      </c>
      <c r="E812" s="7" t="s">
        <v>1388</v>
      </c>
      <c r="F812" s="13" t="n">
        <v>6</v>
      </c>
      <c r="G812" s="7" t="s">
        <v>1389</v>
      </c>
      <c r="H812" s="7" t="s">
        <v>1390</v>
      </c>
    </row>
    <row r="813" customFormat="false" ht="15" hidden="false" customHeight="false" outlineLevel="0" collapsed="false">
      <c r="A813" s="7" t="s">
        <v>288</v>
      </c>
      <c r="B813" s="13" t="n">
        <v>196</v>
      </c>
      <c r="C813" s="7" t="s">
        <v>505</v>
      </c>
      <c r="D813" s="7" t="s">
        <v>271</v>
      </c>
      <c r="E813" s="7" t="s">
        <v>1391</v>
      </c>
      <c r="F813" s="13" t="n">
        <v>4</v>
      </c>
      <c r="G813" s="7" t="s">
        <v>1392</v>
      </c>
      <c r="H813" s="7" t="s">
        <v>1393</v>
      </c>
    </row>
    <row r="814" customFormat="false" ht="15" hidden="false" customHeight="false" outlineLevel="0" collapsed="false">
      <c r="A814" s="7" t="s">
        <v>288</v>
      </c>
      <c r="B814" s="13" t="n">
        <v>197</v>
      </c>
      <c r="C814" s="7" t="s">
        <v>505</v>
      </c>
      <c r="D814" s="7" t="s">
        <v>271</v>
      </c>
      <c r="E814" s="7" t="s">
        <v>1394</v>
      </c>
      <c r="F814" s="13" t="n">
        <v>4</v>
      </c>
      <c r="G814" s="7" t="s">
        <v>1395</v>
      </c>
      <c r="H814" s="7" t="s">
        <v>1316</v>
      </c>
    </row>
    <row r="815" customFormat="false" ht="15" hidden="false" customHeight="false" outlineLevel="0" collapsed="false">
      <c r="A815" s="7" t="s">
        <v>288</v>
      </c>
      <c r="B815" s="13" t="n">
        <v>198</v>
      </c>
      <c r="C815" s="7" t="s">
        <v>505</v>
      </c>
      <c r="D815" s="7" t="s">
        <v>271</v>
      </c>
      <c r="E815" s="7" t="s">
        <v>1396</v>
      </c>
      <c r="F815" s="13" t="n">
        <v>4</v>
      </c>
      <c r="G815" s="7" t="s">
        <v>1397</v>
      </c>
      <c r="H815" s="7" t="s">
        <v>1398</v>
      </c>
    </row>
    <row r="816" customFormat="false" ht="15" hidden="false" customHeight="false" outlineLevel="0" collapsed="false">
      <c r="A816" s="7" t="s">
        <v>288</v>
      </c>
      <c r="B816" s="13" t="n">
        <v>199</v>
      </c>
      <c r="C816" s="7" t="s">
        <v>505</v>
      </c>
      <c r="D816" s="7" t="s">
        <v>271</v>
      </c>
      <c r="E816" s="7" t="s">
        <v>1399</v>
      </c>
      <c r="F816" s="13" t="n">
        <v>3</v>
      </c>
      <c r="G816" s="7" t="s">
        <v>1400</v>
      </c>
      <c r="H816" s="7" t="s">
        <v>1401</v>
      </c>
    </row>
    <row r="817" customFormat="false" ht="23.85" hidden="false" customHeight="false" outlineLevel="0" collapsed="false">
      <c r="A817" s="7" t="s">
        <v>288</v>
      </c>
      <c r="B817" s="13" t="n">
        <v>200</v>
      </c>
      <c r="C817" s="7" t="s">
        <v>505</v>
      </c>
      <c r="D817" s="7" t="s">
        <v>271</v>
      </c>
      <c r="E817" s="7" t="s">
        <v>1402</v>
      </c>
      <c r="F817" s="13" t="n">
        <v>4</v>
      </c>
      <c r="G817" s="7" t="s">
        <v>1403</v>
      </c>
      <c r="H817" s="7" t="s">
        <v>1404</v>
      </c>
    </row>
    <row r="818" customFormat="false" ht="15" hidden="false" customHeight="false" outlineLevel="0" collapsed="false">
      <c r="A818" s="7" t="s">
        <v>289</v>
      </c>
      <c r="B818" s="13" t="n">
        <v>1</v>
      </c>
      <c r="C818" s="7" t="s">
        <v>504</v>
      </c>
      <c r="D818" s="7" t="s">
        <v>290</v>
      </c>
      <c r="E818" s="7" t="s">
        <v>291</v>
      </c>
      <c r="F818" s="13" t="n">
        <v>6</v>
      </c>
      <c r="G818" s="7" t="s">
        <v>292</v>
      </c>
      <c r="H818" s="7" t="s">
        <v>513</v>
      </c>
    </row>
    <row r="819" customFormat="false" ht="15" hidden="false" customHeight="false" outlineLevel="0" collapsed="false">
      <c r="A819" s="7" t="s">
        <v>289</v>
      </c>
      <c r="B819" s="13" t="n">
        <v>2</v>
      </c>
      <c r="C819" s="7" t="s">
        <v>504</v>
      </c>
      <c r="D819" s="7" t="s">
        <v>290</v>
      </c>
      <c r="E819" s="7" t="s">
        <v>293</v>
      </c>
      <c r="F819" s="13" t="n">
        <v>8</v>
      </c>
      <c r="G819" s="7" t="s">
        <v>294</v>
      </c>
      <c r="H819" s="7" t="s">
        <v>513</v>
      </c>
    </row>
    <row r="820" customFormat="false" ht="15" hidden="false" customHeight="false" outlineLevel="0" collapsed="false">
      <c r="A820" s="7" t="s">
        <v>289</v>
      </c>
      <c r="B820" s="13" t="n">
        <v>3</v>
      </c>
      <c r="C820" s="7" t="s">
        <v>504</v>
      </c>
      <c r="D820" s="7" t="s">
        <v>290</v>
      </c>
      <c r="E820" s="7" t="s">
        <v>295</v>
      </c>
      <c r="F820" s="13" t="n">
        <v>4</v>
      </c>
      <c r="G820" s="7" t="s">
        <v>296</v>
      </c>
      <c r="H820" s="7" t="s">
        <v>513</v>
      </c>
    </row>
    <row r="821" customFormat="false" ht="15" hidden="false" customHeight="false" outlineLevel="0" collapsed="false">
      <c r="A821" s="7" t="s">
        <v>289</v>
      </c>
      <c r="B821" s="13" t="n">
        <v>4</v>
      </c>
      <c r="C821" s="7" t="s">
        <v>504</v>
      </c>
      <c r="D821" s="7" t="s">
        <v>290</v>
      </c>
      <c r="E821" s="7" t="s">
        <v>297</v>
      </c>
      <c r="F821" s="13" t="n">
        <v>8</v>
      </c>
      <c r="G821" s="7" t="s">
        <v>298</v>
      </c>
      <c r="H821" s="7" t="s">
        <v>513</v>
      </c>
    </row>
    <row r="822" customFormat="false" ht="15" hidden="false" customHeight="false" outlineLevel="0" collapsed="false">
      <c r="A822" s="7" t="s">
        <v>289</v>
      </c>
      <c r="B822" s="13" t="n">
        <v>5</v>
      </c>
      <c r="C822" s="7" t="s">
        <v>504</v>
      </c>
      <c r="D822" s="7" t="s">
        <v>290</v>
      </c>
      <c r="E822" s="7" t="s">
        <v>299</v>
      </c>
      <c r="F822" s="13" t="n">
        <v>4</v>
      </c>
      <c r="G822" s="7" t="s">
        <v>300</v>
      </c>
      <c r="H822" s="7" t="s">
        <v>513</v>
      </c>
    </row>
    <row r="823" customFormat="false" ht="15" hidden="false" customHeight="false" outlineLevel="0" collapsed="false">
      <c r="A823" s="7" t="s">
        <v>289</v>
      </c>
      <c r="B823" s="13" t="n">
        <v>6</v>
      </c>
      <c r="C823" s="7" t="s">
        <v>504</v>
      </c>
      <c r="D823" s="7" t="s">
        <v>290</v>
      </c>
      <c r="E823" s="7" t="s">
        <v>301</v>
      </c>
      <c r="F823" s="13" t="n">
        <v>3</v>
      </c>
      <c r="G823" s="7" t="s">
        <v>302</v>
      </c>
      <c r="H823" s="7" t="s">
        <v>513</v>
      </c>
    </row>
    <row r="824" customFormat="false" ht="15" hidden="false" customHeight="false" outlineLevel="0" collapsed="false">
      <c r="A824" s="7" t="s">
        <v>289</v>
      </c>
      <c r="B824" s="13" t="n">
        <v>7</v>
      </c>
      <c r="C824" s="7" t="s">
        <v>504</v>
      </c>
      <c r="D824" s="7" t="s">
        <v>290</v>
      </c>
      <c r="E824" s="7" t="s">
        <v>303</v>
      </c>
      <c r="F824" s="13" t="n">
        <v>5</v>
      </c>
      <c r="G824" s="7" t="s">
        <v>304</v>
      </c>
      <c r="H824" s="7" t="s">
        <v>513</v>
      </c>
    </row>
    <row r="825" customFormat="false" ht="15" hidden="false" customHeight="false" outlineLevel="0" collapsed="false">
      <c r="A825" s="7" t="s">
        <v>289</v>
      </c>
      <c r="B825" s="13" t="n">
        <v>8</v>
      </c>
      <c r="C825" s="7" t="s">
        <v>504</v>
      </c>
      <c r="D825" s="7" t="s">
        <v>290</v>
      </c>
      <c r="E825" s="7" t="s">
        <v>305</v>
      </c>
      <c r="F825" s="13" t="n">
        <v>6</v>
      </c>
      <c r="G825" s="7" t="s">
        <v>306</v>
      </c>
      <c r="H825" s="7" t="s">
        <v>513</v>
      </c>
    </row>
    <row r="826" customFormat="false" ht="15" hidden="false" customHeight="false" outlineLevel="0" collapsed="false">
      <c r="A826" s="7" t="s">
        <v>289</v>
      </c>
      <c r="B826" s="13" t="n">
        <v>9</v>
      </c>
      <c r="C826" s="7" t="s">
        <v>504</v>
      </c>
      <c r="D826" s="7" t="s">
        <v>290</v>
      </c>
      <c r="E826" s="7" t="s">
        <v>307</v>
      </c>
      <c r="F826" s="13" t="n">
        <v>6</v>
      </c>
      <c r="G826" s="7" t="s">
        <v>308</v>
      </c>
      <c r="H826" s="7" t="s">
        <v>513</v>
      </c>
    </row>
    <row r="827" customFormat="false" ht="15" hidden="false" customHeight="false" outlineLevel="0" collapsed="false">
      <c r="A827" s="7" t="s">
        <v>289</v>
      </c>
      <c r="B827" s="13" t="n">
        <v>10</v>
      </c>
      <c r="C827" s="7" t="s">
        <v>504</v>
      </c>
      <c r="D827" s="7" t="s">
        <v>290</v>
      </c>
      <c r="E827" s="7" t="s">
        <v>309</v>
      </c>
      <c r="F827" s="13" t="n">
        <v>4</v>
      </c>
      <c r="G827" s="7" t="s">
        <v>310</v>
      </c>
      <c r="H827" s="7" t="s">
        <v>513</v>
      </c>
    </row>
    <row r="828" customFormat="false" ht="15" hidden="false" customHeight="false" outlineLevel="0" collapsed="false">
      <c r="A828" s="7" t="s">
        <v>289</v>
      </c>
      <c r="B828" s="13" t="n">
        <v>11</v>
      </c>
      <c r="C828" s="7" t="s">
        <v>504</v>
      </c>
      <c r="D828" s="7" t="s">
        <v>290</v>
      </c>
      <c r="E828" s="7" t="s">
        <v>311</v>
      </c>
      <c r="F828" s="13" t="n">
        <v>10</v>
      </c>
      <c r="G828" s="7" t="s">
        <v>312</v>
      </c>
      <c r="H828" s="7" t="s">
        <v>513</v>
      </c>
    </row>
    <row r="829" customFormat="false" ht="15" hidden="false" customHeight="false" outlineLevel="0" collapsed="false">
      <c r="A829" s="7" t="s">
        <v>289</v>
      </c>
      <c r="B829" s="13" t="n">
        <v>12</v>
      </c>
      <c r="C829" s="7" t="s">
        <v>504</v>
      </c>
      <c r="D829" s="7" t="s">
        <v>290</v>
      </c>
      <c r="E829" s="7" t="s">
        <v>313</v>
      </c>
      <c r="F829" s="13" t="n">
        <v>6</v>
      </c>
      <c r="G829" s="7" t="s">
        <v>314</v>
      </c>
      <c r="H829" s="7" t="s">
        <v>513</v>
      </c>
    </row>
    <row r="830" customFormat="false" ht="15" hidden="false" customHeight="false" outlineLevel="0" collapsed="false">
      <c r="A830" s="7" t="s">
        <v>289</v>
      </c>
      <c r="B830" s="13" t="n">
        <v>13</v>
      </c>
      <c r="C830" s="7" t="s">
        <v>504</v>
      </c>
      <c r="D830" s="7" t="s">
        <v>290</v>
      </c>
      <c r="E830" s="7" t="s">
        <v>315</v>
      </c>
      <c r="F830" s="13" t="n">
        <v>4</v>
      </c>
      <c r="G830" s="7" t="s">
        <v>316</v>
      </c>
      <c r="H830" s="7" t="s">
        <v>513</v>
      </c>
    </row>
    <row r="831" customFormat="false" ht="15" hidden="false" customHeight="false" outlineLevel="0" collapsed="false">
      <c r="A831" s="7" t="s">
        <v>289</v>
      </c>
      <c r="B831" s="13" t="n">
        <v>14</v>
      </c>
      <c r="C831" s="7" t="s">
        <v>504</v>
      </c>
      <c r="D831" s="7" t="s">
        <v>290</v>
      </c>
      <c r="E831" s="7" t="s">
        <v>317</v>
      </c>
      <c r="F831" s="13" t="n">
        <v>4</v>
      </c>
      <c r="G831" s="7" t="s">
        <v>318</v>
      </c>
      <c r="H831" s="7" t="s">
        <v>513</v>
      </c>
    </row>
    <row r="832" customFormat="false" ht="15" hidden="false" customHeight="false" outlineLevel="0" collapsed="false">
      <c r="A832" s="7" t="s">
        <v>289</v>
      </c>
      <c r="B832" s="13" t="n">
        <v>15</v>
      </c>
      <c r="C832" s="7" t="s">
        <v>504</v>
      </c>
      <c r="D832" s="7" t="s">
        <v>290</v>
      </c>
      <c r="E832" s="7" t="s">
        <v>319</v>
      </c>
      <c r="F832" s="13" t="n">
        <v>3</v>
      </c>
      <c r="G832" s="7" t="s">
        <v>320</v>
      </c>
      <c r="H832" s="7" t="s">
        <v>513</v>
      </c>
    </row>
    <row r="833" customFormat="false" ht="15" hidden="false" customHeight="false" outlineLevel="0" collapsed="false">
      <c r="A833" s="7" t="s">
        <v>289</v>
      </c>
      <c r="B833" s="13" t="n">
        <v>16</v>
      </c>
      <c r="C833" s="7" t="s">
        <v>504</v>
      </c>
      <c r="D833" s="7" t="s">
        <v>290</v>
      </c>
      <c r="E833" s="7" t="s">
        <v>321</v>
      </c>
      <c r="F833" s="13" t="n">
        <v>4</v>
      </c>
      <c r="G833" s="7" t="s">
        <v>322</v>
      </c>
      <c r="H833" s="7" t="s">
        <v>513</v>
      </c>
    </row>
    <row r="834" customFormat="false" ht="15" hidden="false" customHeight="false" outlineLevel="0" collapsed="false">
      <c r="A834" s="7" t="s">
        <v>289</v>
      </c>
      <c r="B834" s="13" t="n">
        <v>17</v>
      </c>
      <c r="C834" s="7" t="s">
        <v>504</v>
      </c>
      <c r="D834" s="7" t="s">
        <v>290</v>
      </c>
      <c r="E834" s="7" t="s">
        <v>323</v>
      </c>
      <c r="F834" s="13" t="n">
        <v>6</v>
      </c>
      <c r="G834" s="7" t="s">
        <v>324</v>
      </c>
      <c r="H834" s="7" t="s">
        <v>513</v>
      </c>
    </row>
    <row r="835" customFormat="false" ht="15" hidden="false" customHeight="false" outlineLevel="0" collapsed="false">
      <c r="A835" s="7" t="s">
        <v>289</v>
      </c>
      <c r="B835" s="13" t="n">
        <v>18</v>
      </c>
      <c r="C835" s="7" t="s">
        <v>504</v>
      </c>
      <c r="D835" s="7" t="s">
        <v>290</v>
      </c>
      <c r="E835" s="7" t="s">
        <v>325</v>
      </c>
      <c r="F835" s="13" t="n">
        <v>6</v>
      </c>
      <c r="G835" s="7" t="s">
        <v>326</v>
      </c>
      <c r="H835" s="7" t="s">
        <v>513</v>
      </c>
    </row>
    <row r="836" customFormat="false" ht="15" hidden="false" customHeight="false" outlineLevel="0" collapsed="false">
      <c r="A836" s="7" t="s">
        <v>289</v>
      </c>
      <c r="B836" s="13" t="n">
        <v>19</v>
      </c>
      <c r="C836" s="7" t="s">
        <v>504</v>
      </c>
      <c r="D836" s="7" t="s">
        <v>290</v>
      </c>
      <c r="E836" s="7" t="s">
        <v>327</v>
      </c>
      <c r="F836" s="13" t="n">
        <v>5</v>
      </c>
      <c r="G836" s="7" t="s">
        <v>328</v>
      </c>
      <c r="H836" s="7" t="s">
        <v>513</v>
      </c>
    </row>
    <row r="837" customFormat="false" ht="15" hidden="false" customHeight="false" outlineLevel="0" collapsed="false">
      <c r="A837" s="7" t="s">
        <v>289</v>
      </c>
      <c r="B837" s="13" t="n">
        <v>20</v>
      </c>
      <c r="C837" s="7" t="s">
        <v>504</v>
      </c>
      <c r="D837" s="7" t="s">
        <v>290</v>
      </c>
      <c r="E837" s="7" t="s">
        <v>329</v>
      </c>
      <c r="F837" s="13" t="n">
        <v>6</v>
      </c>
      <c r="G837" s="7" t="s">
        <v>330</v>
      </c>
      <c r="H837" s="7" t="s">
        <v>513</v>
      </c>
    </row>
    <row r="838" customFormat="false" ht="15" hidden="false" customHeight="false" outlineLevel="0" collapsed="false">
      <c r="A838" s="7" t="s">
        <v>289</v>
      </c>
      <c r="B838" s="13" t="n">
        <v>21</v>
      </c>
      <c r="C838" s="7" t="s">
        <v>504</v>
      </c>
      <c r="D838" s="7" t="s">
        <v>235</v>
      </c>
      <c r="E838" s="7" t="s">
        <v>331</v>
      </c>
      <c r="F838" s="13" t="n">
        <v>2</v>
      </c>
      <c r="G838" s="7" t="s">
        <v>332</v>
      </c>
      <c r="H838" s="7" t="s">
        <v>513</v>
      </c>
    </row>
    <row r="839" customFormat="false" ht="15" hidden="false" customHeight="false" outlineLevel="0" collapsed="false">
      <c r="A839" s="7" t="s">
        <v>289</v>
      </c>
      <c r="B839" s="13" t="n">
        <v>22</v>
      </c>
      <c r="C839" s="7" t="s">
        <v>504</v>
      </c>
      <c r="D839" s="7" t="s">
        <v>235</v>
      </c>
      <c r="E839" s="7" t="s">
        <v>333</v>
      </c>
      <c r="F839" s="13" t="n">
        <v>3</v>
      </c>
      <c r="G839" s="7" t="s">
        <v>334</v>
      </c>
      <c r="H839" s="7" t="s">
        <v>513</v>
      </c>
    </row>
    <row r="840" customFormat="false" ht="15" hidden="false" customHeight="false" outlineLevel="0" collapsed="false">
      <c r="A840" s="7" t="s">
        <v>289</v>
      </c>
      <c r="B840" s="13" t="n">
        <v>23</v>
      </c>
      <c r="C840" s="7" t="s">
        <v>504</v>
      </c>
      <c r="D840" s="7" t="s">
        <v>235</v>
      </c>
      <c r="E840" s="7" t="s">
        <v>335</v>
      </c>
      <c r="F840" s="13" t="n">
        <v>6</v>
      </c>
      <c r="G840" s="7" t="s">
        <v>336</v>
      </c>
      <c r="H840" s="7" t="s">
        <v>513</v>
      </c>
    </row>
    <row r="841" customFormat="false" ht="15" hidden="false" customHeight="false" outlineLevel="0" collapsed="false">
      <c r="A841" s="7" t="s">
        <v>289</v>
      </c>
      <c r="B841" s="13" t="n">
        <v>24</v>
      </c>
      <c r="C841" s="7" t="s">
        <v>504</v>
      </c>
      <c r="D841" s="7" t="s">
        <v>235</v>
      </c>
      <c r="E841" s="7" t="s">
        <v>337</v>
      </c>
      <c r="F841" s="13" t="n">
        <v>4</v>
      </c>
      <c r="G841" s="7" t="s">
        <v>338</v>
      </c>
      <c r="H841" s="7" t="s">
        <v>513</v>
      </c>
    </row>
    <row r="842" customFormat="false" ht="15" hidden="false" customHeight="false" outlineLevel="0" collapsed="false">
      <c r="A842" s="7" t="s">
        <v>289</v>
      </c>
      <c r="B842" s="13" t="n">
        <v>25</v>
      </c>
      <c r="C842" s="7" t="s">
        <v>504</v>
      </c>
      <c r="D842" s="7" t="s">
        <v>235</v>
      </c>
      <c r="E842" s="7" t="s">
        <v>339</v>
      </c>
      <c r="F842" s="13" t="n">
        <v>8</v>
      </c>
      <c r="G842" s="7" t="s">
        <v>340</v>
      </c>
      <c r="H842" s="7" t="s">
        <v>513</v>
      </c>
    </row>
    <row r="843" customFormat="false" ht="15" hidden="false" customHeight="false" outlineLevel="0" collapsed="false">
      <c r="A843" s="7" t="s">
        <v>289</v>
      </c>
      <c r="B843" s="13" t="n">
        <v>26</v>
      </c>
      <c r="C843" s="7" t="s">
        <v>504</v>
      </c>
      <c r="D843" s="7" t="s">
        <v>235</v>
      </c>
      <c r="E843" s="7" t="s">
        <v>341</v>
      </c>
      <c r="F843" s="13" t="n">
        <v>10</v>
      </c>
      <c r="G843" s="7" t="s">
        <v>342</v>
      </c>
      <c r="H843" s="7" t="s">
        <v>513</v>
      </c>
    </row>
    <row r="844" customFormat="false" ht="15" hidden="false" customHeight="false" outlineLevel="0" collapsed="false">
      <c r="A844" s="7" t="s">
        <v>289</v>
      </c>
      <c r="B844" s="13" t="n">
        <v>27</v>
      </c>
      <c r="C844" s="7" t="s">
        <v>504</v>
      </c>
      <c r="D844" s="7" t="s">
        <v>235</v>
      </c>
      <c r="E844" s="7" t="s">
        <v>343</v>
      </c>
      <c r="F844" s="13" t="n">
        <v>6</v>
      </c>
      <c r="G844" s="7" t="s">
        <v>344</v>
      </c>
      <c r="H844" s="7" t="s">
        <v>513</v>
      </c>
    </row>
    <row r="845" customFormat="false" ht="15" hidden="false" customHeight="false" outlineLevel="0" collapsed="false">
      <c r="A845" s="7" t="s">
        <v>289</v>
      </c>
      <c r="B845" s="13" t="n">
        <v>28</v>
      </c>
      <c r="C845" s="7" t="s">
        <v>504</v>
      </c>
      <c r="D845" s="7" t="s">
        <v>235</v>
      </c>
      <c r="E845" s="7" t="s">
        <v>345</v>
      </c>
      <c r="F845" s="13" t="n">
        <v>4</v>
      </c>
      <c r="G845" s="7" t="s">
        <v>346</v>
      </c>
      <c r="H845" s="7" t="s">
        <v>513</v>
      </c>
    </row>
    <row r="846" customFormat="false" ht="15" hidden="false" customHeight="false" outlineLevel="0" collapsed="false">
      <c r="A846" s="7" t="s">
        <v>289</v>
      </c>
      <c r="B846" s="13" t="n">
        <v>29</v>
      </c>
      <c r="C846" s="7" t="s">
        <v>504</v>
      </c>
      <c r="D846" s="7" t="s">
        <v>235</v>
      </c>
      <c r="E846" s="7" t="s">
        <v>347</v>
      </c>
      <c r="F846" s="13" t="n">
        <v>3</v>
      </c>
      <c r="G846" s="7" t="s">
        <v>348</v>
      </c>
      <c r="H846" s="7" t="s">
        <v>513</v>
      </c>
    </row>
    <row r="847" customFormat="false" ht="15" hidden="false" customHeight="false" outlineLevel="0" collapsed="false">
      <c r="A847" s="7" t="s">
        <v>289</v>
      </c>
      <c r="B847" s="13" t="n">
        <v>30</v>
      </c>
      <c r="C847" s="7" t="s">
        <v>504</v>
      </c>
      <c r="D847" s="7" t="s">
        <v>235</v>
      </c>
      <c r="E847" s="7" t="s">
        <v>349</v>
      </c>
      <c r="F847" s="13" t="n">
        <v>3</v>
      </c>
      <c r="G847" s="7" t="s">
        <v>350</v>
      </c>
      <c r="H847" s="7" t="s">
        <v>513</v>
      </c>
    </row>
    <row r="848" customFormat="false" ht="15" hidden="false" customHeight="false" outlineLevel="0" collapsed="false">
      <c r="A848" s="7" t="s">
        <v>289</v>
      </c>
      <c r="B848" s="13" t="n">
        <v>31</v>
      </c>
      <c r="C848" s="7" t="s">
        <v>504</v>
      </c>
      <c r="D848" s="7" t="s">
        <v>235</v>
      </c>
      <c r="E848" s="7" t="s">
        <v>351</v>
      </c>
      <c r="F848" s="13" t="n">
        <v>6</v>
      </c>
      <c r="G848" s="7" t="s">
        <v>352</v>
      </c>
      <c r="H848" s="7" t="s">
        <v>513</v>
      </c>
    </row>
    <row r="849" customFormat="false" ht="15" hidden="false" customHeight="false" outlineLevel="0" collapsed="false">
      <c r="A849" s="7" t="s">
        <v>289</v>
      </c>
      <c r="B849" s="13" t="n">
        <v>32</v>
      </c>
      <c r="C849" s="7" t="s">
        <v>504</v>
      </c>
      <c r="D849" s="7" t="s">
        <v>235</v>
      </c>
      <c r="E849" s="7" t="s">
        <v>353</v>
      </c>
      <c r="F849" s="13" t="n">
        <v>4</v>
      </c>
      <c r="G849" s="7" t="s">
        <v>354</v>
      </c>
      <c r="H849" s="7" t="s">
        <v>513</v>
      </c>
    </row>
    <row r="850" customFormat="false" ht="15" hidden="false" customHeight="false" outlineLevel="0" collapsed="false">
      <c r="A850" s="7" t="s">
        <v>289</v>
      </c>
      <c r="B850" s="13" t="n">
        <v>33</v>
      </c>
      <c r="C850" s="7" t="s">
        <v>504</v>
      </c>
      <c r="D850" s="7" t="s">
        <v>235</v>
      </c>
      <c r="E850" s="7" t="s">
        <v>355</v>
      </c>
      <c r="F850" s="13" t="n">
        <v>5</v>
      </c>
      <c r="G850" s="7" t="s">
        <v>356</v>
      </c>
      <c r="H850" s="7" t="s">
        <v>513</v>
      </c>
    </row>
    <row r="851" customFormat="false" ht="15" hidden="false" customHeight="false" outlineLevel="0" collapsed="false">
      <c r="A851" s="7" t="s">
        <v>289</v>
      </c>
      <c r="B851" s="13" t="n">
        <v>34</v>
      </c>
      <c r="C851" s="7" t="s">
        <v>504</v>
      </c>
      <c r="D851" s="7" t="s">
        <v>235</v>
      </c>
      <c r="E851" s="7" t="s">
        <v>357</v>
      </c>
      <c r="F851" s="13" t="n">
        <v>3</v>
      </c>
      <c r="G851" s="7" t="s">
        <v>358</v>
      </c>
      <c r="H851" s="7" t="s">
        <v>513</v>
      </c>
    </row>
    <row r="852" customFormat="false" ht="15" hidden="false" customHeight="false" outlineLevel="0" collapsed="false">
      <c r="A852" s="7" t="s">
        <v>289</v>
      </c>
      <c r="B852" s="13" t="n">
        <v>35</v>
      </c>
      <c r="C852" s="7" t="s">
        <v>504</v>
      </c>
      <c r="D852" s="7" t="s">
        <v>235</v>
      </c>
      <c r="E852" s="7" t="s">
        <v>359</v>
      </c>
      <c r="F852" s="13" t="n">
        <v>8</v>
      </c>
      <c r="G852" s="7" t="s">
        <v>360</v>
      </c>
      <c r="H852" s="7" t="s">
        <v>513</v>
      </c>
    </row>
    <row r="853" customFormat="false" ht="15" hidden="false" customHeight="false" outlineLevel="0" collapsed="false">
      <c r="A853" s="7" t="s">
        <v>289</v>
      </c>
      <c r="B853" s="13" t="n">
        <v>36</v>
      </c>
      <c r="C853" s="7" t="s">
        <v>504</v>
      </c>
      <c r="D853" s="7" t="s">
        <v>235</v>
      </c>
      <c r="E853" s="7" t="s">
        <v>361</v>
      </c>
      <c r="F853" s="13" t="n">
        <v>8</v>
      </c>
      <c r="G853" s="7" t="s">
        <v>362</v>
      </c>
      <c r="H853" s="7" t="s">
        <v>513</v>
      </c>
    </row>
    <row r="854" customFormat="false" ht="15" hidden="false" customHeight="false" outlineLevel="0" collapsed="false">
      <c r="A854" s="7" t="s">
        <v>289</v>
      </c>
      <c r="B854" s="13" t="n">
        <v>37</v>
      </c>
      <c r="C854" s="7" t="s">
        <v>504</v>
      </c>
      <c r="D854" s="7" t="s">
        <v>235</v>
      </c>
      <c r="E854" s="7" t="s">
        <v>363</v>
      </c>
      <c r="F854" s="13" t="n">
        <v>10</v>
      </c>
      <c r="G854" s="7" t="s">
        <v>364</v>
      </c>
      <c r="H854" s="7" t="s">
        <v>513</v>
      </c>
    </row>
    <row r="855" customFormat="false" ht="15" hidden="false" customHeight="false" outlineLevel="0" collapsed="false">
      <c r="A855" s="7" t="s">
        <v>289</v>
      </c>
      <c r="B855" s="13" t="n">
        <v>38</v>
      </c>
      <c r="C855" s="7" t="s">
        <v>504</v>
      </c>
      <c r="D855" s="7" t="s">
        <v>235</v>
      </c>
      <c r="E855" s="7" t="s">
        <v>365</v>
      </c>
      <c r="F855" s="13" t="n">
        <v>10</v>
      </c>
      <c r="G855" s="7" t="s">
        <v>364</v>
      </c>
      <c r="H855" s="7" t="s">
        <v>513</v>
      </c>
    </row>
    <row r="856" customFormat="false" ht="15" hidden="false" customHeight="false" outlineLevel="0" collapsed="false">
      <c r="A856" s="7" t="s">
        <v>289</v>
      </c>
      <c r="B856" s="13" t="n">
        <v>39</v>
      </c>
      <c r="C856" s="7" t="s">
        <v>504</v>
      </c>
      <c r="D856" s="7" t="s">
        <v>240</v>
      </c>
      <c r="E856" s="7" t="s">
        <v>366</v>
      </c>
      <c r="F856" s="13" t="n">
        <v>8</v>
      </c>
      <c r="G856" s="7" t="s">
        <v>367</v>
      </c>
      <c r="H856" s="7" t="s">
        <v>513</v>
      </c>
    </row>
    <row r="857" customFormat="false" ht="15" hidden="false" customHeight="false" outlineLevel="0" collapsed="false">
      <c r="A857" s="7" t="s">
        <v>289</v>
      </c>
      <c r="B857" s="13" t="n">
        <v>40</v>
      </c>
      <c r="C857" s="7" t="s">
        <v>504</v>
      </c>
      <c r="D857" s="7" t="s">
        <v>240</v>
      </c>
      <c r="E857" s="7" t="s">
        <v>368</v>
      </c>
      <c r="F857" s="13" t="n">
        <v>6</v>
      </c>
      <c r="G857" s="7" t="s">
        <v>369</v>
      </c>
      <c r="H857" s="7" t="s">
        <v>513</v>
      </c>
    </row>
    <row r="858" customFormat="false" ht="15" hidden="false" customHeight="false" outlineLevel="0" collapsed="false">
      <c r="A858" s="7" t="s">
        <v>289</v>
      </c>
      <c r="B858" s="13" t="n">
        <v>41</v>
      </c>
      <c r="C858" s="7" t="s">
        <v>504</v>
      </c>
      <c r="D858" s="7" t="s">
        <v>240</v>
      </c>
      <c r="E858" s="7" t="s">
        <v>370</v>
      </c>
      <c r="F858" s="13" t="n">
        <v>6</v>
      </c>
      <c r="G858" s="7" t="s">
        <v>371</v>
      </c>
      <c r="H858" s="7" t="s">
        <v>513</v>
      </c>
    </row>
    <row r="859" customFormat="false" ht="15" hidden="false" customHeight="false" outlineLevel="0" collapsed="false">
      <c r="A859" s="7" t="s">
        <v>289</v>
      </c>
      <c r="B859" s="13" t="n">
        <v>42</v>
      </c>
      <c r="C859" s="7" t="s">
        <v>504</v>
      </c>
      <c r="D859" s="7" t="s">
        <v>240</v>
      </c>
      <c r="E859" s="7" t="s">
        <v>372</v>
      </c>
      <c r="F859" s="13" t="n">
        <v>6</v>
      </c>
      <c r="G859" s="7" t="s">
        <v>373</v>
      </c>
      <c r="H859" s="7" t="s">
        <v>513</v>
      </c>
    </row>
    <row r="860" customFormat="false" ht="15" hidden="false" customHeight="false" outlineLevel="0" collapsed="false">
      <c r="A860" s="7" t="s">
        <v>289</v>
      </c>
      <c r="B860" s="13" t="n">
        <v>43</v>
      </c>
      <c r="C860" s="7" t="s">
        <v>504</v>
      </c>
      <c r="D860" s="7" t="s">
        <v>240</v>
      </c>
      <c r="E860" s="7" t="s">
        <v>374</v>
      </c>
      <c r="F860" s="13" t="n">
        <v>8</v>
      </c>
      <c r="G860" s="7" t="s">
        <v>375</v>
      </c>
      <c r="H860" s="7" t="s">
        <v>513</v>
      </c>
    </row>
    <row r="861" customFormat="false" ht="15" hidden="false" customHeight="false" outlineLevel="0" collapsed="false">
      <c r="A861" s="7" t="s">
        <v>289</v>
      </c>
      <c r="B861" s="13" t="n">
        <v>44</v>
      </c>
      <c r="C861" s="7" t="s">
        <v>504</v>
      </c>
      <c r="D861" s="7" t="s">
        <v>240</v>
      </c>
      <c r="E861" s="7" t="s">
        <v>376</v>
      </c>
      <c r="F861" s="13" t="n">
        <v>4</v>
      </c>
      <c r="G861" s="7" t="s">
        <v>377</v>
      </c>
      <c r="H861" s="7" t="s">
        <v>513</v>
      </c>
    </row>
    <row r="862" customFormat="false" ht="15" hidden="false" customHeight="false" outlineLevel="0" collapsed="false">
      <c r="A862" s="7" t="s">
        <v>289</v>
      </c>
      <c r="B862" s="13" t="n">
        <v>45</v>
      </c>
      <c r="C862" s="7" t="s">
        <v>504</v>
      </c>
      <c r="D862" s="7" t="s">
        <v>240</v>
      </c>
      <c r="E862" s="7" t="s">
        <v>378</v>
      </c>
      <c r="F862" s="13" t="n">
        <v>6</v>
      </c>
      <c r="G862" s="7" t="s">
        <v>379</v>
      </c>
      <c r="H862" s="7" t="s">
        <v>513</v>
      </c>
    </row>
    <row r="863" customFormat="false" ht="15" hidden="false" customHeight="false" outlineLevel="0" collapsed="false">
      <c r="A863" s="7" t="s">
        <v>289</v>
      </c>
      <c r="B863" s="13" t="n">
        <v>46</v>
      </c>
      <c r="C863" s="7" t="s">
        <v>504</v>
      </c>
      <c r="D863" s="7" t="s">
        <v>240</v>
      </c>
      <c r="E863" s="7" t="s">
        <v>380</v>
      </c>
      <c r="F863" s="13" t="n">
        <v>8</v>
      </c>
      <c r="G863" s="7" t="s">
        <v>381</v>
      </c>
      <c r="H863" s="7" t="s">
        <v>513</v>
      </c>
    </row>
    <row r="864" customFormat="false" ht="15" hidden="false" customHeight="false" outlineLevel="0" collapsed="false">
      <c r="A864" s="7" t="s">
        <v>289</v>
      </c>
      <c r="B864" s="13" t="n">
        <v>47</v>
      </c>
      <c r="C864" s="7" t="s">
        <v>504</v>
      </c>
      <c r="D864" s="7" t="s">
        <v>246</v>
      </c>
      <c r="E864" s="7" t="s">
        <v>382</v>
      </c>
      <c r="F864" s="13" t="n">
        <v>4</v>
      </c>
      <c r="G864" s="7" t="s">
        <v>383</v>
      </c>
      <c r="H864" s="7" t="s">
        <v>513</v>
      </c>
    </row>
    <row r="865" customFormat="false" ht="15" hidden="false" customHeight="false" outlineLevel="0" collapsed="false">
      <c r="A865" s="7" t="s">
        <v>289</v>
      </c>
      <c r="B865" s="13" t="n">
        <v>48</v>
      </c>
      <c r="C865" s="7" t="s">
        <v>504</v>
      </c>
      <c r="D865" s="7" t="s">
        <v>246</v>
      </c>
      <c r="E865" s="7" t="s">
        <v>384</v>
      </c>
      <c r="F865" s="13" t="n">
        <v>4</v>
      </c>
      <c r="G865" s="7" t="s">
        <v>385</v>
      </c>
      <c r="H865" s="7" t="s">
        <v>513</v>
      </c>
    </row>
    <row r="866" customFormat="false" ht="15" hidden="false" customHeight="false" outlineLevel="0" collapsed="false">
      <c r="A866" s="7" t="s">
        <v>289</v>
      </c>
      <c r="B866" s="13" t="n">
        <v>49</v>
      </c>
      <c r="C866" s="7" t="s">
        <v>504</v>
      </c>
      <c r="D866" s="7" t="s">
        <v>246</v>
      </c>
      <c r="E866" s="7" t="s">
        <v>386</v>
      </c>
      <c r="F866" s="13" t="n">
        <v>10</v>
      </c>
      <c r="G866" s="7" t="s">
        <v>387</v>
      </c>
      <c r="H866" s="7" t="s">
        <v>513</v>
      </c>
    </row>
    <row r="867" customFormat="false" ht="15" hidden="false" customHeight="false" outlineLevel="0" collapsed="false">
      <c r="A867" s="7" t="s">
        <v>289</v>
      </c>
      <c r="B867" s="13" t="n">
        <v>50</v>
      </c>
      <c r="C867" s="7" t="s">
        <v>504</v>
      </c>
      <c r="D867" s="7" t="s">
        <v>246</v>
      </c>
      <c r="E867" s="7" t="s">
        <v>388</v>
      </c>
      <c r="F867" s="13" t="n">
        <v>6</v>
      </c>
      <c r="G867" s="7" t="s">
        <v>389</v>
      </c>
      <c r="H867" s="7" t="s">
        <v>513</v>
      </c>
    </row>
    <row r="868" customFormat="false" ht="15" hidden="false" customHeight="false" outlineLevel="0" collapsed="false">
      <c r="A868" s="7" t="s">
        <v>289</v>
      </c>
      <c r="B868" s="13" t="n">
        <v>51</v>
      </c>
      <c r="C868" s="7" t="s">
        <v>504</v>
      </c>
      <c r="D868" s="7" t="s">
        <v>246</v>
      </c>
      <c r="E868" s="7" t="s">
        <v>390</v>
      </c>
      <c r="F868" s="13" t="n">
        <v>6</v>
      </c>
      <c r="G868" s="7" t="s">
        <v>391</v>
      </c>
      <c r="H868" s="7" t="s">
        <v>513</v>
      </c>
    </row>
    <row r="869" customFormat="false" ht="15" hidden="false" customHeight="false" outlineLevel="0" collapsed="false">
      <c r="A869" s="7" t="s">
        <v>289</v>
      </c>
      <c r="B869" s="13" t="n">
        <v>52</v>
      </c>
      <c r="C869" s="7" t="s">
        <v>504</v>
      </c>
      <c r="D869" s="7" t="s">
        <v>246</v>
      </c>
      <c r="E869" s="7" t="s">
        <v>392</v>
      </c>
      <c r="F869" s="13" t="n">
        <v>6</v>
      </c>
      <c r="G869" s="7" t="s">
        <v>393</v>
      </c>
      <c r="H869" s="7" t="s">
        <v>513</v>
      </c>
    </row>
    <row r="870" customFormat="false" ht="15" hidden="false" customHeight="false" outlineLevel="0" collapsed="false">
      <c r="A870" s="7" t="s">
        <v>289</v>
      </c>
      <c r="B870" s="13" t="n">
        <v>53</v>
      </c>
      <c r="C870" s="7" t="s">
        <v>504</v>
      </c>
      <c r="D870" s="7" t="s">
        <v>394</v>
      </c>
      <c r="E870" s="7" t="s">
        <v>395</v>
      </c>
      <c r="F870" s="13" t="n">
        <v>8</v>
      </c>
      <c r="G870" s="7" t="s">
        <v>396</v>
      </c>
      <c r="H870" s="7" t="s">
        <v>513</v>
      </c>
    </row>
    <row r="871" customFormat="false" ht="15" hidden="false" customHeight="false" outlineLevel="0" collapsed="false">
      <c r="A871" s="7" t="s">
        <v>289</v>
      </c>
      <c r="B871" s="13" t="n">
        <v>54</v>
      </c>
      <c r="C871" s="7" t="s">
        <v>504</v>
      </c>
      <c r="D871" s="7" t="s">
        <v>394</v>
      </c>
      <c r="E871" s="7" t="s">
        <v>397</v>
      </c>
      <c r="F871" s="13" t="n">
        <v>4</v>
      </c>
      <c r="G871" s="7" t="s">
        <v>398</v>
      </c>
      <c r="H871" s="7" t="s">
        <v>513</v>
      </c>
    </row>
    <row r="872" customFormat="false" ht="15" hidden="false" customHeight="false" outlineLevel="0" collapsed="false">
      <c r="A872" s="7" t="s">
        <v>289</v>
      </c>
      <c r="B872" s="13" t="n">
        <v>55</v>
      </c>
      <c r="C872" s="7" t="s">
        <v>504</v>
      </c>
      <c r="D872" s="7" t="s">
        <v>394</v>
      </c>
      <c r="E872" s="7" t="s">
        <v>399</v>
      </c>
      <c r="F872" s="13" t="n">
        <v>4</v>
      </c>
      <c r="G872" s="7" t="s">
        <v>400</v>
      </c>
      <c r="H872" s="7" t="s">
        <v>513</v>
      </c>
    </row>
    <row r="873" customFormat="false" ht="15" hidden="false" customHeight="false" outlineLevel="0" collapsed="false">
      <c r="A873" s="7" t="s">
        <v>289</v>
      </c>
      <c r="B873" s="13" t="n">
        <v>56</v>
      </c>
      <c r="C873" s="7" t="s">
        <v>504</v>
      </c>
      <c r="D873" s="7" t="s">
        <v>394</v>
      </c>
      <c r="E873" s="7" t="s">
        <v>401</v>
      </c>
      <c r="F873" s="13" t="n">
        <v>5</v>
      </c>
      <c r="G873" s="7" t="s">
        <v>402</v>
      </c>
      <c r="H873" s="7" t="s">
        <v>513</v>
      </c>
    </row>
    <row r="874" customFormat="false" ht="15" hidden="false" customHeight="false" outlineLevel="0" collapsed="false">
      <c r="A874" s="7" t="s">
        <v>289</v>
      </c>
      <c r="B874" s="13" t="n">
        <v>57</v>
      </c>
      <c r="C874" s="7" t="s">
        <v>504</v>
      </c>
      <c r="D874" s="7" t="s">
        <v>394</v>
      </c>
      <c r="E874" s="7" t="s">
        <v>403</v>
      </c>
      <c r="F874" s="13" t="n">
        <v>8</v>
      </c>
      <c r="G874" s="7" t="s">
        <v>404</v>
      </c>
      <c r="H874" s="7" t="s">
        <v>513</v>
      </c>
    </row>
    <row r="875" customFormat="false" ht="15" hidden="false" customHeight="false" outlineLevel="0" collapsed="false">
      <c r="A875" s="7" t="s">
        <v>289</v>
      </c>
      <c r="B875" s="13" t="n">
        <v>58</v>
      </c>
      <c r="C875" s="7" t="s">
        <v>504</v>
      </c>
      <c r="D875" s="7" t="s">
        <v>394</v>
      </c>
      <c r="E875" s="7" t="s">
        <v>405</v>
      </c>
      <c r="F875" s="13" t="n">
        <v>3</v>
      </c>
      <c r="G875" s="7" t="s">
        <v>406</v>
      </c>
      <c r="H875" s="7" t="s">
        <v>513</v>
      </c>
    </row>
    <row r="876" customFormat="false" ht="15" hidden="false" customHeight="false" outlineLevel="0" collapsed="false">
      <c r="A876" s="7" t="s">
        <v>289</v>
      </c>
      <c r="B876" s="13" t="n">
        <v>59</v>
      </c>
      <c r="C876" s="7" t="s">
        <v>504</v>
      </c>
      <c r="D876" s="7" t="s">
        <v>260</v>
      </c>
      <c r="E876" s="7" t="s">
        <v>407</v>
      </c>
      <c r="F876" s="13" t="n">
        <v>6</v>
      </c>
      <c r="G876" s="7" t="s">
        <v>408</v>
      </c>
      <c r="H876" s="7" t="s">
        <v>513</v>
      </c>
    </row>
    <row r="877" customFormat="false" ht="15" hidden="false" customHeight="false" outlineLevel="0" collapsed="false">
      <c r="A877" s="7" t="s">
        <v>289</v>
      </c>
      <c r="B877" s="13" t="n">
        <v>60</v>
      </c>
      <c r="C877" s="7" t="s">
        <v>504</v>
      </c>
      <c r="D877" s="7" t="s">
        <v>260</v>
      </c>
      <c r="E877" s="7" t="s">
        <v>409</v>
      </c>
      <c r="F877" s="13" t="n">
        <v>4</v>
      </c>
      <c r="G877" s="7" t="s">
        <v>410</v>
      </c>
      <c r="H877" s="7" t="s">
        <v>513</v>
      </c>
    </row>
    <row r="878" customFormat="false" ht="15" hidden="false" customHeight="false" outlineLevel="0" collapsed="false">
      <c r="A878" s="7" t="s">
        <v>289</v>
      </c>
      <c r="B878" s="13" t="n">
        <v>61</v>
      </c>
      <c r="C878" s="7" t="s">
        <v>504</v>
      </c>
      <c r="D878" s="7" t="s">
        <v>266</v>
      </c>
      <c r="E878" s="7" t="s">
        <v>411</v>
      </c>
      <c r="F878" s="13" t="n">
        <v>5</v>
      </c>
      <c r="G878" s="7" t="s">
        <v>412</v>
      </c>
      <c r="H878" s="7" t="s">
        <v>513</v>
      </c>
    </row>
    <row r="879" customFormat="false" ht="15" hidden="false" customHeight="false" outlineLevel="0" collapsed="false">
      <c r="A879" s="7" t="s">
        <v>289</v>
      </c>
      <c r="B879" s="13" t="n">
        <v>62</v>
      </c>
      <c r="C879" s="7" t="s">
        <v>504</v>
      </c>
      <c r="D879" s="7" t="s">
        <v>266</v>
      </c>
      <c r="E879" s="7" t="s">
        <v>413</v>
      </c>
      <c r="F879" s="13" t="n">
        <v>8</v>
      </c>
      <c r="G879" s="7" t="s">
        <v>414</v>
      </c>
      <c r="H879" s="7" t="s">
        <v>513</v>
      </c>
    </row>
    <row r="880" customFormat="false" ht="15" hidden="false" customHeight="false" outlineLevel="0" collapsed="false">
      <c r="A880" s="7" t="s">
        <v>289</v>
      </c>
      <c r="B880" s="13" t="n">
        <v>63</v>
      </c>
      <c r="C880" s="7" t="s">
        <v>504</v>
      </c>
      <c r="D880" s="7" t="s">
        <v>266</v>
      </c>
      <c r="E880" s="7" t="s">
        <v>415</v>
      </c>
      <c r="F880" s="13" t="n">
        <v>5</v>
      </c>
      <c r="G880" s="7" t="s">
        <v>416</v>
      </c>
      <c r="H880" s="7" t="s">
        <v>513</v>
      </c>
    </row>
    <row r="881" customFormat="false" ht="15" hidden="false" customHeight="false" outlineLevel="0" collapsed="false">
      <c r="A881" s="7" t="s">
        <v>289</v>
      </c>
      <c r="B881" s="13" t="n">
        <v>64</v>
      </c>
      <c r="C881" s="7" t="s">
        <v>504</v>
      </c>
      <c r="D881" s="7" t="s">
        <v>266</v>
      </c>
      <c r="E881" s="7" t="s">
        <v>417</v>
      </c>
      <c r="F881" s="13" t="n">
        <v>4</v>
      </c>
      <c r="G881" s="7" t="s">
        <v>418</v>
      </c>
      <c r="H881" s="7" t="s">
        <v>513</v>
      </c>
    </row>
    <row r="882" customFormat="false" ht="15" hidden="false" customHeight="false" outlineLevel="0" collapsed="false">
      <c r="A882" s="7" t="s">
        <v>289</v>
      </c>
      <c r="B882" s="13" t="n">
        <v>65</v>
      </c>
      <c r="C882" s="7" t="s">
        <v>504</v>
      </c>
      <c r="D882" s="7" t="s">
        <v>271</v>
      </c>
      <c r="E882" s="7" t="s">
        <v>419</v>
      </c>
      <c r="F882" s="13" t="n">
        <v>4</v>
      </c>
      <c r="G882" s="7" t="s">
        <v>420</v>
      </c>
      <c r="H882" s="7" t="s">
        <v>513</v>
      </c>
    </row>
    <row r="883" customFormat="false" ht="15" hidden="false" customHeight="false" outlineLevel="0" collapsed="false">
      <c r="A883" s="7" t="s">
        <v>289</v>
      </c>
      <c r="B883" s="13" t="n">
        <v>66</v>
      </c>
      <c r="C883" s="7" t="s">
        <v>504</v>
      </c>
      <c r="D883" s="7" t="s">
        <v>271</v>
      </c>
      <c r="E883" s="7" t="s">
        <v>421</v>
      </c>
      <c r="F883" s="13" t="n">
        <v>5</v>
      </c>
      <c r="G883" s="7" t="s">
        <v>422</v>
      </c>
      <c r="H883" s="7" t="s">
        <v>513</v>
      </c>
    </row>
    <row r="884" customFormat="false" ht="15" hidden="false" customHeight="false" outlineLevel="0" collapsed="false">
      <c r="A884" s="7" t="s">
        <v>289</v>
      </c>
      <c r="B884" s="13" t="n">
        <v>67</v>
      </c>
      <c r="C884" s="7" t="s">
        <v>504</v>
      </c>
      <c r="D884" s="7" t="s">
        <v>276</v>
      </c>
      <c r="E884" s="7" t="s">
        <v>423</v>
      </c>
      <c r="F884" s="13" t="n">
        <v>20</v>
      </c>
      <c r="G884" s="7" t="s">
        <v>424</v>
      </c>
      <c r="H884" s="7" t="s">
        <v>513</v>
      </c>
    </row>
    <row r="885" customFormat="false" ht="15" hidden="false" customHeight="false" outlineLevel="0" collapsed="false">
      <c r="A885" s="7" t="s">
        <v>289</v>
      </c>
      <c r="B885" s="13" t="n">
        <v>68</v>
      </c>
      <c r="C885" s="7" t="s">
        <v>504</v>
      </c>
      <c r="D885" s="7" t="s">
        <v>276</v>
      </c>
      <c r="E885" s="7" t="s">
        <v>425</v>
      </c>
      <c r="F885" s="13" t="n">
        <v>4</v>
      </c>
      <c r="G885" s="7" t="s">
        <v>426</v>
      </c>
      <c r="H885" s="7" t="s">
        <v>513</v>
      </c>
    </row>
    <row r="886" customFormat="false" ht="15" hidden="false" customHeight="false" outlineLevel="0" collapsed="false">
      <c r="A886" s="7" t="s">
        <v>289</v>
      </c>
      <c r="B886" s="13" t="n">
        <v>69</v>
      </c>
      <c r="C886" s="7" t="s">
        <v>504</v>
      </c>
      <c r="D886" s="7" t="s">
        <v>276</v>
      </c>
      <c r="E886" s="7" t="s">
        <v>427</v>
      </c>
      <c r="F886" s="13" t="n">
        <v>3</v>
      </c>
      <c r="G886" s="7" t="s">
        <v>428</v>
      </c>
      <c r="H886" s="7" t="s">
        <v>513</v>
      </c>
    </row>
    <row r="887" customFormat="false" ht="15" hidden="false" customHeight="false" outlineLevel="0" collapsed="false">
      <c r="A887" s="7" t="s">
        <v>289</v>
      </c>
      <c r="B887" s="13" t="n">
        <v>70</v>
      </c>
      <c r="C887" s="7" t="s">
        <v>504</v>
      </c>
      <c r="D887" s="7" t="s">
        <v>276</v>
      </c>
      <c r="E887" s="7" t="s">
        <v>429</v>
      </c>
      <c r="F887" s="13" t="n">
        <v>6</v>
      </c>
      <c r="G887" s="7" t="s">
        <v>430</v>
      </c>
      <c r="H887" s="7" t="s">
        <v>513</v>
      </c>
    </row>
    <row r="888" customFormat="false" ht="15" hidden="false" customHeight="false" outlineLevel="0" collapsed="false">
      <c r="A888" s="7" t="s">
        <v>289</v>
      </c>
      <c r="B888" s="13" t="n">
        <v>71</v>
      </c>
      <c r="C888" s="7" t="s">
        <v>504</v>
      </c>
      <c r="D888" s="7" t="s">
        <v>276</v>
      </c>
      <c r="E888" s="7" t="s">
        <v>431</v>
      </c>
      <c r="F888" s="13" t="n">
        <v>10</v>
      </c>
      <c r="G888" s="7" t="s">
        <v>432</v>
      </c>
      <c r="H888" s="7" t="s">
        <v>513</v>
      </c>
    </row>
    <row r="889" customFormat="false" ht="15" hidden="false" customHeight="false" outlineLevel="0" collapsed="false">
      <c r="A889" s="7" t="s">
        <v>289</v>
      </c>
      <c r="B889" s="13" t="n">
        <v>72</v>
      </c>
      <c r="C889" s="7" t="s">
        <v>504</v>
      </c>
      <c r="D889" s="7" t="s">
        <v>246</v>
      </c>
      <c r="E889" s="7" t="s">
        <v>514</v>
      </c>
      <c r="F889" s="13" t="n">
        <v>3</v>
      </c>
      <c r="G889" s="7" t="s">
        <v>515</v>
      </c>
      <c r="H889" s="7" t="s">
        <v>513</v>
      </c>
    </row>
    <row r="890" customFormat="false" ht="15" hidden="false" customHeight="false" outlineLevel="0" collapsed="false">
      <c r="A890" s="7" t="s">
        <v>289</v>
      </c>
      <c r="B890" s="13" t="n">
        <v>73</v>
      </c>
      <c r="C890" s="7" t="s">
        <v>504</v>
      </c>
      <c r="D890" s="7" t="s">
        <v>246</v>
      </c>
      <c r="E890" s="7" t="s">
        <v>516</v>
      </c>
      <c r="F890" s="13" t="n">
        <v>3</v>
      </c>
      <c r="G890" s="7" t="s">
        <v>517</v>
      </c>
      <c r="H890" s="7" t="s">
        <v>513</v>
      </c>
    </row>
    <row r="891" customFormat="false" ht="15" hidden="false" customHeight="false" outlineLevel="0" collapsed="false">
      <c r="A891" s="7" t="s">
        <v>289</v>
      </c>
      <c r="B891" s="13" t="n">
        <v>74</v>
      </c>
      <c r="C891" s="7" t="s">
        <v>504</v>
      </c>
      <c r="D891" s="7" t="s">
        <v>246</v>
      </c>
      <c r="E891" s="7" t="s">
        <v>518</v>
      </c>
      <c r="F891" s="13" t="n">
        <v>4</v>
      </c>
      <c r="G891" s="7" t="s">
        <v>519</v>
      </c>
      <c r="H891" s="7" t="s">
        <v>513</v>
      </c>
    </row>
    <row r="892" customFormat="false" ht="15" hidden="false" customHeight="false" outlineLevel="0" collapsed="false">
      <c r="A892" s="7" t="s">
        <v>289</v>
      </c>
      <c r="B892" s="13" t="n">
        <v>75</v>
      </c>
      <c r="C892" s="7" t="s">
        <v>504</v>
      </c>
      <c r="D892" s="7" t="s">
        <v>246</v>
      </c>
      <c r="E892" s="7" t="s">
        <v>520</v>
      </c>
      <c r="F892" s="13" t="n">
        <v>4</v>
      </c>
      <c r="G892" s="7" t="s">
        <v>521</v>
      </c>
      <c r="H892" s="7" t="s">
        <v>513</v>
      </c>
    </row>
    <row r="893" customFormat="false" ht="15" hidden="false" customHeight="false" outlineLevel="0" collapsed="false">
      <c r="A893" s="7" t="s">
        <v>289</v>
      </c>
      <c r="B893" s="13" t="n">
        <v>76</v>
      </c>
      <c r="C893" s="7" t="s">
        <v>504</v>
      </c>
      <c r="D893" s="7" t="s">
        <v>246</v>
      </c>
      <c r="E893" s="7" t="s">
        <v>522</v>
      </c>
      <c r="F893" s="13" t="n">
        <v>5</v>
      </c>
      <c r="G893" s="7" t="s">
        <v>523</v>
      </c>
      <c r="H893" s="7" t="s">
        <v>513</v>
      </c>
    </row>
    <row r="894" customFormat="false" ht="15" hidden="false" customHeight="false" outlineLevel="0" collapsed="false">
      <c r="A894" s="7" t="s">
        <v>289</v>
      </c>
      <c r="B894" s="13" t="n">
        <v>77</v>
      </c>
      <c r="C894" s="7" t="s">
        <v>504</v>
      </c>
      <c r="D894" s="7" t="s">
        <v>246</v>
      </c>
      <c r="E894" s="7" t="s">
        <v>524</v>
      </c>
      <c r="F894" s="13" t="n">
        <v>3</v>
      </c>
      <c r="G894" s="7" t="s">
        <v>525</v>
      </c>
      <c r="H894" s="7" t="s">
        <v>513</v>
      </c>
    </row>
    <row r="895" customFormat="false" ht="15" hidden="false" customHeight="false" outlineLevel="0" collapsed="false">
      <c r="A895" s="7" t="s">
        <v>289</v>
      </c>
      <c r="B895" s="13" t="n">
        <v>78</v>
      </c>
      <c r="C895" s="7" t="s">
        <v>504</v>
      </c>
      <c r="D895" s="7" t="s">
        <v>266</v>
      </c>
      <c r="E895" s="7" t="s">
        <v>526</v>
      </c>
      <c r="F895" s="13" t="n">
        <v>4</v>
      </c>
      <c r="G895" s="7" t="s">
        <v>527</v>
      </c>
      <c r="H895" s="7" t="s">
        <v>513</v>
      </c>
    </row>
    <row r="896" customFormat="false" ht="15" hidden="false" customHeight="false" outlineLevel="0" collapsed="false">
      <c r="A896" s="7" t="s">
        <v>289</v>
      </c>
      <c r="B896" s="13" t="n">
        <v>79</v>
      </c>
      <c r="C896" s="7" t="s">
        <v>504</v>
      </c>
      <c r="D896" s="7" t="s">
        <v>266</v>
      </c>
      <c r="E896" s="7" t="s">
        <v>528</v>
      </c>
      <c r="F896" s="13" t="n">
        <v>6</v>
      </c>
      <c r="G896" s="7" t="s">
        <v>529</v>
      </c>
      <c r="H896" s="7" t="s">
        <v>513</v>
      </c>
    </row>
    <row r="897" customFormat="false" ht="15" hidden="false" customHeight="false" outlineLevel="0" collapsed="false">
      <c r="A897" s="7" t="s">
        <v>289</v>
      </c>
      <c r="B897" s="13" t="n">
        <v>80</v>
      </c>
      <c r="C897" s="7" t="s">
        <v>504</v>
      </c>
      <c r="D897" s="7" t="s">
        <v>266</v>
      </c>
      <c r="E897" s="7" t="s">
        <v>530</v>
      </c>
      <c r="F897" s="13" t="n">
        <v>5</v>
      </c>
      <c r="G897" s="7" t="s">
        <v>531</v>
      </c>
      <c r="H897" s="7" t="s">
        <v>513</v>
      </c>
    </row>
    <row r="898" customFormat="false" ht="15" hidden="false" customHeight="false" outlineLevel="0" collapsed="false">
      <c r="A898" s="7" t="s">
        <v>289</v>
      </c>
      <c r="B898" s="13" t="n">
        <v>81</v>
      </c>
      <c r="C898" s="7" t="s">
        <v>504</v>
      </c>
      <c r="D898" s="7" t="s">
        <v>266</v>
      </c>
      <c r="E898" s="7" t="s">
        <v>532</v>
      </c>
      <c r="F898" s="13" t="n">
        <v>5</v>
      </c>
      <c r="G898" s="7" t="s">
        <v>533</v>
      </c>
      <c r="H898" s="7" t="s">
        <v>513</v>
      </c>
    </row>
    <row r="899" customFormat="false" ht="15" hidden="false" customHeight="false" outlineLevel="0" collapsed="false">
      <c r="A899" s="7" t="s">
        <v>289</v>
      </c>
      <c r="B899" s="13" t="n">
        <v>82</v>
      </c>
      <c r="C899" s="7" t="s">
        <v>504</v>
      </c>
      <c r="D899" s="7" t="s">
        <v>266</v>
      </c>
      <c r="E899" s="7" t="s">
        <v>534</v>
      </c>
      <c r="F899" s="13" t="n">
        <v>3</v>
      </c>
      <c r="G899" s="7" t="s">
        <v>535</v>
      </c>
      <c r="H899" s="7" t="s">
        <v>513</v>
      </c>
    </row>
    <row r="900" customFormat="false" ht="15" hidden="false" customHeight="false" outlineLevel="0" collapsed="false">
      <c r="A900" s="7" t="s">
        <v>289</v>
      </c>
      <c r="B900" s="13" t="n">
        <v>83</v>
      </c>
      <c r="C900" s="7" t="s">
        <v>504</v>
      </c>
      <c r="D900" s="7" t="s">
        <v>266</v>
      </c>
      <c r="E900" s="7" t="s">
        <v>536</v>
      </c>
      <c r="F900" s="13" t="n">
        <v>4</v>
      </c>
      <c r="G900" s="7" t="s">
        <v>537</v>
      </c>
      <c r="H900" s="7" t="s">
        <v>513</v>
      </c>
    </row>
    <row r="901" customFormat="false" ht="15" hidden="false" customHeight="false" outlineLevel="0" collapsed="false">
      <c r="A901" s="7" t="s">
        <v>289</v>
      </c>
      <c r="B901" s="13" t="n">
        <v>84</v>
      </c>
      <c r="C901" s="7" t="s">
        <v>504</v>
      </c>
      <c r="D901" s="7" t="s">
        <v>276</v>
      </c>
      <c r="E901" s="7" t="s">
        <v>538</v>
      </c>
      <c r="F901" s="13" t="n">
        <v>5</v>
      </c>
      <c r="G901" s="7" t="s">
        <v>539</v>
      </c>
      <c r="H901" s="7" t="s">
        <v>513</v>
      </c>
    </row>
    <row r="902" customFormat="false" ht="15" hidden="false" customHeight="false" outlineLevel="0" collapsed="false">
      <c r="A902" s="7" t="s">
        <v>289</v>
      </c>
      <c r="B902" s="13" t="n">
        <v>85</v>
      </c>
      <c r="C902" s="7" t="s">
        <v>504</v>
      </c>
      <c r="D902" s="7" t="s">
        <v>276</v>
      </c>
      <c r="E902" s="7" t="s">
        <v>540</v>
      </c>
      <c r="F902" s="13" t="n">
        <v>3</v>
      </c>
      <c r="G902" s="7" t="s">
        <v>541</v>
      </c>
      <c r="H902" s="7" t="s">
        <v>513</v>
      </c>
    </row>
    <row r="903" customFormat="false" ht="15" hidden="false" customHeight="false" outlineLevel="0" collapsed="false">
      <c r="A903" s="7" t="s">
        <v>289</v>
      </c>
      <c r="B903" s="13" t="n">
        <v>86</v>
      </c>
      <c r="C903" s="7" t="s">
        <v>504</v>
      </c>
      <c r="D903" s="7" t="s">
        <v>276</v>
      </c>
      <c r="E903" s="7" t="s">
        <v>542</v>
      </c>
      <c r="F903" s="13" t="n">
        <v>3</v>
      </c>
      <c r="G903" s="7" t="s">
        <v>543</v>
      </c>
      <c r="H903" s="7" t="s">
        <v>513</v>
      </c>
    </row>
    <row r="904" customFormat="false" ht="15" hidden="false" customHeight="false" outlineLevel="0" collapsed="false">
      <c r="A904" s="7" t="s">
        <v>289</v>
      </c>
      <c r="B904" s="13" t="n">
        <v>87</v>
      </c>
      <c r="C904" s="7" t="s">
        <v>504</v>
      </c>
      <c r="D904" s="7" t="s">
        <v>276</v>
      </c>
      <c r="E904" s="7" t="s">
        <v>544</v>
      </c>
      <c r="F904" s="13" t="n">
        <v>6</v>
      </c>
      <c r="G904" s="7" t="s">
        <v>545</v>
      </c>
      <c r="H904" s="7" t="s">
        <v>513</v>
      </c>
    </row>
    <row r="905" customFormat="false" ht="15" hidden="false" customHeight="false" outlineLevel="0" collapsed="false">
      <c r="A905" s="7" t="s">
        <v>289</v>
      </c>
      <c r="B905" s="13" t="n">
        <v>88</v>
      </c>
      <c r="C905" s="7" t="s">
        <v>504</v>
      </c>
      <c r="D905" s="7" t="s">
        <v>276</v>
      </c>
      <c r="E905" s="7" t="s">
        <v>546</v>
      </c>
      <c r="F905" s="13" t="n">
        <v>5</v>
      </c>
      <c r="G905" s="7" t="s">
        <v>547</v>
      </c>
      <c r="H905" s="7" t="s">
        <v>513</v>
      </c>
    </row>
    <row r="906" customFormat="false" ht="15" hidden="false" customHeight="false" outlineLevel="0" collapsed="false">
      <c r="A906" s="7" t="s">
        <v>289</v>
      </c>
      <c r="B906" s="13" t="n">
        <v>89</v>
      </c>
      <c r="C906" s="7" t="s">
        <v>504</v>
      </c>
      <c r="D906" s="7" t="s">
        <v>276</v>
      </c>
      <c r="E906" s="7" t="s">
        <v>548</v>
      </c>
      <c r="F906" s="13" t="n">
        <v>4</v>
      </c>
      <c r="G906" s="7" t="s">
        <v>549</v>
      </c>
      <c r="H906" s="7" t="s">
        <v>513</v>
      </c>
    </row>
    <row r="907" customFormat="false" ht="15" hidden="false" customHeight="false" outlineLevel="0" collapsed="false">
      <c r="A907" s="7" t="s">
        <v>289</v>
      </c>
      <c r="B907" s="13" t="n">
        <v>90</v>
      </c>
      <c r="C907" s="7" t="s">
        <v>504</v>
      </c>
      <c r="D907" s="7" t="s">
        <v>276</v>
      </c>
      <c r="E907" s="7" t="s">
        <v>550</v>
      </c>
      <c r="F907" s="13" t="n">
        <v>5</v>
      </c>
      <c r="G907" s="7" t="s">
        <v>551</v>
      </c>
      <c r="H907" s="7" t="s">
        <v>513</v>
      </c>
    </row>
    <row r="908" customFormat="false" ht="15" hidden="false" customHeight="false" outlineLevel="0" collapsed="false">
      <c r="A908" s="7" t="s">
        <v>289</v>
      </c>
      <c r="B908" s="13" t="n">
        <v>91</v>
      </c>
      <c r="C908" s="7" t="s">
        <v>504</v>
      </c>
      <c r="D908" s="7" t="s">
        <v>240</v>
      </c>
      <c r="E908" s="7" t="s">
        <v>552</v>
      </c>
      <c r="F908" s="13" t="n">
        <v>4</v>
      </c>
      <c r="G908" s="7" t="s">
        <v>553</v>
      </c>
      <c r="H908" s="7" t="s">
        <v>513</v>
      </c>
    </row>
    <row r="909" customFormat="false" ht="15" hidden="false" customHeight="false" outlineLevel="0" collapsed="false">
      <c r="A909" s="7" t="s">
        <v>289</v>
      </c>
      <c r="B909" s="13" t="n">
        <v>92</v>
      </c>
      <c r="C909" s="7" t="s">
        <v>504</v>
      </c>
      <c r="D909" s="7" t="s">
        <v>240</v>
      </c>
      <c r="E909" s="7" t="s">
        <v>554</v>
      </c>
      <c r="F909" s="13" t="n">
        <v>4</v>
      </c>
      <c r="G909" s="7" t="s">
        <v>555</v>
      </c>
      <c r="H909" s="7" t="s">
        <v>513</v>
      </c>
    </row>
    <row r="910" customFormat="false" ht="15" hidden="false" customHeight="false" outlineLevel="0" collapsed="false">
      <c r="A910" s="7" t="s">
        <v>289</v>
      </c>
      <c r="B910" s="13" t="n">
        <v>93</v>
      </c>
      <c r="C910" s="7" t="s">
        <v>504</v>
      </c>
      <c r="D910" s="7" t="s">
        <v>240</v>
      </c>
      <c r="E910" s="7" t="s">
        <v>556</v>
      </c>
      <c r="F910" s="13" t="n">
        <v>3</v>
      </c>
      <c r="G910" s="7" t="s">
        <v>557</v>
      </c>
      <c r="H910" s="7" t="s">
        <v>513</v>
      </c>
    </row>
    <row r="911" customFormat="false" ht="15" hidden="false" customHeight="false" outlineLevel="0" collapsed="false">
      <c r="A911" s="7" t="s">
        <v>289</v>
      </c>
      <c r="B911" s="13" t="n">
        <v>94</v>
      </c>
      <c r="C911" s="7" t="s">
        <v>504</v>
      </c>
      <c r="D911" s="7" t="s">
        <v>240</v>
      </c>
      <c r="E911" s="7" t="s">
        <v>558</v>
      </c>
      <c r="F911" s="13" t="n">
        <v>5</v>
      </c>
      <c r="G911" s="7" t="s">
        <v>559</v>
      </c>
      <c r="H911" s="7" t="s">
        <v>513</v>
      </c>
    </row>
    <row r="912" customFormat="false" ht="15" hidden="false" customHeight="false" outlineLevel="0" collapsed="false">
      <c r="A912" s="7" t="s">
        <v>289</v>
      </c>
      <c r="B912" s="13" t="n">
        <v>95</v>
      </c>
      <c r="C912" s="7" t="s">
        <v>504</v>
      </c>
      <c r="D912" s="7" t="s">
        <v>290</v>
      </c>
      <c r="E912" s="7" t="s">
        <v>560</v>
      </c>
      <c r="F912" s="13" t="n">
        <v>3</v>
      </c>
      <c r="G912" s="7" t="s">
        <v>561</v>
      </c>
      <c r="H912" s="7" t="s">
        <v>513</v>
      </c>
    </row>
    <row r="913" customFormat="false" ht="15" hidden="false" customHeight="false" outlineLevel="0" collapsed="false">
      <c r="A913" s="7" t="s">
        <v>289</v>
      </c>
      <c r="B913" s="13" t="n">
        <v>96</v>
      </c>
      <c r="C913" s="7" t="s">
        <v>504</v>
      </c>
      <c r="D913" s="7" t="s">
        <v>290</v>
      </c>
      <c r="E913" s="7" t="s">
        <v>562</v>
      </c>
      <c r="F913" s="13" t="n">
        <v>3</v>
      </c>
      <c r="G913" s="7" t="s">
        <v>563</v>
      </c>
      <c r="H913" s="7" t="s">
        <v>513</v>
      </c>
    </row>
    <row r="914" customFormat="false" ht="15" hidden="false" customHeight="false" outlineLevel="0" collapsed="false">
      <c r="A914" s="7" t="s">
        <v>289</v>
      </c>
      <c r="B914" s="13" t="n">
        <v>97</v>
      </c>
      <c r="C914" s="7" t="s">
        <v>504</v>
      </c>
      <c r="D914" s="7" t="s">
        <v>290</v>
      </c>
      <c r="E914" s="7" t="s">
        <v>564</v>
      </c>
      <c r="F914" s="13" t="n">
        <v>4</v>
      </c>
      <c r="G914" s="7" t="s">
        <v>565</v>
      </c>
      <c r="H914" s="7" t="s">
        <v>513</v>
      </c>
    </row>
    <row r="915" customFormat="false" ht="15" hidden="false" customHeight="false" outlineLevel="0" collapsed="false">
      <c r="A915" s="7" t="s">
        <v>289</v>
      </c>
      <c r="B915" s="13" t="n">
        <v>98</v>
      </c>
      <c r="C915" s="7" t="s">
        <v>504</v>
      </c>
      <c r="D915" s="7" t="s">
        <v>235</v>
      </c>
      <c r="E915" s="7" t="s">
        <v>566</v>
      </c>
      <c r="F915" s="13" t="n">
        <v>3</v>
      </c>
      <c r="G915" s="7" t="s">
        <v>567</v>
      </c>
      <c r="H915" s="7" t="s">
        <v>513</v>
      </c>
    </row>
    <row r="916" customFormat="false" ht="15" hidden="false" customHeight="false" outlineLevel="0" collapsed="false">
      <c r="A916" s="7" t="s">
        <v>289</v>
      </c>
      <c r="B916" s="13" t="n">
        <v>99</v>
      </c>
      <c r="C916" s="7" t="s">
        <v>504</v>
      </c>
      <c r="D916" s="7" t="s">
        <v>235</v>
      </c>
      <c r="E916" s="7" t="s">
        <v>568</v>
      </c>
      <c r="F916" s="13" t="n">
        <v>3</v>
      </c>
      <c r="G916" s="7" t="s">
        <v>569</v>
      </c>
      <c r="H916" s="7" t="s">
        <v>513</v>
      </c>
    </row>
    <row r="917" customFormat="false" ht="15" hidden="false" customHeight="false" outlineLevel="0" collapsed="false">
      <c r="A917" s="7" t="s">
        <v>289</v>
      </c>
      <c r="B917" s="13" t="n">
        <v>100</v>
      </c>
      <c r="C917" s="7" t="s">
        <v>504</v>
      </c>
      <c r="D917" s="7" t="s">
        <v>235</v>
      </c>
      <c r="E917" s="7" t="s">
        <v>570</v>
      </c>
      <c r="F917" s="13" t="n">
        <v>4</v>
      </c>
      <c r="G917" s="7" t="s">
        <v>571</v>
      </c>
      <c r="H917" s="7" t="s">
        <v>513</v>
      </c>
    </row>
    <row r="918" customFormat="false" ht="15" hidden="false" customHeight="false" outlineLevel="0" collapsed="false">
      <c r="A918" s="7" t="s">
        <v>289</v>
      </c>
      <c r="B918" s="13" t="n">
        <v>101</v>
      </c>
      <c r="C918" s="7" t="s">
        <v>504</v>
      </c>
      <c r="D918" s="7" t="s">
        <v>235</v>
      </c>
      <c r="E918" s="7" t="s">
        <v>572</v>
      </c>
      <c r="F918" s="13" t="n">
        <v>4</v>
      </c>
      <c r="G918" s="7" t="s">
        <v>573</v>
      </c>
      <c r="H918" s="7" t="s">
        <v>513</v>
      </c>
    </row>
    <row r="919" customFormat="false" ht="15" hidden="false" customHeight="false" outlineLevel="0" collapsed="false">
      <c r="A919" s="7" t="s">
        <v>289</v>
      </c>
      <c r="B919" s="13" t="n">
        <v>102</v>
      </c>
      <c r="C919" s="7" t="s">
        <v>504</v>
      </c>
      <c r="D919" s="7" t="s">
        <v>394</v>
      </c>
      <c r="E919" s="7" t="s">
        <v>574</v>
      </c>
      <c r="F919" s="13" t="n">
        <v>3</v>
      </c>
      <c r="G919" s="7" t="s">
        <v>575</v>
      </c>
      <c r="H919" s="7" t="s">
        <v>513</v>
      </c>
    </row>
    <row r="920" customFormat="false" ht="15" hidden="false" customHeight="false" outlineLevel="0" collapsed="false">
      <c r="A920" s="7" t="s">
        <v>289</v>
      </c>
      <c r="B920" s="13" t="n">
        <v>103</v>
      </c>
      <c r="C920" s="7" t="s">
        <v>504</v>
      </c>
      <c r="D920" s="7" t="s">
        <v>394</v>
      </c>
      <c r="E920" s="7" t="s">
        <v>576</v>
      </c>
      <c r="F920" s="13" t="n">
        <v>4</v>
      </c>
      <c r="G920" s="7" t="s">
        <v>577</v>
      </c>
      <c r="H920" s="7" t="s">
        <v>513</v>
      </c>
    </row>
    <row r="921" customFormat="false" ht="15" hidden="false" customHeight="false" outlineLevel="0" collapsed="false">
      <c r="A921" s="7" t="s">
        <v>289</v>
      </c>
      <c r="B921" s="13" t="n">
        <v>104</v>
      </c>
      <c r="C921" s="7" t="s">
        <v>504</v>
      </c>
      <c r="D921" s="7" t="s">
        <v>394</v>
      </c>
      <c r="E921" s="7" t="s">
        <v>578</v>
      </c>
      <c r="F921" s="13" t="n">
        <v>4</v>
      </c>
      <c r="G921" s="7" t="s">
        <v>579</v>
      </c>
      <c r="H921" s="7" t="s">
        <v>513</v>
      </c>
    </row>
    <row r="922" customFormat="false" ht="15" hidden="false" customHeight="false" outlineLevel="0" collapsed="false">
      <c r="A922" s="7" t="s">
        <v>289</v>
      </c>
      <c r="B922" s="13" t="n">
        <v>105</v>
      </c>
      <c r="C922" s="7" t="s">
        <v>504</v>
      </c>
      <c r="D922" s="7" t="s">
        <v>394</v>
      </c>
      <c r="E922" s="7" t="s">
        <v>580</v>
      </c>
      <c r="F922" s="13" t="n">
        <v>3</v>
      </c>
      <c r="G922" s="7" t="s">
        <v>581</v>
      </c>
      <c r="H922" s="7" t="s">
        <v>513</v>
      </c>
    </row>
    <row r="923" customFormat="false" ht="15" hidden="false" customHeight="false" outlineLevel="0" collapsed="false">
      <c r="A923" s="7" t="s">
        <v>289</v>
      </c>
      <c r="B923" s="13" t="n">
        <v>106</v>
      </c>
      <c r="C923" s="7" t="s">
        <v>504</v>
      </c>
      <c r="D923" s="7" t="s">
        <v>394</v>
      </c>
      <c r="E923" s="7" t="s">
        <v>582</v>
      </c>
      <c r="F923" s="13" t="n">
        <v>4</v>
      </c>
      <c r="G923" s="7" t="s">
        <v>583</v>
      </c>
      <c r="H923" s="7" t="s">
        <v>513</v>
      </c>
    </row>
    <row r="924" customFormat="false" ht="15" hidden="false" customHeight="false" outlineLevel="0" collapsed="false">
      <c r="A924" s="7" t="s">
        <v>289</v>
      </c>
      <c r="B924" s="13" t="n">
        <v>107</v>
      </c>
      <c r="C924" s="7" t="s">
        <v>504</v>
      </c>
      <c r="D924" s="7" t="s">
        <v>260</v>
      </c>
      <c r="E924" s="7" t="s">
        <v>584</v>
      </c>
      <c r="F924" s="13" t="n">
        <v>5</v>
      </c>
      <c r="G924" s="7" t="s">
        <v>585</v>
      </c>
      <c r="H924" s="7" t="s">
        <v>513</v>
      </c>
    </row>
    <row r="925" customFormat="false" ht="15" hidden="false" customHeight="false" outlineLevel="0" collapsed="false">
      <c r="A925" s="7" t="s">
        <v>289</v>
      </c>
      <c r="B925" s="13" t="n">
        <v>108</v>
      </c>
      <c r="C925" s="7" t="s">
        <v>504</v>
      </c>
      <c r="D925" s="7" t="s">
        <v>260</v>
      </c>
      <c r="E925" s="7" t="s">
        <v>586</v>
      </c>
      <c r="F925" s="13" t="n">
        <v>4</v>
      </c>
      <c r="G925" s="7" t="s">
        <v>587</v>
      </c>
      <c r="H925" s="7" t="s">
        <v>513</v>
      </c>
    </row>
    <row r="926" customFormat="false" ht="15" hidden="false" customHeight="false" outlineLevel="0" collapsed="false">
      <c r="A926" s="7" t="s">
        <v>289</v>
      </c>
      <c r="B926" s="13" t="n">
        <v>109</v>
      </c>
      <c r="C926" s="7" t="s">
        <v>504</v>
      </c>
      <c r="D926" s="7" t="s">
        <v>260</v>
      </c>
      <c r="E926" s="7" t="s">
        <v>588</v>
      </c>
      <c r="F926" s="13" t="n">
        <v>3</v>
      </c>
      <c r="G926" s="7" t="s">
        <v>589</v>
      </c>
      <c r="H926" s="7" t="s">
        <v>513</v>
      </c>
    </row>
    <row r="927" customFormat="false" ht="15" hidden="false" customHeight="false" outlineLevel="0" collapsed="false">
      <c r="A927" s="7" t="s">
        <v>289</v>
      </c>
      <c r="B927" s="13" t="n">
        <v>110</v>
      </c>
      <c r="C927" s="7" t="s">
        <v>504</v>
      </c>
      <c r="D927" s="7" t="s">
        <v>260</v>
      </c>
      <c r="E927" s="7" t="s">
        <v>590</v>
      </c>
      <c r="F927" s="13" t="n">
        <v>3</v>
      </c>
      <c r="G927" s="7" t="s">
        <v>591</v>
      </c>
      <c r="H927" s="7" t="s">
        <v>513</v>
      </c>
    </row>
    <row r="928" customFormat="false" ht="15" hidden="false" customHeight="false" outlineLevel="0" collapsed="false">
      <c r="A928" s="7" t="s">
        <v>289</v>
      </c>
      <c r="B928" s="13" t="n">
        <v>111</v>
      </c>
      <c r="C928" s="7" t="s">
        <v>504</v>
      </c>
      <c r="D928" s="7" t="s">
        <v>260</v>
      </c>
      <c r="E928" s="7" t="s">
        <v>592</v>
      </c>
      <c r="F928" s="13" t="n">
        <v>3</v>
      </c>
      <c r="G928" s="7" t="s">
        <v>593</v>
      </c>
      <c r="H928" s="7" t="s">
        <v>513</v>
      </c>
    </row>
    <row r="929" customFormat="false" ht="15" hidden="false" customHeight="false" outlineLevel="0" collapsed="false">
      <c r="A929" s="7" t="s">
        <v>289</v>
      </c>
      <c r="B929" s="13" t="n">
        <v>112</v>
      </c>
      <c r="C929" s="7" t="s">
        <v>504</v>
      </c>
      <c r="D929" s="7" t="s">
        <v>260</v>
      </c>
      <c r="E929" s="7" t="s">
        <v>594</v>
      </c>
      <c r="F929" s="13" t="n">
        <v>3</v>
      </c>
      <c r="G929" s="7" t="s">
        <v>595</v>
      </c>
      <c r="H929" s="7" t="s">
        <v>513</v>
      </c>
    </row>
    <row r="930" customFormat="false" ht="15" hidden="false" customHeight="false" outlineLevel="0" collapsed="false">
      <c r="A930" s="7" t="s">
        <v>289</v>
      </c>
      <c r="B930" s="13" t="n">
        <v>113</v>
      </c>
      <c r="C930" s="7" t="s">
        <v>504</v>
      </c>
      <c r="D930" s="7" t="s">
        <v>260</v>
      </c>
      <c r="E930" s="7" t="s">
        <v>596</v>
      </c>
      <c r="F930" s="13" t="n">
        <v>6</v>
      </c>
      <c r="G930" s="7" t="s">
        <v>597</v>
      </c>
      <c r="H930" s="7" t="s">
        <v>513</v>
      </c>
    </row>
    <row r="931" customFormat="false" ht="15" hidden="false" customHeight="false" outlineLevel="0" collapsed="false">
      <c r="A931" s="7" t="s">
        <v>289</v>
      </c>
      <c r="B931" s="13" t="n">
        <v>114</v>
      </c>
      <c r="C931" s="7" t="s">
        <v>504</v>
      </c>
      <c r="D931" s="7" t="s">
        <v>260</v>
      </c>
      <c r="E931" s="7" t="s">
        <v>598</v>
      </c>
      <c r="F931" s="13" t="n">
        <v>3</v>
      </c>
      <c r="G931" s="7" t="s">
        <v>599</v>
      </c>
      <c r="H931" s="7" t="s">
        <v>513</v>
      </c>
    </row>
    <row r="932" customFormat="false" ht="15" hidden="false" customHeight="false" outlineLevel="0" collapsed="false">
      <c r="A932" s="7" t="s">
        <v>289</v>
      </c>
      <c r="B932" s="13" t="n">
        <v>115</v>
      </c>
      <c r="C932" s="7" t="s">
        <v>504</v>
      </c>
      <c r="D932" s="7" t="s">
        <v>271</v>
      </c>
      <c r="E932" s="7" t="s">
        <v>600</v>
      </c>
      <c r="F932" s="13" t="n">
        <v>4</v>
      </c>
      <c r="G932" s="7" t="s">
        <v>601</v>
      </c>
      <c r="H932" s="7" t="s">
        <v>513</v>
      </c>
    </row>
    <row r="933" customFormat="false" ht="15" hidden="false" customHeight="false" outlineLevel="0" collapsed="false">
      <c r="A933" s="7" t="s">
        <v>289</v>
      </c>
      <c r="B933" s="13" t="n">
        <v>116</v>
      </c>
      <c r="C933" s="7" t="s">
        <v>504</v>
      </c>
      <c r="D933" s="7" t="s">
        <v>271</v>
      </c>
      <c r="E933" s="7" t="s">
        <v>602</v>
      </c>
      <c r="F933" s="13" t="n">
        <v>6</v>
      </c>
      <c r="G933" s="7" t="s">
        <v>603</v>
      </c>
      <c r="H933" s="7" t="s">
        <v>513</v>
      </c>
    </row>
    <row r="934" customFormat="false" ht="15" hidden="false" customHeight="false" outlineLevel="0" collapsed="false">
      <c r="A934" s="7" t="s">
        <v>289</v>
      </c>
      <c r="B934" s="13" t="n">
        <v>117</v>
      </c>
      <c r="C934" s="7" t="s">
        <v>504</v>
      </c>
      <c r="D934" s="7" t="s">
        <v>271</v>
      </c>
      <c r="E934" s="7" t="s">
        <v>604</v>
      </c>
      <c r="F934" s="13" t="n">
        <v>4</v>
      </c>
      <c r="G934" s="7" t="s">
        <v>605</v>
      </c>
      <c r="H934" s="7" t="s">
        <v>513</v>
      </c>
    </row>
    <row r="935" customFormat="false" ht="15" hidden="false" customHeight="false" outlineLevel="0" collapsed="false">
      <c r="A935" s="7" t="s">
        <v>289</v>
      </c>
      <c r="B935" s="13" t="n">
        <v>118</v>
      </c>
      <c r="C935" s="7" t="s">
        <v>504</v>
      </c>
      <c r="D935" s="7" t="s">
        <v>271</v>
      </c>
      <c r="E935" s="7" t="s">
        <v>606</v>
      </c>
      <c r="F935" s="13" t="n">
        <v>3</v>
      </c>
      <c r="G935" s="7" t="s">
        <v>607</v>
      </c>
      <c r="H935" s="7" t="s">
        <v>513</v>
      </c>
    </row>
    <row r="936" customFormat="false" ht="15" hidden="false" customHeight="false" outlineLevel="0" collapsed="false">
      <c r="A936" s="7" t="s">
        <v>289</v>
      </c>
      <c r="B936" s="13" t="n">
        <v>119</v>
      </c>
      <c r="C936" s="7" t="s">
        <v>504</v>
      </c>
      <c r="D936" s="7" t="s">
        <v>271</v>
      </c>
      <c r="E936" s="7" t="s">
        <v>608</v>
      </c>
      <c r="F936" s="13" t="n">
        <v>6</v>
      </c>
      <c r="G936" s="7" t="s">
        <v>609</v>
      </c>
      <c r="H936" s="7" t="s">
        <v>513</v>
      </c>
    </row>
    <row r="937" customFormat="false" ht="15" hidden="false" customHeight="false" outlineLevel="0" collapsed="false">
      <c r="A937" s="7" t="s">
        <v>289</v>
      </c>
      <c r="B937" s="13" t="n">
        <v>120</v>
      </c>
      <c r="C937" s="7" t="s">
        <v>504</v>
      </c>
      <c r="D937" s="7" t="s">
        <v>271</v>
      </c>
      <c r="E937" s="7" t="s">
        <v>610</v>
      </c>
      <c r="F937" s="13" t="n">
        <v>3</v>
      </c>
      <c r="G937" s="7" t="s">
        <v>611</v>
      </c>
      <c r="H937" s="7" t="s">
        <v>513</v>
      </c>
    </row>
    <row r="938" customFormat="false" ht="15" hidden="false" customHeight="false" outlineLevel="0" collapsed="false">
      <c r="A938" s="7" t="s">
        <v>289</v>
      </c>
      <c r="B938" s="13" t="n">
        <v>121</v>
      </c>
      <c r="C938" s="7" t="s">
        <v>505</v>
      </c>
      <c r="D938" s="7" t="s">
        <v>246</v>
      </c>
      <c r="E938" s="7" t="s">
        <v>645</v>
      </c>
      <c r="F938" s="13" t="n">
        <v>4</v>
      </c>
      <c r="G938" s="7" t="s">
        <v>646</v>
      </c>
      <c r="H938" s="7" t="s">
        <v>1405</v>
      </c>
    </row>
    <row r="939" customFormat="false" ht="23.85" hidden="false" customHeight="false" outlineLevel="0" collapsed="false">
      <c r="A939" s="7" t="s">
        <v>289</v>
      </c>
      <c r="B939" s="13" t="n">
        <v>122</v>
      </c>
      <c r="C939" s="7" t="s">
        <v>505</v>
      </c>
      <c r="D939" s="7" t="s">
        <v>246</v>
      </c>
      <c r="E939" s="7" t="s">
        <v>648</v>
      </c>
      <c r="F939" s="13" t="n">
        <v>4</v>
      </c>
      <c r="G939" s="7" t="s">
        <v>649</v>
      </c>
      <c r="H939" s="7" t="s">
        <v>1406</v>
      </c>
    </row>
    <row r="940" customFormat="false" ht="15" hidden="false" customHeight="false" outlineLevel="0" collapsed="false">
      <c r="A940" s="7" t="s">
        <v>289</v>
      </c>
      <c r="B940" s="13" t="n">
        <v>123</v>
      </c>
      <c r="C940" s="7" t="s">
        <v>505</v>
      </c>
      <c r="D940" s="7" t="s">
        <v>246</v>
      </c>
      <c r="E940" s="7" t="s">
        <v>1036</v>
      </c>
      <c r="F940" s="13" t="n">
        <v>6</v>
      </c>
      <c r="G940" s="7" t="s">
        <v>1037</v>
      </c>
      <c r="H940" s="7" t="s">
        <v>1407</v>
      </c>
    </row>
    <row r="941" customFormat="false" ht="23.85" hidden="false" customHeight="false" outlineLevel="0" collapsed="false">
      <c r="A941" s="7" t="s">
        <v>289</v>
      </c>
      <c r="B941" s="13" t="n">
        <v>124</v>
      </c>
      <c r="C941" s="7" t="s">
        <v>505</v>
      </c>
      <c r="D941" s="7" t="s">
        <v>246</v>
      </c>
      <c r="E941" s="7" t="s">
        <v>1245</v>
      </c>
      <c r="F941" s="13" t="n">
        <v>10</v>
      </c>
      <c r="G941" s="7" t="s">
        <v>1246</v>
      </c>
      <c r="H941" s="7" t="s">
        <v>1408</v>
      </c>
    </row>
    <row r="942" customFormat="false" ht="23.85" hidden="false" customHeight="false" outlineLevel="0" collapsed="false">
      <c r="A942" s="7" t="s">
        <v>289</v>
      </c>
      <c r="B942" s="13" t="n">
        <v>125</v>
      </c>
      <c r="C942" s="7" t="s">
        <v>505</v>
      </c>
      <c r="D942" s="7" t="s">
        <v>246</v>
      </c>
      <c r="E942" s="7" t="s">
        <v>1251</v>
      </c>
      <c r="F942" s="13" t="n">
        <v>6</v>
      </c>
      <c r="G942" s="7" t="s">
        <v>1252</v>
      </c>
      <c r="H942" s="7" t="s">
        <v>1409</v>
      </c>
    </row>
    <row r="943" customFormat="false" ht="23.85" hidden="false" customHeight="false" outlineLevel="0" collapsed="false">
      <c r="A943" s="7" t="s">
        <v>289</v>
      </c>
      <c r="B943" s="13" t="n">
        <v>126</v>
      </c>
      <c r="C943" s="7" t="s">
        <v>505</v>
      </c>
      <c r="D943" s="7" t="s">
        <v>246</v>
      </c>
      <c r="E943" s="7" t="s">
        <v>1410</v>
      </c>
      <c r="F943" s="13" t="n">
        <v>8</v>
      </c>
      <c r="G943" s="7" t="s">
        <v>1411</v>
      </c>
      <c r="H943" s="7" t="s">
        <v>1412</v>
      </c>
    </row>
    <row r="944" customFormat="false" ht="23.85" hidden="false" customHeight="false" outlineLevel="0" collapsed="false">
      <c r="A944" s="7" t="s">
        <v>289</v>
      </c>
      <c r="B944" s="13" t="n">
        <v>127</v>
      </c>
      <c r="C944" s="7" t="s">
        <v>505</v>
      </c>
      <c r="D944" s="7" t="s">
        <v>246</v>
      </c>
      <c r="E944" s="7" t="s">
        <v>1413</v>
      </c>
      <c r="F944" s="13" t="n">
        <v>5</v>
      </c>
      <c r="G944" s="7" t="s">
        <v>1414</v>
      </c>
      <c r="H944" s="7" t="s">
        <v>1415</v>
      </c>
    </row>
    <row r="945" customFormat="false" ht="15" hidden="false" customHeight="false" outlineLevel="0" collapsed="false">
      <c r="A945" s="7" t="s">
        <v>289</v>
      </c>
      <c r="B945" s="13" t="n">
        <v>128</v>
      </c>
      <c r="C945" s="7" t="s">
        <v>505</v>
      </c>
      <c r="D945" s="7" t="s">
        <v>246</v>
      </c>
      <c r="E945" s="7" t="s">
        <v>1416</v>
      </c>
      <c r="F945" s="13" t="n">
        <v>8</v>
      </c>
      <c r="G945" s="7" t="s">
        <v>1417</v>
      </c>
      <c r="H945" s="7" t="s">
        <v>1418</v>
      </c>
    </row>
    <row r="946" customFormat="false" ht="15" hidden="false" customHeight="false" outlineLevel="0" collapsed="false">
      <c r="A946" s="7" t="s">
        <v>289</v>
      </c>
      <c r="B946" s="13" t="n">
        <v>129</v>
      </c>
      <c r="C946" s="7" t="s">
        <v>505</v>
      </c>
      <c r="D946" s="7" t="s">
        <v>246</v>
      </c>
      <c r="E946" s="7" t="s">
        <v>1419</v>
      </c>
      <c r="F946" s="13" t="n">
        <v>10</v>
      </c>
      <c r="G946" s="7" t="s">
        <v>1420</v>
      </c>
      <c r="H946" s="7" t="s">
        <v>1421</v>
      </c>
    </row>
    <row r="947" customFormat="false" ht="23.85" hidden="false" customHeight="false" outlineLevel="0" collapsed="false">
      <c r="A947" s="7" t="s">
        <v>289</v>
      </c>
      <c r="B947" s="13" t="n">
        <v>130</v>
      </c>
      <c r="C947" s="7" t="s">
        <v>505</v>
      </c>
      <c r="D947" s="7" t="s">
        <v>246</v>
      </c>
      <c r="E947" s="7" t="s">
        <v>1422</v>
      </c>
      <c r="F947" s="13" t="n">
        <v>8</v>
      </c>
      <c r="G947" s="7" t="s">
        <v>1423</v>
      </c>
      <c r="H947" s="7" t="s">
        <v>1424</v>
      </c>
    </row>
    <row r="948" customFormat="false" ht="15" hidden="false" customHeight="false" outlineLevel="0" collapsed="false">
      <c r="A948" s="7" t="s">
        <v>289</v>
      </c>
      <c r="B948" s="13" t="n">
        <v>131</v>
      </c>
      <c r="C948" s="7" t="s">
        <v>505</v>
      </c>
      <c r="D948" s="7" t="s">
        <v>246</v>
      </c>
      <c r="E948" s="7" t="s">
        <v>1425</v>
      </c>
      <c r="F948" s="13" t="n">
        <v>5</v>
      </c>
      <c r="G948" s="7" t="s">
        <v>1426</v>
      </c>
      <c r="H948" s="7" t="s">
        <v>1421</v>
      </c>
    </row>
    <row r="949" customFormat="false" ht="15" hidden="false" customHeight="false" outlineLevel="0" collapsed="false">
      <c r="A949" s="7" t="s">
        <v>289</v>
      </c>
      <c r="B949" s="13" t="n">
        <v>132</v>
      </c>
      <c r="C949" s="7" t="s">
        <v>505</v>
      </c>
      <c r="D949" s="7" t="s">
        <v>246</v>
      </c>
      <c r="E949" s="7" t="s">
        <v>1427</v>
      </c>
      <c r="F949" s="13" t="n">
        <v>6</v>
      </c>
      <c r="G949" s="7" t="s">
        <v>1428</v>
      </c>
      <c r="H949" s="7" t="s">
        <v>1429</v>
      </c>
    </row>
    <row r="950" customFormat="false" ht="15" hidden="false" customHeight="false" outlineLevel="0" collapsed="false">
      <c r="A950" s="7" t="s">
        <v>289</v>
      </c>
      <c r="B950" s="13" t="n">
        <v>133</v>
      </c>
      <c r="C950" s="7" t="s">
        <v>505</v>
      </c>
      <c r="D950" s="7" t="s">
        <v>246</v>
      </c>
      <c r="E950" s="7" t="s">
        <v>856</v>
      </c>
      <c r="F950" s="13" t="n">
        <v>6</v>
      </c>
      <c r="G950" s="7" t="s">
        <v>857</v>
      </c>
      <c r="H950" s="7" t="s">
        <v>1430</v>
      </c>
    </row>
    <row r="951" customFormat="false" ht="15" hidden="false" customHeight="false" outlineLevel="0" collapsed="false">
      <c r="A951" s="7" t="s">
        <v>289</v>
      </c>
      <c r="B951" s="13" t="n">
        <v>134</v>
      </c>
      <c r="C951" s="7" t="s">
        <v>505</v>
      </c>
      <c r="D951" s="7" t="s">
        <v>246</v>
      </c>
      <c r="E951" s="7" t="s">
        <v>860</v>
      </c>
      <c r="F951" s="13" t="n">
        <v>10</v>
      </c>
      <c r="G951" s="7" t="s">
        <v>861</v>
      </c>
      <c r="H951" s="7" t="s">
        <v>1431</v>
      </c>
    </row>
    <row r="952" customFormat="false" ht="15" hidden="false" customHeight="false" outlineLevel="0" collapsed="false">
      <c r="A952" s="7" t="s">
        <v>289</v>
      </c>
      <c r="B952" s="13" t="n">
        <v>135</v>
      </c>
      <c r="C952" s="7" t="s">
        <v>505</v>
      </c>
      <c r="D952" s="7" t="s">
        <v>246</v>
      </c>
      <c r="E952" s="7" t="s">
        <v>1039</v>
      </c>
      <c r="F952" s="13" t="n">
        <v>4</v>
      </c>
      <c r="G952" s="7" t="s">
        <v>1040</v>
      </c>
      <c r="H952" s="7" t="s">
        <v>1432</v>
      </c>
    </row>
    <row r="953" customFormat="false" ht="23.85" hidden="false" customHeight="false" outlineLevel="0" collapsed="false">
      <c r="A953" s="7" t="s">
        <v>289</v>
      </c>
      <c r="B953" s="13" t="n">
        <v>136</v>
      </c>
      <c r="C953" s="7" t="s">
        <v>505</v>
      </c>
      <c r="D953" s="7" t="s">
        <v>266</v>
      </c>
      <c r="E953" s="7" t="s">
        <v>894</v>
      </c>
      <c r="F953" s="13" t="n">
        <v>4</v>
      </c>
      <c r="G953" s="7" t="s">
        <v>895</v>
      </c>
      <c r="H953" s="7" t="s">
        <v>1433</v>
      </c>
    </row>
    <row r="954" customFormat="false" ht="23.85" hidden="false" customHeight="false" outlineLevel="0" collapsed="false">
      <c r="A954" s="7" t="s">
        <v>289</v>
      </c>
      <c r="B954" s="13" t="n">
        <v>137</v>
      </c>
      <c r="C954" s="7" t="s">
        <v>505</v>
      </c>
      <c r="D954" s="7" t="s">
        <v>266</v>
      </c>
      <c r="E954" s="7" t="s">
        <v>1062</v>
      </c>
      <c r="F954" s="13" t="n">
        <v>6</v>
      </c>
      <c r="G954" s="7" t="s">
        <v>1063</v>
      </c>
      <c r="H954" s="7" t="s">
        <v>1434</v>
      </c>
    </row>
    <row r="955" customFormat="false" ht="23.85" hidden="false" customHeight="false" outlineLevel="0" collapsed="false">
      <c r="A955" s="7" t="s">
        <v>289</v>
      </c>
      <c r="B955" s="13" t="n">
        <v>138</v>
      </c>
      <c r="C955" s="7" t="s">
        <v>505</v>
      </c>
      <c r="D955" s="7" t="s">
        <v>266</v>
      </c>
      <c r="E955" s="7" t="s">
        <v>1071</v>
      </c>
      <c r="F955" s="13" t="n">
        <v>5</v>
      </c>
      <c r="G955" s="7" t="s">
        <v>1072</v>
      </c>
      <c r="H955" s="7" t="s">
        <v>1435</v>
      </c>
    </row>
    <row r="956" customFormat="false" ht="15" hidden="false" customHeight="false" outlineLevel="0" collapsed="false">
      <c r="A956" s="7" t="s">
        <v>289</v>
      </c>
      <c r="B956" s="13" t="n">
        <v>139</v>
      </c>
      <c r="C956" s="7" t="s">
        <v>505</v>
      </c>
      <c r="D956" s="7" t="s">
        <v>266</v>
      </c>
      <c r="E956" s="7" t="s">
        <v>1095</v>
      </c>
      <c r="F956" s="13" t="n">
        <v>4</v>
      </c>
      <c r="G956" s="7" t="s">
        <v>1096</v>
      </c>
      <c r="H956" s="7" t="s">
        <v>1436</v>
      </c>
    </row>
    <row r="957" customFormat="false" ht="15" hidden="false" customHeight="false" outlineLevel="0" collapsed="false">
      <c r="A957" s="7" t="s">
        <v>289</v>
      </c>
      <c r="B957" s="13" t="n">
        <v>140</v>
      </c>
      <c r="C957" s="7" t="s">
        <v>505</v>
      </c>
      <c r="D957" s="7" t="s">
        <v>266</v>
      </c>
      <c r="E957" s="7" t="s">
        <v>1113</v>
      </c>
      <c r="F957" s="13" t="n">
        <v>4</v>
      </c>
      <c r="G957" s="7" t="s">
        <v>1114</v>
      </c>
      <c r="H957" s="7" t="s">
        <v>1437</v>
      </c>
    </row>
    <row r="958" customFormat="false" ht="23.85" hidden="false" customHeight="false" outlineLevel="0" collapsed="false">
      <c r="A958" s="7" t="s">
        <v>289</v>
      </c>
      <c r="B958" s="13" t="n">
        <v>141</v>
      </c>
      <c r="C958" s="7" t="s">
        <v>505</v>
      </c>
      <c r="D958" s="7" t="s">
        <v>266</v>
      </c>
      <c r="E958" s="7" t="s">
        <v>1438</v>
      </c>
      <c r="F958" s="13" t="n">
        <v>5</v>
      </c>
      <c r="G958" s="7" t="s">
        <v>1439</v>
      </c>
      <c r="H958" s="7" t="s">
        <v>1440</v>
      </c>
    </row>
    <row r="959" customFormat="false" ht="15" hidden="false" customHeight="false" outlineLevel="0" collapsed="false">
      <c r="A959" s="7" t="s">
        <v>289</v>
      </c>
      <c r="B959" s="13" t="n">
        <v>142</v>
      </c>
      <c r="C959" s="7" t="s">
        <v>505</v>
      </c>
      <c r="D959" s="7" t="s">
        <v>266</v>
      </c>
      <c r="E959" s="7" t="s">
        <v>1441</v>
      </c>
      <c r="F959" s="13" t="n">
        <v>5</v>
      </c>
      <c r="G959" s="7" t="s">
        <v>1442</v>
      </c>
      <c r="H959" s="7" t="s">
        <v>1443</v>
      </c>
    </row>
    <row r="960" customFormat="false" ht="23.85" hidden="false" customHeight="false" outlineLevel="0" collapsed="false">
      <c r="A960" s="7" t="s">
        <v>289</v>
      </c>
      <c r="B960" s="13" t="n">
        <v>143</v>
      </c>
      <c r="C960" s="7" t="s">
        <v>505</v>
      </c>
      <c r="D960" s="7" t="s">
        <v>266</v>
      </c>
      <c r="E960" s="7" t="s">
        <v>1444</v>
      </c>
      <c r="F960" s="13" t="n">
        <v>3</v>
      </c>
      <c r="G960" s="7" t="s">
        <v>1445</v>
      </c>
      <c r="H960" s="7" t="s">
        <v>1446</v>
      </c>
    </row>
    <row r="961" customFormat="false" ht="15" hidden="false" customHeight="false" outlineLevel="0" collapsed="false">
      <c r="A961" s="7" t="s">
        <v>289</v>
      </c>
      <c r="B961" s="13" t="n">
        <v>144</v>
      </c>
      <c r="C961" s="7" t="s">
        <v>505</v>
      </c>
      <c r="D961" s="7" t="s">
        <v>266</v>
      </c>
      <c r="E961" s="7" t="s">
        <v>1447</v>
      </c>
      <c r="F961" s="13" t="n">
        <v>4</v>
      </c>
      <c r="G961" s="7" t="s">
        <v>1448</v>
      </c>
      <c r="H961" s="7" t="s">
        <v>1449</v>
      </c>
    </row>
    <row r="962" customFormat="false" ht="15" hidden="false" customHeight="false" outlineLevel="0" collapsed="false">
      <c r="A962" s="7" t="s">
        <v>289</v>
      </c>
      <c r="B962" s="13" t="n">
        <v>145</v>
      </c>
      <c r="C962" s="7" t="s">
        <v>505</v>
      </c>
      <c r="D962" s="7" t="s">
        <v>266</v>
      </c>
      <c r="E962" s="7" t="s">
        <v>1450</v>
      </c>
      <c r="F962" s="13" t="n">
        <v>3</v>
      </c>
      <c r="G962" s="7" t="s">
        <v>1451</v>
      </c>
      <c r="H962" s="7" t="s">
        <v>1452</v>
      </c>
    </row>
    <row r="963" customFormat="false" ht="15" hidden="false" customHeight="false" outlineLevel="0" collapsed="false">
      <c r="A963" s="7" t="s">
        <v>289</v>
      </c>
      <c r="B963" s="13" t="n">
        <v>146</v>
      </c>
      <c r="C963" s="7" t="s">
        <v>505</v>
      </c>
      <c r="D963" s="7" t="s">
        <v>266</v>
      </c>
      <c r="E963" s="7" t="s">
        <v>1453</v>
      </c>
      <c r="F963" s="13" t="n">
        <v>5</v>
      </c>
      <c r="G963" s="7" t="s">
        <v>1454</v>
      </c>
      <c r="H963" s="7" t="s">
        <v>1455</v>
      </c>
    </row>
    <row r="964" customFormat="false" ht="23.85" hidden="false" customHeight="false" outlineLevel="0" collapsed="false">
      <c r="A964" s="7" t="s">
        <v>289</v>
      </c>
      <c r="B964" s="13" t="n">
        <v>147</v>
      </c>
      <c r="C964" s="7" t="s">
        <v>505</v>
      </c>
      <c r="D964" s="7" t="s">
        <v>266</v>
      </c>
      <c r="E964" s="7" t="s">
        <v>1456</v>
      </c>
      <c r="F964" s="13" t="n">
        <v>3</v>
      </c>
      <c r="G964" s="7" t="s">
        <v>1457</v>
      </c>
      <c r="H964" s="7" t="s">
        <v>1458</v>
      </c>
    </row>
    <row r="965" customFormat="false" ht="15" hidden="false" customHeight="false" outlineLevel="0" collapsed="false">
      <c r="A965" s="7" t="s">
        <v>289</v>
      </c>
      <c r="B965" s="13" t="n">
        <v>148</v>
      </c>
      <c r="C965" s="7" t="s">
        <v>505</v>
      </c>
      <c r="D965" s="7" t="s">
        <v>266</v>
      </c>
      <c r="E965" s="7" t="s">
        <v>1459</v>
      </c>
      <c r="F965" s="13" t="n">
        <v>4</v>
      </c>
      <c r="G965" s="7" t="s">
        <v>1460</v>
      </c>
      <c r="H965" s="7" t="s">
        <v>1461</v>
      </c>
    </row>
    <row r="966" customFormat="false" ht="23.85" hidden="false" customHeight="false" outlineLevel="0" collapsed="false">
      <c r="A966" s="7" t="s">
        <v>289</v>
      </c>
      <c r="B966" s="13" t="n">
        <v>149</v>
      </c>
      <c r="C966" s="7" t="s">
        <v>505</v>
      </c>
      <c r="D966" s="7" t="s">
        <v>266</v>
      </c>
      <c r="E966" s="7" t="s">
        <v>1462</v>
      </c>
      <c r="F966" s="13" t="n">
        <v>4</v>
      </c>
      <c r="G966" s="7" t="s">
        <v>1463</v>
      </c>
      <c r="H966" s="7" t="s">
        <v>1464</v>
      </c>
    </row>
    <row r="967" customFormat="false" ht="15" hidden="false" customHeight="false" outlineLevel="0" collapsed="false">
      <c r="A967" s="7" t="s">
        <v>289</v>
      </c>
      <c r="B967" s="13" t="n">
        <v>150</v>
      </c>
      <c r="C967" s="7" t="s">
        <v>505</v>
      </c>
      <c r="D967" s="7" t="s">
        <v>266</v>
      </c>
      <c r="E967" s="7" t="s">
        <v>1465</v>
      </c>
      <c r="F967" s="13" t="n">
        <v>4</v>
      </c>
      <c r="G967" s="7" t="s">
        <v>1466</v>
      </c>
      <c r="H967" s="7" t="s">
        <v>1467</v>
      </c>
    </row>
    <row r="968" customFormat="false" ht="23.85" hidden="false" customHeight="false" outlineLevel="0" collapsed="false">
      <c r="A968" s="7" t="s">
        <v>289</v>
      </c>
      <c r="B968" s="13" t="n">
        <v>151</v>
      </c>
      <c r="C968" s="7" t="s">
        <v>505</v>
      </c>
      <c r="D968" s="7" t="s">
        <v>266</v>
      </c>
      <c r="E968" s="7" t="s">
        <v>1468</v>
      </c>
      <c r="F968" s="13" t="n">
        <v>4</v>
      </c>
      <c r="G968" s="7" t="s">
        <v>1469</v>
      </c>
      <c r="H968" s="7" t="s">
        <v>1470</v>
      </c>
    </row>
    <row r="969" customFormat="false" ht="23.85" hidden="false" customHeight="false" outlineLevel="0" collapsed="false">
      <c r="A969" s="7" t="s">
        <v>289</v>
      </c>
      <c r="B969" s="13" t="n">
        <v>152</v>
      </c>
      <c r="C969" s="7" t="s">
        <v>505</v>
      </c>
      <c r="D969" s="7" t="s">
        <v>266</v>
      </c>
      <c r="E969" s="7" t="s">
        <v>1471</v>
      </c>
      <c r="F969" s="13" t="n">
        <v>5</v>
      </c>
      <c r="G969" s="7" t="s">
        <v>1472</v>
      </c>
      <c r="H969" s="7" t="s">
        <v>1473</v>
      </c>
    </row>
    <row r="970" customFormat="false" ht="23.85" hidden="false" customHeight="false" outlineLevel="0" collapsed="false">
      <c r="A970" s="7" t="s">
        <v>289</v>
      </c>
      <c r="B970" s="13" t="n">
        <v>153</v>
      </c>
      <c r="C970" s="7" t="s">
        <v>505</v>
      </c>
      <c r="D970" s="7" t="s">
        <v>276</v>
      </c>
      <c r="E970" s="7" t="s">
        <v>711</v>
      </c>
      <c r="F970" s="13" t="n">
        <v>8</v>
      </c>
      <c r="G970" s="7" t="s">
        <v>712</v>
      </c>
      <c r="H970" s="7" t="s">
        <v>1474</v>
      </c>
    </row>
    <row r="971" customFormat="false" ht="23.85" hidden="false" customHeight="false" outlineLevel="0" collapsed="false">
      <c r="A971" s="7" t="s">
        <v>289</v>
      </c>
      <c r="B971" s="13" t="n">
        <v>154</v>
      </c>
      <c r="C971" s="7" t="s">
        <v>505</v>
      </c>
      <c r="D971" s="7" t="s">
        <v>276</v>
      </c>
      <c r="E971" s="7" t="s">
        <v>720</v>
      </c>
      <c r="F971" s="13" t="n">
        <v>6</v>
      </c>
      <c r="G971" s="7" t="s">
        <v>721</v>
      </c>
      <c r="H971" s="7" t="s">
        <v>1475</v>
      </c>
    </row>
    <row r="972" customFormat="false" ht="23.85" hidden="false" customHeight="false" outlineLevel="0" collapsed="false">
      <c r="A972" s="7" t="s">
        <v>289</v>
      </c>
      <c r="B972" s="13" t="n">
        <v>155</v>
      </c>
      <c r="C972" s="7" t="s">
        <v>505</v>
      </c>
      <c r="D972" s="7" t="s">
        <v>276</v>
      </c>
      <c r="E972" s="7" t="s">
        <v>932</v>
      </c>
      <c r="F972" s="13" t="n">
        <v>12</v>
      </c>
      <c r="G972" s="7" t="s">
        <v>933</v>
      </c>
      <c r="H972" s="7" t="s">
        <v>1475</v>
      </c>
    </row>
    <row r="973" customFormat="false" ht="23.85" hidden="false" customHeight="false" outlineLevel="0" collapsed="false">
      <c r="A973" s="7" t="s">
        <v>289</v>
      </c>
      <c r="B973" s="13" t="n">
        <v>156</v>
      </c>
      <c r="C973" s="7" t="s">
        <v>505</v>
      </c>
      <c r="D973" s="7" t="s">
        <v>276</v>
      </c>
      <c r="E973" s="7" t="s">
        <v>1125</v>
      </c>
      <c r="F973" s="13" t="n">
        <v>5</v>
      </c>
      <c r="G973" s="7" t="s">
        <v>1126</v>
      </c>
      <c r="H973" s="7" t="s">
        <v>1476</v>
      </c>
    </row>
    <row r="974" customFormat="false" ht="15" hidden="false" customHeight="false" outlineLevel="0" collapsed="false">
      <c r="A974" s="7" t="s">
        <v>289</v>
      </c>
      <c r="B974" s="13" t="n">
        <v>157</v>
      </c>
      <c r="C974" s="7" t="s">
        <v>505</v>
      </c>
      <c r="D974" s="7" t="s">
        <v>276</v>
      </c>
      <c r="E974" s="7" t="s">
        <v>1128</v>
      </c>
      <c r="F974" s="13" t="n">
        <v>4</v>
      </c>
      <c r="G974" s="7" t="s">
        <v>1129</v>
      </c>
      <c r="H974" s="7" t="s">
        <v>1477</v>
      </c>
    </row>
    <row r="975" customFormat="false" ht="15" hidden="false" customHeight="false" outlineLevel="0" collapsed="false">
      <c r="A975" s="7" t="s">
        <v>289</v>
      </c>
      <c r="B975" s="13" t="n">
        <v>158</v>
      </c>
      <c r="C975" s="7" t="s">
        <v>505</v>
      </c>
      <c r="D975" s="7" t="s">
        <v>276</v>
      </c>
      <c r="E975" s="7" t="s">
        <v>1280</v>
      </c>
      <c r="F975" s="13" t="n">
        <v>8</v>
      </c>
      <c r="G975" s="7" t="s">
        <v>1281</v>
      </c>
      <c r="H975" s="7" t="s">
        <v>1478</v>
      </c>
    </row>
    <row r="976" customFormat="false" ht="15" hidden="false" customHeight="false" outlineLevel="0" collapsed="false">
      <c r="A976" s="7" t="s">
        <v>289</v>
      </c>
      <c r="B976" s="13" t="n">
        <v>159</v>
      </c>
      <c r="C976" s="7" t="s">
        <v>505</v>
      </c>
      <c r="D976" s="7" t="s">
        <v>276</v>
      </c>
      <c r="E976" s="7" t="s">
        <v>1283</v>
      </c>
      <c r="F976" s="13" t="n">
        <v>5</v>
      </c>
      <c r="G976" s="7" t="s">
        <v>1284</v>
      </c>
      <c r="H976" s="7" t="s">
        <v>1478</v>
      </c>
    </row>
    <row r="977" customFormat="false" ht="15" hidden="false" customHeight="false" outlineLevel="0" collapsed="false">
      <c r="A977" s="7" t="s">
        <v>289</v>
      </c>
      <c r="B977" s="13" t="n">
        <v>160</v>
      </c>
      <c r="C977" s="7" t="s">
        <v>505</v>
      </c>
      <c r="D977" s="7" t="s">
        <v>276</v>
      </c>
      <c r="E977" s="7" t="s">
        <v>1285</v>
      </c>
      <c r="F977" s="13" t="n">
        <v>4</v>
      </c>
      <c r="G977" s="7" t="s">
        <v>1286</v>
      </c>
      <c r="H977" s="7" t="s">
        <v>1479</v>
      </c>
    </row>
    <row r="978" customFormat="false" ht="23.85" hidden="false" customHeight="false" outlineLevel="0" collapsed="false">
      <c r="A978" s="7" t="s">
        <v>289</v>
      </c>
      <c r="B978" s="13" t="n">
        <v>161</v>
      </c>
      <c r="C978" s="7" t="s">
        <v>505</v>
      </c>
      <c r="D978" s="7" t="s">
        <v>240</v>
      </c>
      <c r="E978" s="7" t="s">
        <v>1480</v>
      </c>
      <c r="F978" s="13" t="n">
        <v>6</v>
      </c>
      <c r="G978" s="7" t="s">
        <v>1481</v>
      </c>
      <c r="H978" s="7" t="s">
        <v>1482</v>
      </c>
    </row>
    <row r="979" customFormat="false" ht="23.85" hidden="false" customHeight="false" outlineLevel="0" collapsed="false">
      <c r="A979" s="7" t="s">
        <v>289</v>
      </c>
      <c r="B979" s="13" t="n">
        <v>162</v>
      </c>
      <c r="C979" s="7" t="s">
        <v>505</v>
      </c>
      <c r="D979" s="7" t="s">
        <v>240</v>
      </c>
      <c r="E979" s="7" t="s">
        <v>959</v>
      </c>
      <c r="F979" s="13" t="n">
        <v>4</v>
      </c>
      <c r="G979" s="7" t="s">
        <v>960</v>
      </c>
      <c r="H979" s="7" t="s">
        <v>1483</v>
      </c>
    </row>
    <row r="980" customFormat="false" ht="15" hidden="false" customHeight="false" outlineLevel="0" collapsed="false">
      <c r="A980" s="7" t="s">
        <v>289</v>
      </c>
      <c r="B980" s="13" t="n">
        <v>163</v>
      </c>
      <c r="C980" s="7" t="s">
        <v>505</v>
      </c>
      <c r="D980" s="7" t="s">
        <v>240</v>
      </c>
      <c r="E980" s="7" t="s">
        <v>1144</v>
      </c>
      <c r="F980" s="13" t="n">
        <v>4</v>
      </c>
      <c r="G980" s="7" t="s">
        <v>1145</v>
      </c>
      <c r="H980" s="7" t="s">
        <v>1484</v>
      </c>
    </row>
    <row r="981" customFormat="false" ht="15" hidden="false" customHeight="false" outlineLevel="0" collapsed="false">
      <c r="A981" s="7" t="s">
        <v>289</v>
      </c>
      <c r="B981" s="13" t="n">
        <v>164</v>
      </c>
      <c r="C981" s="7" t="s">
        <v>505</v>
      </c>
      <c r="D981" s="7" t="s">
        <v>240</v>
      </c>
      <c r="E981" s="7" t="s">
        <v>1485</v>
      </c>
      <c r="F981" s="13" t="n">
        <v>4</v>
      </c>
      <c r="G981" s="7" t="s">
        <v>1486</v>
      </c>
      <c r="H981" s="7" t="s">
        <v>1487</v>
      </c>
    </row>
    <row r="982" customFormat="false" ht="23.85" hidden="false" customHeight="false" outlineLevel="0" collapsed="false">
      <c r="A982" s="7" t="s">
        <v>289</v>
      </c>
      <c r="B982" s="13" t="n">
        <v>165</v>
      </c>
      <c r="C982" s="7" t="s">
        <v>505</v>
      </c>
      <c r="D982" s="7" t="s">
        <v>240</v>
      </c>
      <c r="E982" s="7" t="s">
        <v>1488</v>
      </c>
      <c r="F982" s="13" t="n">
        <v>3</v>
      </c>
      <c r="G982" s="7" t="s">
        <v>1489</v>
      </c>
      <c r="H982" s="7" t="s">
        <v>1490</v>
      </c>
    </row>
    <row r="983" customFormat="false" ht="15" hidden="false" customHeight="false" outlineLevel="0" collapsed="false">
      <c r="A983" s="7" t="s">
        <v>289</v>
      </c>
      <c r="B983" s="13" t="n">
        <v>166</v>
      </c>
      <c r="C983" s="7" t="s">
        <v>505</v>
      </c>
      <c r="D983" s="7" t="s">
        <v>240</v>
      </c>
      <c r="E983" s="7" t="s">
        <v>1491</v>
      </c>
      <c r="F983" s="13" t="n">
        <v>4</v>
      </c>
      <c r="G983" s="7" t="s">
        <v>1492</v>
      </c>
      <c r="H983" s="7" t="s">
        <v>1493</v>
      </c>
    </row>
    <row r="984" customFormat="false" ht="15" hidden="false" customHeight="false" outlineLevel="0" collapsed="false">
      <c r="A984" s="7" t="s">
        <v>289</v>
      </c>
      <c r="B984" s="13" t="n">
        <v>167</v>
      </c>
      <c r="C984" s="7" t="s">
        <v>505</v>
      </c>
      <c r="D984" s="7" t="s">
        <v>240</v>
      </c>
      <c r="E984" s="7" t="s">
        <v>1494</v>
      </c>
      <c r="F984" s="13" t="n">
        <v>3</v>
      </c>
      <c r="G984" s="7" t="s">
        <v>1495</v>
      </c>
      <c r="H984" s="7" t="s">
        <v>1496</v>
      </c>
    </row>
    <row r="985" customFormat="false" ht="15" hidden="false" customHeight="false" outlineLevel="0" collapsed="false">
      <c r="A985" s="7" t="s">
        <v>289</v>
      </c>
      <c r="B985" s="13" t="n">
        <v>168</v>
      </c>
      <c r="C985" s="7" t="s">
        <v>505</v>
      </c>
      <c r="D985" s="7" t="s">
        <v>240</v>
      </c>
      <c r="E985" s="7" t="s">
        <v>1497</v>
      </c>
      <c r="F985" s="13" t="n">
        <v>4</v>
      </c>
      <c r="G985" s="7" t="s">
        <v>1498</v>
      </c>
      <c r="H985" s="7" t="s">
        <v>1499</v>
      </c>
    </row>
    <row r="986" customFormat="false" ht="15" hidden="false" customHeight="false" outlineLevel="0" collapsed="false">
      <c r="A986" s="7" t="s">
        <v>289</v>
      </c>
      <c r="B986" s="13" t="n">
        <v>169</v>
      </c>
      <c r="C986" s="7" t="s">
        <v>505</v>
      </c>
      <c r="D986" s="7" t="s">
        <v>290</v>
      </c>
      <c r="E986" s="7" t="s">
        <v>1151</v>
      </c>
      <c r="F986" s="13" t="n">
        <v>4</v>
      </c>
      <c r="G986" s="7" t="s">
        <v>1152</v>
      </c>
      <c r="H986" s="7" t="s">
        <v>1500</v>
      </c>
    </row>
    <row r="987" customFormat="false" ht="23.85" hidden="false" customHeight="false" outlineLevel="0" collapsed="false">
      <c r="A987" s="7" t="s">
        <v>289</v>
      </c>
      <c r="B987" s="13" t="n">
        <v>170</v>
      </c>
      <c r="C987" s="7" t="s">
        <v>505</v>
      </c>
      <c r="D987" s="7" t="s">
        <v>290</v>
      </c>
      <c r="E987" s="7" t="s">
        <v>1154</v>
      </c>
      <c r="F987" s="13" t="n">
        <v>5</v>
      </c>
      <c r="G987" s="7" t="s">
        <v>1155</v>
      </c>
      <c r="H987" s="7" t="s">
        <v>1501</v>
      </c>
    </row>
    <row r="988" customFormat="false" ht="15" hidden="false" customHeight="false" outlineLevel="0" collapsed="false">
      <c r="A988" s="7" t="s">
        <v>289</v>
      </c>
      <c r="B988" s="13" t="n">
        <v>171</v>
      </c>
      <c r="C988" s="7" t="s">
        <v>505</v>
      </c>
      <c r="D988" s="7" t="s">
        <v>290</v>
      </c>
      <c r="E988" s="7" t="s">
        <v>1317</v>
      </c>
      <c r="F988" s="13" t="n">
        <v>4</v>
      </c>
      <c r="G988" s="7" t="s">
        <v>1318</v>
      </c>
      <c r="H988" s="7" t="s">
        <v>1502</v>
      </c>
    </row>
    <row r="989" customFormat="false" ht="15" hidden="false" customHeight="false" outlineLevel="0" collapsed="false">
      <c r="A989" s="7" t="s">
        <v>289</v>
      </c>
      <c r="B989" s="13" t="n">
        <v>172</v>
      </c>
      <c r="C989" s="7" t="s">
        <v>505</v>
      </c>
      <c r="D989" s="7" t="s">
        <v>290</v>
      </c>
      <c r="E989" s="7" t="s">
        <v>1320</v>
      </c>
      <c r="F989" s="13" t="n">
        <v>3</v>
      </c>
      <c r="G989" s="7" t="s">
        <v>1321</v>
      </c>
      <c r="H989" s="7" t="s">
        <v>1503</v>
      </c>
    </row>
    <row r="990" customFormat="false" ht="15" hidden="false" customHeight="false" outlineLevel="0" collapsed="false">
      <c r="A990" s="7" t="s">
        <v>289</v>
      </c>
      <c r="B990" s="13" t="n">
        <v>173</v>
      </c>
      <c r="C990" s="7" t="s">
        <v>505</v>
      </c>
      <c r="D990" s="7" t="s">
        <v>290</v>
      </c>
      <c r="E990" s="7" t="s">
        <v>1323</v>
      </c>
      <c r="F990" s="13" t="n">
        <v>3</v>
      </c>
      <c r="G990" s="7" t="s">
        <v>1324</v>
      </c>
      <c r="H990" s="7" t="s">
        <v>1504</v>
      </c>
    </row>
    <row r="991" customFormat="false" ht="15" hidden="false" customHeight="false" outlineLevel="0" collapsed="false">
      <c r="A991" s="7" t="s">
        <v>289</v>
      </c>
      <c r="B991" s="13" t="n">
        <v>174</v>
      </c>
      <c r="C991" s="7" t="s">
        <v>505</v>
      </c>
      <c r="D991" s="7" t="s">
        <v>290</v>
      </c>
      <c r="E991" s="7" t="s">
        <v>1326</v>
      </c>
      <c r="F991" s="13" t="n">
        <v>5</v>
      </c>
      <c r="G991" s="7" t="s">
        <v>1327</v>
      </c>
      <c r="H991" s="7" t="s">
        <v>1505</v>
      </c>
    </row>
    <row r="992" customFormat="false" ht="15" hidden="false" customHeight="false" outlineLevel="0" collapsed="false">
      <c r="A992" s="7" t="s">
        <v>289</v>
      </c>
      <c r="B992" s="13" t="n">
        <v>175</v>
      </c>
      <c r="C992" s="7" t="s">
        <v>505</v>
      </c>
      <c r="D992" s="7" t="s">
        <v>290</v>
      </c>
      <c r="E992" s="7" t="s">
        <v>1332</v>
      </c>
      <c r="F992" s="13" t="n">
        <v>4</v>
      </c>
      <c r="G992" s="7" t="s">
        <v>1333</v>
      </c>
      <c r="H992" s="7" t="s">
        <v>1506</v>
      </c>
    </row>
    <row r="993" customFormat="false" ht="15" hidden="false" customHeight="false" outlineLevel="0" collapsed="false">
      <c r="A993" s="7" t="s">
        <v>289</v>
      </c>
      <c r="B993" s="13" t="n">
        <v>176</v>
      </c>
      <c r="C993" s="7" t="s">
        <v>505</v>
      </c>
      <c r="D993" s="7" t="s">
        <v>235</v>
      </c>
      <c r="E993" s="7" t="s">
        <v>777</v>
      </c>
      <c r="F993" s="13" t="n">
        <v>3</v>
      </c>
      <c r="G993" s="7" t="s">
        <v>778</v>
      </c>
      <c r="H993" s="7" t="s">
        <v>1507</v>
      </c>
    </row>
    <row r="994" customFormat="false" ht="23.85" hidden="false" customHeight="false" outlineLevel="0" collapsed="false">
      <c r="A994" s="7" t="s">
        <v>289</v>
      </c>
      <c r="B994" s="13" t="n">
        <v>177</v>
      </c>
      <c r="C994" s="7" t="s">
        <v>505</v>
      </c>
      <c r="D994" s="7" t="s">
        <v>235</v>
      </c>
      <c r="E994" s="7" t="s">
        <v>1006</v>
      </c>
      <c r="F994" s="13" t="n">
        <v>3</v>
      </c>
      <c r="G994" s="7" t="s">
        <v>1007</v>
      </c>
      <c r="H994" s="7" t="s">
        <v>1508</v>
      </c>
    </row>
    <row r="995" customFormat="false" ht="23.85" hidden="false" customHeight="false" outlineLevel="0" collapsed="false">
      <c r="A995" s="7" t="s">
        <v>289</v>
      </c>
      <c r="B995" s="13" t="n">
        <v>178</v>
      </c>
      <c r="C995" s="7" t="s">
        <v>505</v>
      </c>
      <c r="D995" s="7" t="s">
        <v>235</v>
      </c>
      <c r="E995" s="7" t="s">
        <v>1009</v>
      </c>
      <c r="F995" s="13" t="n">
        <v>4</v>
      </c>
      <c r="G995" s="7" t="s">
        <v>1010</v>
      </c>
      <c r="H995" s="7" t="s">
        <v>1509</v>
      </c>
    </row>
    <row r="996" customFormat="false" ht="15" hidden="false" customHeight="false" outlineLevel="0" collapsed="false">
      <c r="A996" s="7" t="s">
        <v>289</v>
      </c>
      <c r="B996" s="13" t="n">
        <v>179</v>
      </c>
      <c r="C996" s="7" t="s">
        <v>505</v>
      </c>
      <c r="D996" s="7" t="s">
        <v>235</v>
      </c>
      <c r="E996" s="7" t="s">
        <v>1341</v>
      </c>
      <c r="F996" s="13" t="n">
        <v>6</v>
      </c>
      <c r="G996" s="7" t="s">
        <v>1342</v>
      </c>
      <c r="H996" s="7" t="s">
        <v>1510</v>
      </c>
    </row>
    <row r="997" customFormat="false" ht="23.85" hidden="false" customHeight="false" outlineLevel="0" collapsed="false">
      <c r="A997" s="7" t="s">
        <v>289</v>
      </c>
      <c r="B997" s="13" t="n">
        <v>180</v>
      </c>
      <c r="C997" s="7" t="s">
        <v>505</v>
      </c>
      <c r="D997" s="7" t="s">
        <v>235</v>
      </c>
      <c r="E997" s="7" t="s">
        <v>1350</v>
      </c>
      <c r="F997" s="13" t="n">
        <v>4</v>
      </c>
      <c r="G997" s="7" t="s">
        <v>1351</v>
      </c>
      <c r="H997" s="7" t="s">
        <v>1511</v>
      </c>
    </row>
    <row r="998" customFormat="false" ht="15" hidden="false" customHeight="false" outlineLevel="0" collapsed="false">
      <c r="A998" s="7" t="s">
        <v>289</v>
      </c>
      <c r="B998" s="13" t="n">
        <v>181</v>
      </c>
      <c r="C998" s="7" t="s">
        <v>505</v>
      </c>
      <c r="D998" s="7" t="s">
        <v>235</v>
      </c>
      <c r="E998" s="7" t="s">
        <v>1512</v>
      </c>
      <c r="F998" s="13" t="n">
        <v>4</v>
      </c>
      <c r="G998" s="7" t="s">
        <v>1513</v>
      </c>
      <c r="H998" s="7" t="s">
        <v>1514</v>
      </c>
    </row>
    <row r="999" customFormat="false" ht="23.85" hidden="false" customHeight="false" outlineLevel="0" collapsed="false">
      <c r="A999" s="7" t="s">
        <v>289</v>
      </c>
      <c r="B999" s="13" t="n">
        <v>182</v>
      </c>
      <c r="C999" s="7" t="s">
        <v>505</v>
      </c>
      <c r="D999" s="7" t="s">
        <v>394</v>
      </c>
      <c r="E999" s="7" t="s">
        <v>813</v>
      </c>
      <c r="F999" s="13" t="n">
        <v>4</v>
      </c>
      <c r="G999" s="7" t="s">
        <v>814</v>
      </c>
      <c r="H999" s="7" t="s">
        <v>1515</v>
      </c>
    </row>
    <row r="1000" customFormat="false" ht="15" hidden="false" customHeight="false" outlineLevel="0" collapsed="false">
      <c r="A1000" s="7" t="s">
        <v>289</v>
      </c>
      <c r="B1000" s="13" t="n">
        <v>183</v>
      </c>
      <c r="C1000" s="7" t="s">
        <v>505</v>
      </c>
      <c r="D1000" s="7" t="s">
        <v>394</v>
      </c>
      <c r="E1000" s="7" t="s">
        <v>1355</v>
      </c>
      <c r="F1000" s="13" t="n">
        <v>4</v>
      </c>
      <c r="G1000" s="7" t="s">
        <v>579</v>
      </c>
      <c r="H1000" s="7" t="s">
        <v>1516</v>
      </c>
    </row>
    <row r="1001" customFormat="false" ht="15" hidden="false" customHeight="false" outlineLevel="0" collapsed="false">
      <c r="A1001" s="7" t="s">
        <v>289</v>
      </c>
      <c r="B1001" s="13" t="n">
        <v>184</v>
      </c>
      <c r="C1001" s="7" t="s">
        <v>505</v>
      </c>
      <c r="D1001" s="7" t="s">
        <v>394</v>
      </c>
      <c r="E1001" s="7" t="s">
        <v>1017</v>
      </c>
      <c r="F1001" s="13" t="n">
        <v>4</v>
      </c>
      <c r="G1001" s="7" t="s">
        <v>1018</v>
      </c>
      <c r="H1001" s="7" t="s">
        <v>1517</v>
      </c>
    </row>
    <row r="1002" customFormat="false" ht="15" hidden="false" customHeight="false" outlineLevel="0" collapsed="false">
      <c r="A1002" s="7" t="s">
        <v>289</v>
      </c>
      <c r="B1002" s="13" t="n">
        <v>185</v>
      </c>
      <c r="C1002" s="7" t="s">
        <v>505</v>
      </c>
      <c r="D1002" s="7" t="s">
        <v>394</v>
      </c>
      <c r="E1002" s="7" t="s">
        <v>1188</v>
      </c>
      <c r="F1002" s="13" t="n">
        <v>4</v>
      </c>
      <c r="G1002" s="7" t="s">
        <v>1189</v>
      </c>
      <c r="H1002" s="7" t="s">
        <v>1518</v>
      </c>
    </row>
    <row r="1003" customFormat="false" ht="15" hidden="false" customHeight="false" outlineLevel="0" collapsed="false">
      <c r="A1003" s="7" t="s">
        <v>289</v>
      </c>
      <c r="B1003" s="13" t="n">
        <v>186</v>
      </c>
      <c r="C1003" s="7" t="s">
        <v>505</v>
      </c>
      <c r="D1003" s="7" t="s">
        <v>394</v>
      </c>
      <c r="E1003" s="7" t="s">
        <v>1191</v>
      </c>
      <c r="F1003" s="13" t="n">
        <v>4</v>
      </c>
      <c r="G1003" s="7" t="s">
        <v>1192</v>
      </c>
      <c r="H1003" s="7" t="s">
        <v>1519</v>
      </c>
    </row>
    <row r="1004" customFormat="false" ht="23.85" hidden="false" customHeight="false" outlineLevel="0" collapsed="false">
      <c r="A1004" s="7" t="s">
        <v>289</v>
      </c>
      <c r="B1004" s="13" t="n">
        <v>187</v>
      </c>
      <c r="C1004" s="7" t="s">
        <v>505</v>
      </c>
      <c r="D1004" s="7" t="s">
        <v>394</v>
      </c>
      <c r="E1004" s="7" t="s">
        <v>1194</v>
      </c>
      <c r="F1004" s="13" t="n">
        <v>3</v>
      </c>
      <c r="G1004" s="7" t="s">
        <v>1195</v>
      </c>
      <c r="H1004" s="7" t="s">
        <v>1520</v>
      </c>
    </row>
    <row r="1005" customFormat="false" ht="15" hidden="false" customHeight="false" outlineLevel="0" collapsed="false">
      <c r="A1005" s="7" t="s">
        <v>289</v>
      </c>
      <c r="B1005" s="13" t="n">
        <v>188</v>
      </c>
      <c r="C1005" s="7" t="s">
        <v>505</v>
      </c>
      <c r="D1005" s="7" t="s">
        <v>394</v>
      </c>
      <c r="E1005" s="7" t="s">
        <v>1197</v>
      </c>
      <c r="F1005" s="13" t="n">
        <v>3</v>
      </c>
      <c r="G1005" s="7" t="s">
        <v>1198</v>
      </c>
      <c r="H1005" s="7" t="s">
        <v>1521</v>
      </c>
    </row>
    <row r="1006" customFormat="false" ht="23.85" hidden="false" customHeight="false" outlineLevel="0" collapsed="false">
      <c r="A1006" s="7" t="s">
        <v>289</v>
      </c>
      <c r="B1006" s="13" t="n">
        <v>189</v>
      </c>
      <c r="C1006" s="7" t="s">
        <v>505</v>
      </c>
      <c r="D1006" s="7" t="s">
        <v>394</v>
      </c>
      <c r="E1006" s="7" t="s">
        <v>1359</v>
      </c>
      <c r="F1006" s="13" t="n">
        <v>4</v>
      </c>
      <c r="G1006" s="7" t="s">
        <v>1360</v>
      </c>
      <c r="H1006" s="7" t="s">
        <v>1522</v>
      </c>
    </row>
    <row r="1007" customFormat="false" ht="15" hidden="false" customHeight="false" outlineLevel="0" collapsed="false">
      <c r="A1007" s="7" t="s">
        <v>289</v>
      </c>
      <c r="B1007" s="13" t="n">
        <v>190</v>
      </c>
      <c r="C1007" s="7" t="s">
        <v>505</v>
      </c>
      <c r="D1007" s="7" t="s">
        <v>394</v>
      </c>
      <c r="E1007" s="7" t="s">
        <v>1362</v>
      </c>
      <c r="F1007" s="13" t="n">
        <v>3</v>
      </c>
      <c r="G1007" s="7" t="s">
        <v>1363</v>
      </c>
      <c r="H1007" s="7" t="s">
        <v>1523</v>
      </c>
    </row>
    <row r="1008" customFormat="false" ht="15" hidden="false" customHeight="false" outlineLevel="0" collapsed="false">
      <c r="A1008" s="7" t="s">
        <v>289</v>
      </c>
      <c r="B1008" s="13" t="n">
        <v>191</v>
      </c>
      <c r="C1008" s="7" t="s">
        <v>505</v>
      </c>
      <c r="D1008" s="7" t="s">
        <v>394</v>
      </c>
      <c r="E1008" s="7" t="s">
        <v>1365</v>
      </c>
      <c r="F1008" s="13" t="n">
        <v>3</v>
      </c>
      <c r="G1008" s="7" t="s">
        <v>1366</v>
      </c>
      <c r="H1008" s="7" t="s">
        <v>1524</v>
      </c>
    </row>
    <row r="1009" customFormat="false" ht="23.85" hidden="false" customHeight="false" outlineLevel="0" collapsed="false">
      <c r="A1009" s="7" t="s">
        <v>289</v>
      </c>
      <c r="B1009" s="13" t="n">
        <v>192</v>
      </c>
      <c r="C1009" s="7" t="s">
        <v>505</v>
      </c>
      <c r="D1009" s="7" t="s">
        <v>260</v>
      </c>
      <c r="E1009" s="7" t="s">
        <v>1220</v>
      </c>
      <c r="F1009" s="13" t="n">
        <v>3</v>
      </c>
      <c r="G1009" s="7" t="s">
        <v>1221</v>
      </c>
      <c r="H1009" s="7" t="s">
        <v>1525</v>
      </c>
    </row>
    <row r="1010" customFormat="false" ht="15" hidden="false" customHeight="false" outlineLevel="0" collapsed="false">
      <c r="A1010" s="7" t="s">
        <v>289</v>
      </c>
      <c r="B1010" s="13" t="n">
        <v>193</v>
      </c>
      <c r="C1010" s="7" t="s">
        <v>505</v>
      </c>
      <c r="D1010" s="7" t="s">
        <v>260</v>
      </c>
      <c r="E1010" s="7" t="s">
        <v>1371</v>
      </c>
      <c r="F1010" s="13" t="n">
        <v>5</v>
      </c>
      <c r="G1010" s="7" t="s">
        <v>1372</v>
      </c>
      <c r="H1010" s="7" t="s">
        <v>1526</v>
      </c>
    </row>
    <row r="1011" customFormat="false" ht="23.85" hidden="false" customHeight="false" outlineLevel="0" collapsed="false">
      <c r="A1011" s="7" t="s">
        <v>289</v>
      </c>
      <c r="B1011" s="13" t="n">
        <v>194</v>
      </c>
      <c r="C1011" s="7" t="s">
        <v>505</v>
      </c>
      <c r="D1011" s="7" t="s">
        <v>260</v>
      </c>
      <c r="E1011" s="7" t="s">
        <v>1377</v>
      </c>
      <c r="F1011" s="13" t="n">
        <v>4</v>
      </c>
      <c r="G1011" s="7" t="s">
        <v>1378</v>
      </c>
      <c r="H1011" s="7" t="s">
        <v>1527</v>
      </c>
    </row>
    <row r="1012" customFormat="false" ht="15" hidden="false" customHeight="false" outlineLevel="0" collapsed="false">
      <c r="A1012" s="7" t="s">
        <v>289</v>
      </c>
      <c r="B1012" s="13" t="n">
        <v>195</v>
      </c>
      <c r="C1012" s="7" t="s">
        <v>505</v>
      </c>
      <c r="D1012" s="7" t="s">
        <v>260</v>
      </c>
      <c r="E1012" s="7" t="s">
        <v>1380</v>
      </c>
      <c r="F1012" s="13" t="n">
        <v>3</v>
      </c>
      <c r="G1012" s="7" t="s">
        <v>1381</v>
      </c>
      <c r="H1012" s="7" t="s">
        <v>1528</v>
      </c>
    </row>
    <row r="1013" customFormat="false" ht="15" hidden="false" customHeight="false" outlineLevel="0" collapsed="false">
      <c r="A1013" s="7" t="s">
        <v>289</v>
      </c>
      <c r="B1013" s="13" t="n">
        <v>196</v>
      </c>
      <c r="C1013" s="7" t="s">
        <v>505</v>
      </c>
      <c r="D1013" s="7" t="s">
        <v>271</v>
      </c>
      <c r="E1013" s="7" t="s">
        <v>840</v>
      </c>
      <c r="F1013" s="13" t="n">
        <v>6</v>
      </c>
      <c r="G1013" s="7" t="s">
        <v>841</v>
      </c>
      <c r="H1013" s="7" t="s">
        <v>1529</v>
      </c>
    </row>
    <row r="1014" customFormat="false" ht="15" hidden="false" customHeight="false" outlineLevel="0" collapsed="false">
      <c r="A1014" s="7" t="s">
        <v>289</v>
      </c>
      <c r="B1014" s="13" t="n">
        <v>197</v>
      </c>
      <c r="C1014" s="7" t="s">
        <v>505</v>
      </c>
      <c r="D1014" s="7" t="s">
        <v>271</v>
      </c>
      <c r="E1014" s="7" t="s">
        <v>1388</v>
      </c>
      <c r="F1014" s="13" t="n">
        <v>6</v>
      </c>
      <c r="G1014" s="7" t="s">
        <v>1389</v>
      </c>
      <c r="H1014" s="7" t="s">
        <v>1530</v>
      </c>
    </row>
    <row r="1015" customFormat="false" ht="15" hidden="false" customHeight="false" outlineLevel="0" collapsed="false">
      <c r="A1015" s="7" t="s">
        <v>289</v>
      </c>
      <c r="B1015" s="13" t="n">
        <v>198</v>
      </c>
      <c r="C1015" s="7" t="s">
        <v>505</v>
      </c>
      <c r="D1015" s="7" t="s">
        <v>271</v>
      </c>
      <c r="E1015" s="7" t="s">
        <v>1391</v>
      </c>
      <c r="F1015" s="13" t="n">
        <v>4</v>
      </c>
      <c r="G1015" s="7" t="s">
        <v>1392</v>
      </c>
      <c r="H1015" s="7" t="s">
        <v>1531</v>
      </c>
    </row>
    <row r="1016" customFormat="false" ht="15" hidden="false" customHeight="false" outlineLevel="0" collapsed="false">
      <c r="A1016" s="7" t="s">
        <v>289</v>
      </c>
      <c r="B1016" s="13" t="n">
        <v>199</v>
      </c>
      <c r="C1016" s="7" t="s">
        <v>505</v>
      </c>
      <c r="D1016" s="7" t="s">
        <v>271</v>
      </c>
      <c r="E1016" s="7" t="s">
        <v>1399</v>
      </c>
      <c r="F1016" s="13" t="n">
        <v>3</v>
      </c>
      <c r="G1016" s="7" t="s">
        <v>1400</v>
      </c>
      <c r="H1016" s="7" t="s">
        <v>1532</v>
      </c>
    </row>
    <row r="1017" customFormat="false" ht="15" hidden="false" customHeight="false" outlineLevel="0" collapsed="false">
      <c r="A1017" s="7" t="s">
        <v>289</v>
      </c>
      <c r="B1017" s="13" t="n">
        <v>200</v>
      </c>
      <c r="C1017" s="7" t="s">
        <v>505</v>
      </c>
      <c r="D1017" s="7" t="s">
        <v>271</v>
      </c>
      <c r="E1017" s="7" t="s">
        <v>1533</v>
      </c>
      <c r="F1017" s="13" t="n">
        <v>3</v>
      </c>
      <c r="G1017" s="7" t="s">
        <v>1534</v>
      </c>
      <c r="H1017" s="7" t="s">
        <v>1535</v>
      </c>
    </row>
  </sheetData>
  <autoFilter ref="A17:H1017"/>
  <mergeCells count="2">
    <mergeCell ref="A12:B12"/>
    <mergeCell ref="A13:F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C2626"/>
    <pageSetUpPr fitToPage="true"/>
  </sheetPr>
  <dimension ref="A1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4" min="3" style="0" width="44"/>
    <col collapsed="false" customWidth="true" hidden="false" outlineLevel="0" max="5" min="5" style="0" width="34"/>
    <col collapsed="false" customWidth="true" hidden="false" outlineLevel="0" max="6" min="6" style="0" width="24"/>
    <col collapsed="false" customWidth="true" hidden="false" outlineLevel="0" max="8" min="7" style="0" width="14"/>
    <col collapsed="false" customWidth="true" hidden="false" outlineLevel="0" max="9" min="9" style="0" width="52"/>
  </cols>
  <sheetData>
    <row r="1" customFormat="false" ht="17.35" hidden="false" customHeight="false" outlineLevel="0" collapsed="false">
      <c r="A1" s="1" t="s">
        <v>1536</v>
      </c>
    </row>
    <row r="2" customFormat="false" ht="15" hidden="false" customHeight="false" outlineLevel="0" collapsed="false">
      <c r="A2" s="2" t="s">
        <v>1537</v>
      </c>
    </row>
    <row r="4" customFormat="false" ht="31.5" hidden="false" customHeight="true" outlineLevel="0" collapsed="false">
      <c r="A4" s="8" t="s">
        <v>229</v>
      </c>
      <c r="B4" s="8" t="s">
        <v>1538</v>
      </c>
      <c r="C4" s="8" t="s">
        <v>1539</v>
      </c>
      <c r="D4" s="8" t="s">
        <v>1540</v>
      </c>
      <c r="E4" s="8" t="s">
        <v>1541</v>
      </c>
      <c r="F4" s="8" t="s">
        <v>1542</v>
      </c>
      <c r="G4" s="8" t="s">
        <v>1543</v>
      </c>
      <c r="H4" s="8" t="s">
        <v>1544</v>
      </c>
      <c r="I4" s="8" t="s">
        <v>1545</v>
      </c>
    </row>
    <row r="5" customFormat="false" ht="23.85" hidden="false" customHeight="false" outlineLevel="0" collapsed="false">
      <c r="A5" s="13" t="n">
        <v>1</v>
      </c>
      <c r="B5" s="10" t="s">
        <v>1546</v>
      </c>
      <c r="C5" s="7" t="s">
        <v>1547</v>
      </c>
      <c r="D5" s="7" t="s">
        <v>1548</v>
      </c>
      <c r="E5" s="7" t="s">
        <v>1549</v>
      </c>
      <c r="F5" s="7" t="s">
        <v>1550</v>
      </c>
      <c r="G5" s="13" t="s">
        <v>1551</v>
      </c>
      <c r="H5" s="13" t="s">
        <v>213</v>
      </c>
      <c r="I5" s="7" t="s">
        <v>1552</v>
      </c>
    </row>
    <row r="6" customFormat="false" ht="23.85" hidden="false" customHeight="false" outlineLevel="0" collapsed="false">
      <c r="A6" s="13" t="n">
        <v>2</v>
      </c>
      <c r="B6" s="10" t="s">
        <v>1553</v>
      </c>
      <c r="C6" s="7" t="s">
        <v>1554</v>
      </c>
      <c r="D6" s="7" t="s">
        <v>1555</v>
      </c>
      <c r="E6" s="7" t="s">
        <v>1556</v>
      </c>
      <c r="F6" s="7" t="s">
        <v>1557</v>
      </c>
      <c r="G6" s="13" t="s">
        <v>1551</v>
      </c>
      <c r="H6" s="13" t="s">
        <v>213</v>
      </c>
      <c r="I6" s="7" t="s">
        <v>1558</v>
      </c>
    </row>
    <row r="7" customFormat="false" ht="35.05" hidden="false" customHeight="false" outlineLevel="0" collapsed="false">
      <c r="A7" s="13" t="n">
        <v>3</v>
      </c>
      <c r="B7" s="10" t="s">
        <v>1559</v>
      </c>
      <c r="C7" s="7" t="s">
        <v>1560</v>
      </c>
      <c r="D7" s="7" t="s">
        <v>1561</v>
      </c>
      <c r="E7" s="7" t="s">
        <v>1562</v>
      </c>
      <c r="F7" s="7" t="s">
        <v>1563</v>
      </c>
      <c r="G7" s="13" t="s">
        <v>1564</v>
      </c>
      <c r="H7" s="13" t="s">
        <v>1565</v>
      </c>
      <c r="I7" s="7" t="s">
        <v>1566</v>
      </c>
    </row>
    <row r="8" customFormat="false" ht="23.85" hidden="false" customHeight="false" outlineLevel="0" collapsed="false">
      <c r="A8" s="13" t="n">
        <v>4</v>
      </c>
      <c r="B8" s="10" t="s">
        <v>1567</v>
      </c>
      <c r="C8" s="7" t="s">
        <v>1568</v>
      </c>
      <c r="D8" s="7" t="s">
        <v>1569</v>
      </c>
      <c r="E8" s="7" t="s">
        <v>1570</v>
      </c>
      <c r="F8" s="7" t="s">
        <v>1571</v>
      </c>
      <c r="G8" s="13" t="s">
        <v>1572</v>
      </c>
      <c r="H8" s="13" t="s">
        <v>1573</v>
      </c>
      <c r="I8" s="7" t="s">
        <v>1574</v>
      </c>
    </row>
    <row r="9" customFormat="false" ht="23.85" hidden="false" customHeight="false" outlineLevel="0" collapsed="false">
      <c r="A9" s="13" t="n">
        <v>5</v>
      </c>
      <c r="B9" s="10" t="s">
        <v>1575</v>
      </c>
      <c r="C9" s="7" t="s">
        <v>1576</v>
      </c>
      <c r="D9" s="7" t="s">
        <v>1577</v>
      </c>
      <c r="E9" s="7" t="s">
        <v>1578</v>
      </c>
      <c r="F9" s="7" t="s">
        <v>1579</v>
      </c>
      <c r="G9" s="13" t="s">
        <v>1551</v>
      </c>
      <c r="H9" s="13" t="s">
        <v>1565</v>
      </c>
      <c r="I9" s="7" t="s">
        <v>1580</v>
      </c>
    </row>
    <row r="10" customFormat="false" ht="15" hidden="false" customHeight="false" outlineLevel="0" collapsed="false">
      <c r="A10" s="13" t="n">
        <v>6</v>
      </c>
      <c r="B10" s="10" t="s">
        <v>1581</v>
      </c>
      <c r="C10" s="7" t="s">
        <v>1582</v>
      </c>
      <c r="D10" s="7" t="s">
        <v>1583</v>
      </c>
      <c r="E10" s="7" t="s">
        <v>1584</v>
      </c>
      <c r="F10" s="7" t="s">
        <v>1585</v>
      </c>
      <c r="G10" s="13" t="s">
        <v>1572</v>
      </c>
      <c r="H10" s="13" t="s">
        <v>1573</v>
      </c>
      <c r="I10" s="7" t="s">
        <v>1586</v>
      </c>
    </row>
    <row r="11" customFormat="false" ht="23.85" hidden="false" customHeight="false" outlineLevel="0" collapsed="false">
      <c r="A11" s="13" t="n">
        <v>7</v>
      </c>
      <c r="B11" s="10" t="s">
        <v>1587</v>
      </c>
      <c r="C11" s="7" t="s">
        <v>1588</v>
      </c>
      <c r="D11" s="7" t="s">
        <v>1589</v>
      </c>
      <c r="E11" s="7" t="s">
        <v>1590</v>
      </c>
      <c r="F11" s="7" t="s">
        <v>1571</v>
      </c>
      <c r="G11" s="13" t="s">
        <v>1591</v>
      </c>
      <c r="H11" s="13" t="s">
        <v>1573</v>
      </c>
      <c r="I11" s="7" t="s">
        <v>1592</v>
      </c>
    </row>
    <row r="12" customFormat="false" ht="23.85" hidden="false" customHeight="false" outlineLevel="0" collapsed="false">
      <c r="A12" s="13" t="n">
        <v>8</v>
      </c>
      <c r="B12" s="10" t="s">
        <v>1593</v>
      </c>
      <c r="C12" s="7" t="s">
        <v>1594</v>
      </c>
      <c r="D12" s="7" t="s">
        <v>1595</v>
      </c>
      <c r="E12" s="7" t="s">
        <v>1596</v>
      </c>
      <c r="F12" s="7" t="s">
        <v>1597</v>
      </c>
      <c r="G12" s="13" t="s">
        <v>1572</v>
      </c>
      <c r="H12" s="13" t="s">
        <v>1573</v>
      </c>
      <c r="I12" s="7" t="s">
        <v>1598</v>
      </c>
    </row>
    <row r="13" customFormat="false" ht="23.85" hidden="false" customHeight="false" outlineLevel="0" collapsed="false">
      <c r="A13" s="13" t="n">
        <v>9</v>
      </c>
      <c r="B13" s="10" t="s">
        <v>1599</v>
      </c>
      <c r="C13" s="7" t="s">
        <v>1600</v>
      </c>
      <c r="D13" s="7" t="s">
        <v>196</v>
      </c>
      <c r="E13" s="7" t="s">
        <v>1556</v>
      </c>
      <c r="F13" s="7" t="s">
        <v>1601</v>
      </c>
      <c r="G13" s="13" t="s">
        <v>1591</v>
      </c>
      <c r="H13" s="13" t="s">
        <v>1573</v>
      </c>
      <c r="I13" s="7" t="s">
        <v>1602</v>
      </c>
    </row>
    <row r="14" customFormat="false" ht="23.85" hidden="false" customHeight="false" outlineLevel="0" collapsed="false">
      <c r="A14" s="13" t="n">
        <v>10</v>
      </c>
      <c r="B14" s="10" t="s">
        <v>1603</v>
      </c>
      <c r="C14" s="7" t="s">
        <v>1604</v>
      </c>
      <c r="D14" s="7" t="s">
        <v>1605</v>
      </c>
      <c r="E14" s="7" t="s">
        <v>1606</v>
      </c>
      <c r="F14" s="7" t="s">
        <v>1571</v>
      </c>
      <c r="G14" s="13" t="s">
        <v>1591</v>
      </c>
      <c r="H14" s="13" t="s">
        <v>1573</v>
      </c>
      <c r="I14" s="7" t="s">
        <v>1607</v>
      </c>
    </row>
    <row r="15" customFormat="false" ht="23.85" hidden="false" customHeight="false" outlineLevel="0" collapsed="false">
      <c r="A15" s="13" t="n">
        <v>11</v>
      </c>
      <c r="B15" s="10" t="s">
        <v>1608</v>
      </c>
      <c r="C15" s="7" t="s">
        <v>1609</v>
      </c>
      <c r="D15" s="7" t="s">
        <v>1610</v>
      </c>
      <c r="E15" s="7" t="s">
        <v>1611</v>
      </c>
      <c r="F15" s="7" t="s">
        <v>1612</v>
      </c>
      <c r="G15" s="13" t="s">
        <v>1572</v>
      </c>
      <c r="H15" s="13" t="s">
        <v>1565</v>
      </c>
      <c r="I15" s="7" t="s">
        <v>1613</v>
      </c>
    </row>
    <row r="16" customFormat="false" ht="23.85" hidden="false" customHeight="false" outlineLevel="0" collapsed="false">
      <c r="A16" s="13" t="n">
        <v>12</v>
      </c>
      <c r="B16" s="10" t="s">
        <v>1614</v>
      </c>
      <c r="C16" s="7" t="s">
        <v>1615</v>
      </c>
      <c r="D16" s="7" t="s">
        <v>1616</v>
      </c>
      <c r="E16" s="7" t="s">
        <v>1617</v>
      </c>
      <c r="F16" s="7" t="s">
        <v>1618</v>
      </c>
      <c r="G16" s="13" t="s">
        <v>1572</v>
      </c>
      <c r="H16" s="13" t="s">
        <v>1573</v>
      </c>
      <c r="I16" s="7" t="s">
        <v>1619</v>
      </c>
    </row>
    <row r="17" customFormat="false" ht="23.85" hidden="false" customHeight="false" outlineLevel="0" collapsed="false">
      <c r="A17" s="13" t="n">
        <v>13</v>
      </c>
      <c r="B17" s="10" t="s">
        <v>1620</v>
      </c>
      <c r="C17" s="7" t="s">
        <v>1621</v>
      </c>
      <c r="D17" s="7" t="s">
        <v>1622</v>
      </c>
      <c r="E17" s="7" t="s">
        <v>1623</v>
      </c>
      <c r="F17" s="7" t="s">
        <v>1624</v>
      </c>
      <c r="G17" s="13" t="s">
        <v>1625</v>
      </c>
      <c r="H17" s="13" t="s">
        <v>213</v>
      </c>
      <c r="I17" s="7" t="s">
        <v>1626</v>
      </c>
    </row>
    <row r="18" customFormat="false" ht="23.85" hidden="false" customHeight="false" outlineLevel="0" collapsed="false">
      <c r="A18" s="13" t="n">
        <v>14</v>
      </c>
      <c r="B18" s="10" t="s">
        <v>1627</v>
      </c>
      <c r="C18" s="7" t="s">
        <v>1628</v>
      </c>
      <c r="D18" s="7" t="s">
        <v>1629</v>
      </c>
      <c r="E18" s="7" t="s">
        <v>1630</v>
      </c>
      <c r="F18" s="7" t="s">
        <v>1631</v>
      </c>
      <c r="G18" s="13" t="s">
        <v>1591</v>
      </c>
      <c r="H18" s="13" t="s">
        <v>1573</v>
      </c>
      <c r="I18" s="7" t="s">
        <v>1632</v>
      </c>
    </row>
    <row r="20" customFormat="false" ht="15" hidden="false" customHeight="false" outlineLevel="0" collapsed="false">
      <c r="B20" s="20" t="s">
        <v>1633</v>
      </c>
      <c r="C20" s="21" t="n">
        <f aca="false">COUNTIF(H5:H18,"Sim")</f>
        <v>3</v>
      </c>
    </row>
    <row r="21" customFormat="false" ht="15" hidden="false" customHeight="false" outlineLevel="0" collapsed="false">
      <c r="B21" s="20" t="s">
        <v>1634</v>
      </c>
      <c r="C21" s="21" t="n">
        <f aca="false">COUNTIF(H5:H18,"Parcial")</f>
        <v>3</v>
      </c>
    </row>
    <row r="22" customFormat="false" ht="15" hidden="false" customHeight="false" outlineLevel="0" collapsed="false">
      <c r="B22" s="20" t="s">
        <v>1635</v>
      </c>
      <c r="C22" s="21" t="n">
        <f aca="false">COUNTA(B5:B18)</f>
        <v>14</v>
      </c>
    </row>
    <row r="24" customFormat="false" ht="31.5" hidden="false" customHeight="true" outlineLevel="0" collapsed="false">
      <c r="A24" s="8"/>
      <c r="B24" s="8" t="s">
        <v>1636</v>
      </c>
      <c r="C24" s="8" t="s">
        <v>1637</v>
      </c>
    </row>
    <row r="25" customFormat="false" ht="15" hidden="false" customHeight="false" outlineLevel="0" collapsed="false">
      <c r="B25" s="7" t="s">
        <v>1638</v>
      </c>
      <c r="C25" s="7" t="s">
        <v>1639</v>
      </c>
    </row>
    <row r="26" customFormat="false" ht="15" hidden="false" customHeight="false" outlineLevel="0" collapsed="false">
      <c r="B26" s="7" t="s">
        <v>1640</v>
      </c>
      <c r="C26" s="7" t="s">
        <v>1641</v>
      </c>
    </row>
    <row r="27" customFormat="false" ht="23.85" hidden="false" customHeight="false" outlineLevel="0" collapsed="false">
      <c r="B27" s="7" t="s">
        <v>1642</v>
      </c>
      <c r="C27" s="7" t="s">
        <v>1643</v>
      </c>
    </row>
    <row r="28" customFormat="false" ht="23.85" hidden="false" customHeight="false" outlineLevel="0" collapsed="false">
      <c r="B28" s="7" t="s">
        <v>1644</v>
      </c>
      <c r="C28" s="7" t="s">
        <v>1645</v>
      </c>
    </row>
    <row r="29" customFormat="false" ht="15" hidden="false" customHeight="false" outlineLevel="0" collapsed="false">
      <c r="B29" s="7" t="s">
        <v>1646</v>
      </c>
      <c r="C29" s="7" t="s">
        <v>1647</v>
      </c>
    </row>
    <row r="30" customFormat="false" ht="23.85" hidden="false" customHeight="false" outlineLevel="0" collapsed="false">
      <c r="B30" s="7" t="s">
        <v>1648</v>
      </c>
      <c r="C30" s="7" t="s">
        <v>1649</v>
      </c>
    </row>
    <row r="31" customFormat="false" ht="15" hidden="false" customHeight="false" outlineLevel="0" collapsed="false">
      <c r="B31" s="7" t="s">
        <v>1650</v>
      </c>
      <c r="C31" s="7" t="s">
        <v>1651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C2626"/>
    <pageSetUpPr fitToPage="true"/>
  </sheetPr>
  <dimension ref="A1:F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56"/>
    <col collapsed="false" customWidth="true" hidden="false" outlineLevel="0" max="3" min="3" style="0" width="16"/>
    <col collapsed="false" customWidth="true" hidden="false" outlineLevel="0" max="4" min="4" style="0" width="44"/>
    <col collapsed="false" customWidth="true" hidden="false" outlineLevel="0" max="5" min="5" style="0" width="22"/>
    <col collapsed="false" customWidth="true" hidden="false" outlineLevel="0" max="6" min="6" style="0" width="48"/>
  </cols>
  <sheetData>
    <row r="1" customFormat="false" ht="17.35" hidden="false" customHeight="false" outlineLevel="0" collapsed="false">
      <c r="A1" s="1" t="s">
        <v>1652</v>
      </c>
    </row>
    <row r="2" customFormat="false" ht="15" hidden="false" customHeight="false" outlineLevel="0" collapsed="false">
      <c r="A2" s="2" t="s">
        <v>1653</v>
      </c>
    </row>
    <row r="4" customFormat="false" ht="31.5" hidden="false" customHeight="true" outlineLevel="0" collapsed="false">
      <c r="A4" s="8" t="s">
        <v>1654</v>
      </c>
      <c r="B4" s="8" t="s">
        <v>1655</v>
      </c>
      <c r="C4" s="8" t="s">
        <v>1656</v>
      </c>
      <c r="D4" s="8" t="s">
        <v>1657</v>
      </c>
      <c r="E4" s="8" t="s">
        <v>1658</v>
      </c>
      <c r="F4" s="8" t="s">
        <v>1545</v>
      </c>
    </row>
    <row r="5" customFormat="false" ht="23.85" hidden="false" customHeight="false" outlineLevel="0" collapsed="false">
      <c r="A5" s="10" t="s">
        <v>35</v>
      </c>
      <c r="B5" s="7" t="s">
        <v>1659</v>
      </c>
      <c r="C5" s="7" t="s">
        <v>1660</v>
      </c>
      <c r="D5" s="7" t="s">
        <v>1661</v>
      </c>
      <c r="E5" s="7" t="s">
        <v>1662</v>
      </c>
      <c r="F5" s="7" t="s">
        <v>1663</v>
      </c>
    </row>
    <row r="6" customFormat="false" ht="23.85" hidden="false" customHeight="false" outlineLevel="0" collapsed="false">
      <c r="A6" s="10" t="s">
        <v>503</v>
      </c>
      <c r="B6" s="7" t="s">
        <v>1664</v>
      </c>
      <c r="C6" s="7" t="s">
        <v>1660</v>
      </c>
      <c r="D6" s="7" t="s">
        <v>1665</v>
      </c>
      <c r="E6" s="7" t="s">
        <v>1666</v>
      </c>
      <c r="F6" s="7" t="s">
        <v>1667</v>
      </c>
    </row>
    <row r="7" customFormat="false" ht="15" hidden="false" customHeight="false" outlineLevel="0" collapsed="false">
      <c r="A7" s="10" t="s">
        <v>1668</v>
      </c>
      <c r="B7" s="7" t="s">
        <v>1669</v>
      </c>
      <c r="C7" s="7" t="s">
        <v>1660</v>
      </c>
      <c r="D7" s="7" t="s">
        <v>1670</v>
      </c>
      <c r="E7" s="7" t="s">
        <v>1662</v>
      </c>
      <c r="F7" s="7" t="s">
        <v>1671</v>
      </c>
    </row>
    <row r="8" customFormat="false" ht="15" hidden="false" customHeight="false" outlineLevel="0" collapsed="false">
      <c r="A8" s="10" t="s">
        <v>1672</v>
      </c>
      <c r="B8" s="7" t="s">
        <v>1673</v>
      </c>
      <c r="C8" s="7" t="s">
        <v>1674</v>
      </c>
      <c r="D8" s="7" t="s">
        <v>1675</v>
      </c>
      <c r="E8" s="7" t="s">
        <v>1676</v>
      </c>
      <c r="F8" s="7" t="s">
        <v>1677</v>
      </c>
    </row>
    <row r="9" customFormat="false" ht="15" hidden="false" customHeight="false" outlineLevel="0" collapsed="false">
      <c r="A9" s="10" t="s">
        <v>1678</v>
      </c>
      <c r="B9" s="7" t="s">
        <v>1679</v>
      </c>
      <c r="C9" s="7" t="s">
        <v>1680</v>
      </c>
      <c r="D9" s="7" t="s">
        <v>1681</v>
      </c>
      <c r="E9" s="7" t="s">
        <v>1662</v>
      </c>
      <c r="F9" s="7" t="s">
        <v>1682</v>
      </c>
    </row>
    <row r="10" customFormat="false" ht="23.85" hidden="false" customHeight="false" outlineLevel="0" collapsed="false">
      <c r="A10" s="10" t="s">
        <v>9</v>
      </c>
      <c r="B10" s="7" t="s">
        <v>1683</v>
      </c>
      <c r="C10" s="7" t="s">
        <v>1674</v>
      </c>
      <c r="D10" s="7" t="s">
        <v>1684</v>
      </c>
      <c r="E10" s="7" t="s">
        <v>1662</v>
      </c>
      <c r="F10" s="7" t="s">
        <v>1685</v>
      </c>
    </row>
    <row r="11" customFormat="false" ht="23.85" hidden="false" customHeight="false" outlineLevel="0" collapsed="false">
      <c r="A11" s="10" t="s">
        <v>1686</v>
      </c>
      <c r="B11" s="7" t="s">
        <v>1687</v>
      </c>
      <c r="C11" s="7" t="s">
        <v>1688</v>
      </c>
      <c r="D11" s="7" t="s">
        <v>1689</v>
      </c>
      <c r="E11" s="7" t="s">
        <v>1690</v>
      </c>
      <c r="F11" s="7" t="s">
        <v>1691</v>
      </c>
    </row>
    <row r="12" customFormat="false" ht="23.85" hidden="false" customHeight="false" outlineLevel="0" collapsed="false">
      <c r="A12" s="10" t="s">
        <v>1692</v>
      </c>
      <c r="B12" s="7" t="s">
        <v>1693</v>
      </c>
      <c r="C12" s="7" t="s">
        <v>1688</v>
      </c>
      <c r="D12" s="7" t="s">
        <v>1694</v>
      </c>
      <c r="E12" s="7" t="s">
        <v>1695</v>
      </c>
      <c r="F12" s="7" t="s">
        <v>1696</v>
      </c>
    </row>
    <row r="13" customFormat="false" ht="23.85" hidden="false" customHeight="false" outlineLevel="0" collapsed="false">
      <c r="A13" s="10" t="s">
        <v>61</v>
      </c>
      <c r="B13" s="7" t="s">
        <v>1697</v>
      </c>
      <c r="C13" s="7" t="s">
        <v>1674</v>
      </c>
      <c r="D13" s="7" t="s">
        <v>1698</v>
      </c>
      <c r="E13" s="7" t="s">
        <v>1662</v>
      </c>
      <c r="F13" s="7" t="s">
        <v>1699</v>
      </c>
    </row>
    <row r="15" customFormat="false" ht="15" hidden="false" customHeight="true" outlineLevel="0" collapsed="false">
      <c r="A15" s="9" t="s">
        <v>1700</v>
      </c>
      <c r="B15" s="9"/>
      <c r="C15" s="9"/>
      <c r="D15" s="9"/>
      <c r="E15" s="9"/>
      <c r="F15" s="9"/>
    </row>
  </sheetData>
  <mergeCells count="1">
    <mergeCell ref="A15:F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C2626"/>
    <pageSetUpPr fitToPage="true"/>
  </sheetPr>
  <dimension ref="A1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0"/>
    <col collapsed="false" customWidth="true" hidden="false" outlineLevel="0" max="4" min="3" style="0" width="52"/>
    <col collapsed="false" customWidth="true" hidden="false" outlineLevel="0" max="5" min="5" style="0" width="46"/>
    <col collapsed="false" customWidth="true" hidden="false" outlineLevel="0" max="6" min="6" style="0" width="56"/>
    <col collapsed="false" customWidth="true" hidden="false" outlineLevel="0" max="7" min="7" style="0" width="40"/>
  </cols>
  <sheetData>
    <row r="1" customFormat="false" ht="17.35" hidden="false" customHeight="false" outlineLevel="0" collapsed="false">
      <c r="A1" s="1" t="s">
        <v>1701</v>
      </c>
    </row>
    <row r="2" customFormat="false" ht="15" hidden="false" customHeight="false" outlineLevel="0" collapsed="false">
      <c r="A2" s="2" t="s">
        <v>1702</v>
      </c>
    </row>
    <row r="4" customFormat="false" ht="31.5" hidden="false" customHeight="true" outlineLevel="0" collapsed="false">
      <c r="A4" s="8" t="s">
        <v>1703</v>
      </c>
      <c r="B4" s="8" t="s">
        <v>1704</v>
      </c>
      <c r="C4" s="8" t="s">
        <v>1705</v>
      </c>
      <c r="D4" s="8" t="s">
        <v>1706</v>
      </c>
      <c r="E4" s="8" t="s">
        <v>1707</v>
      </c>
      <c r="F4" s="8" t="s">
        <v>1708</v>
      </c>
      <c r="G4" s="8" t="s">
        <v>1709</v>
      </c>
    </row>
    <row r="5" customFormat="false" ht="35.05" hidden="false" customHeight="false" outlineLevel="0" collapsed="false">
      <c r="A5" s="10" t="s">
        <v>1710</v>
      </c>
      <c r="B5" s="7" t="s">
        <v>1711</v>
      </c>
      <c r="C5" s="7" t="s">
        <v>1712</v>
      </c>
      <c r="D5" s="7" t="s">
        <v>1713</v>
      </c>
      <c r="E5" s="7" t="s">
        <v>1714</v>
      </c>
      <c r="F5" s="7" t="s">
        <v>1715</v>
      </c>
      <c r="G5" s="7" t="s">
        <v>1716</v>
      </c>
    </row>
    <row r="6" customFormat="false" ht="23.85" hidden="false" customHeight="false" outlineLevel="0" collapsed="false">
      <c r="A6" s="10" t="s">
        <v>1717</v>
      </c>
      <c r="B6" s="7" t="s">
        <v>1718</v>
      </c>
      <c r="C6" s="7" t="s">
        <v>1719</v>
      </c>
      <c r="D6" s="7" t="s">
        <v>1720</v>
      </c>
      <c r="E6" s="7" t="s">
        <v>1721</v>
      </c>
      <c r="F6" s="7" t="s">
        <v>1722</v>
      </c>
      <c r="G6" s="7" t="s">
        <v>1723</v>
      </c>
    </row>
    <row r="7" customFormat="false" ht="46.25" hidden="false" customHeight="false" outlineLevel="0" collapsed="false">
      <c r="A7" s="10" t="s">
        <v>1724</v>
      </c>
      <c r="B7" s="7" t="s">
        <v>1725</v>
      </c>
      <c r="C7" s="7" t="s">
        <v>1726</v>
      </c>
      <c r="D7" s="7" t="s">
        <v>1727</v>
      </c>
      <c r="E7" s="7" t="s">
        <v>1728</v>
      </c>
      <c r="F7" s="7" t="s">
        <v>1729</v>
      </c>
      <c r="G7" s="7" t="s">
        <v>1730</v>
      </c>
    </row>
    <row r="8" customFormat="false" ht="23.85" hidden="false" customHeight="false" outlineLevel="0" collapsed="false">
      <c r="A8" s="10" t="s">
        <v>1731</v>
      </c>
      <c r="B8" s="7" t="s">
        <v>1732</v>
      </c>
      <c r="C8" s="7" t="s">
        <v>1733</v>
      </c>
      <c r="D8" s="7" t="s">
        <v>1733</v>
      </c>
      <c r="E8" s="7" t="s">
        <v>1734</v>
      </c>
      <c r="F8" s="7" t="s">
        <v>1735</v>
      </c>
      <c r="G8" s="7" t="s">
        <v>1716</v>
      </c>
    </row>
    <row r="9" customFormat="false" ht="35.05" hidden="false" customHeight="false" outlineLevel="0" collapsed="false">
      <c r="A9" s="10" t="s">
        <v>1736</v>
      </c>
      <c r="B9" s="7" t="s">
        <v>1737</v>
      </c>
      <c r="C9" s="7" t="s">
        <v>1738</v>
      </c>
      <c r="D9" s="7" t="s">
        <v>1739</v>
      </c>
      <c r="E9" s="7" t="s">
        <v>1740</v>
      </c>
      <c r="F9" s="7" t="s">
        <v>1741</v>
      </c>
      <c r="G9" s="7" t="s">
        <v>1742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C2626"/>
    <pageSetUpPr fitToPage="true"/>
  </sheetPr>
  <dimension ref="A1:G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8"/>
    <col collapsed="false" customWidth="true" hidden="false" outlineLevel="0" max="3" min="3" style="0" width="22"/>
    <col collapsed="false" customWidth="true" hidden="false" outlineLevel="0" max="4" min="4" style="0" width="46"/>
    <col collapsed="false" customWidth="true" hidden="false" outlineLevel="0" max="5" min="5" style="0" width="56"/>
    <col collapsed="false" customWidth="true" hidden="false" outlineLevel="0" max="6" min="6" style="0" width="14"/>
    <col collapsed="false" customWidth="true" hidden="false" outlineLevel="0" max="7" min="7" style="0" width="50"/>
  </cols>
  <sheetData>
    <row r="1" customFormat="false" ht="17.35" hidden="false" customHeight="false" outlineLevel="0" collapsed="false">
      <c r="A1" s="1" t="s">
        <v>1743</v>
      </c>
    </row>
    <row r="2" customFormat="false" ht="15" hidden="false" customHeight="false" outlineLevel="0" collapsed="false">
      <c r="A2" s="2" t="s">
        <v>1744</v>
      </c>
    </row>
    <row r="4" customFormat="false" ht="31.5" hidden="false" customHeight="true" outlineLevel="0" collapsed="false">
      <c r="A4" s="8" t="s">
        <v>229</v>
      </c>
      <c r="B4" s="8" t="s">
        <v>1745</v>
      </c>
      <c r="C4" s="8" t="s">
        <v>1746</v>
      </c>
      <c r="D4" s="8" t="s">
        <v>1747</v>
      </c>
      <c r="E4" s="8" t="s">
        <v>1748</v>
      </c>
      <c r="F4" s="8" t="s">
        <v>1749</v>
      </c>
      <c r="G4" s="8" t="s">
        <v>1545</v>
      </c>
    </row>
    <row r="5" customFormat="false" ht="15" hidden="false" customHeight="false" outlineLevel="0" collapsed="false">
      <c r="A5" s="13" t="n">
        <v>1</v>
      </c>
      <c r="B5" s="10" t="s">
        <v>1750</v>
      </c>
      <c r="C5" s="7" t="s">
        <v>1751</v>
      </c>
      <c r="D5" s="7" t="s">
        <v>1752</v>
      </c>
      <c r="E5" s="7" t="s">
        <v>1753</v>
      </c>
      <c r="F5" s="7" t="s">
        <v>1573</v>
      </c>
      <c r="G5" s="7" t="s">
        <v>1754</v>
      </c>
    </row>
    <row r="6" customFormat="false" ht="15" hidden="false" customHeight="false" outlineLevel="0" collapsed="false">
      <c r="A6" s="13" t="n">
        <v>2</v>
      </c>
      <c r="B6" s="10" t="s">
        <v>1750</v>
      </c>
      <c r="C6" s="7" t="s">
        <v>1751</v>
      </c>
      <c r="D6" s="7" t="s">
        <v>1755</v>
      </c>
      <c r="E6" s="7" t="s">
        <v>1756</v>
      </c>
      <c r="F6" s="7" t="s">
        <v>1573</v>
      </c>
      <c r="G6" s="7" t="s">
        <v>196</v>
      </c>
    </row>
    <row r="7" customFormat="false" ht="15" hidden="false" customHeight="false" outlineLevel="0" collapsed="false">
      <c r="A7" s="13" t="n">
        <v>3</v>
      </c>
      <c r="B7" s="10" t="s">
        <v>1750</v>
      </c>
      <c r="C7" s="7" t="s">
        <v>1751</v>
      </c>
      <c r="D7" s="7" t="s">
        <v>1757</v>
      </c>
      <c r="E7" s="7" t="s">
        <v>1758</v>
      </c>
      <c r="F7" s="7" t="s">
        <v>213</v>
      </c>
      <c r="G7" s="7" t="s">
        <v>1759</v>
      </c>
    </row>
    <row r="8" customFormat="false" ht="15" hidden="false" customHeight="false" outlineLevel="0" collapsed="false">
      <c r="A8" s="13" t="n">
        <v>4</v>
      </c>
      <c r="B8" s="10" t="s">
        <v>1750</v>
      </c>
      <c r="C8" s="7" t="s">
        <v>1751</v>
      </c>
      <c r="D8" s="7" t="s">
        <v>1760</v>
      </c>
      <c r="E8" s="7" t="s">
        <v>1761</v>
      </c>
      <c r="F8" s="7" t="s">
        <v>213</v>
      </c>
      <c r="G8" s="7" t="s">
        <v>1762</v>
      </c>
    </row>
    <row r="9" customFormat="false" ht="15" hidden="false" customHeight="false" outlineLevel="0" collapsed="false">
      <c r="A9" s="13" t="n">
        <v>5</v>
      </c>
      <c r="B9" s="10" t="s">
        <v>1750</v>
      </c>
      <c r="C9" s="7" t="s">
        <v>1751</v>
      </c>
      <c r="D9" s="7" t="s">
        <v>1763</v>
      </c>
      <c r="E9" s="7" t="s">
        <v>1764</v>
      </c>
      <c r="F9" s="7" t="s">
        <v>213</v>
      </c>
      <c r="G9" s="7" t="s">
        <v>1765</v>
      </c>
    </row>
    <row r="10" customFormat="false" ht="15" hidden="false" customHeight="false" outlineLevel="0" collapsed="false">
      <c r="A10" s="13" t="n">
        <v>6</v>
      </c>
      <c r="B10" s="10" t="s">
        <v>1750</v>
      </c>
      <c r="C10" s="7" t="s">
        <v>1751</v>
      </c>
      <c r="D10" s="7" t="s">
        <v>1766</v>
      </c>
      <c r="E10" s="7" t="s">
        <v>1767</v>
      </c>
      <c r="F10" s="7" t="s">
        <v>213</v>
      </c>
      <c r="G10" s="7" t="s">
        <v>1768</v>
      </c>
    </row>
    <row r="11" customFormat="false" ht="15" hidden="false" customHeight="false" outlineLevel="0" collapsed="false">
      <c r="A11" s="13" t="n">
        <v>7</v>
      </c>
      <c r="B11" s="10" t="s">
        <v>1750</v>
      </c>
      <c r="C11" s="7" t="s">
        <v>1751</v>
      </c>
      <c r="D11" s="7" t="s">
        <v>1769</v>
      </c>
      <c r="E11" s="7" t="s">
        <v>1770</v>
      </c>
      <c r="F11" s="7" t="s">
        <v>213</v>
      </c>
      <c r="G11" s="7" t="s">
        <v>1771</v>
      </c>
    </row>
    <row r="12" customFormat="false" ht="15" hidden="false" customHeight="false" outlineLevel="0" collapsed="false">
      <c r="A12" s="13" t="n">
        <v>8</v>
      </c>
      <c r="B12" s="10" t="s">
        <v>1750</v>
      </c>
      <c r="C12" s="7" t="s">
        <v>1751</v>
      </c>
      <c r="D12" s="7" t="s">
        <v>1772</v>
      </c>
      <c r="E12" s="7" t="s">
        <v>1773</v>
      </c>
      <c r="F12" s="7" t="s">
        <v>1573</v>
      </c>
      <c r="G12" s="7" t="s">
        <v>1774</v>
      </c>
    </row>
    <row r="13" customFormat="false" ht="15" hidden="false" customHeight="false" outlineLevel="0" collapsed="false">
      <c r="A13" s="13" t="n">
        <v>9</v>
      </c>
      <c r="B13" s="10" t="s">
        <v>1750</v>
      </c>
      <c r="C13" s="7" t="s">
        <v>1775</v>
      </c>
      <c r="D13" s="7" t="s">
        <v>1776</v>
      </c>
      <c r="E13" s="7" t="s">
        <v>1777</v>
      </c>
      <c r="F13" s="7" t="s">
        <v>213</v>
      </c>
      <c r="G13" s="7" t="s">
        <v>1778</v>
      </c>
    </row>
    <row r="14" customFormat="false" ht="15" hidden="false" customHeight="false" outlineLevel="0" collapsed="false">
      <c r="A14" s="13" t="n">
        <v>10</v>
      </c>
      <c r="B14" s="10" t="s">
        <v>1750</v>
      </c>
      <c r="C14" s="7" t="s">
        <v>1779</v>
      </c>
      <c r="D14" s="7" t="s">
        <v>1780</v>
      </c>
      <c r="E14" s="7" t="s">
        <v>1781</v>
      </c>
      <c r="F14" s="7" t="s">
        <v>213</v>
      </c>
      <c r="G14" s="7" t="s">
        <v>1782</v>
      </c>
    </row>
    <row r="15" customFormat="false" ht="15" hidden="false" customHeight="false" outlineLevel="0" collapsed="false">
      <c r="A15" s="13" t="n">
        <v>11</v>
      </c>
      <c r="B15" s="10" t="s">
        <v>1750</v>
      </c>
      <c r="C15" s="7" t="s">
        <v>1783</v>
      </c>
      <c r="D15" s="7" t="s">
        <v>1784</v>
      </c>
      <c r="E15" s="7" t="s">
        <v>1785</v>
      </c>
      <c r="F15" s="7" t="s">
        <v>1573</v>
      </c>
      <c r="G15" s="7" t="s">
        <v>196</v>
      </c>
    </row>
    <row r="16" customFormat="false" ht="15" hidden="false" customHeight="false" outlineLevel="0" collapsed="false">
      <c r="A16" s="13" t="n">
        <v>12</v>
      </c>
      <c r="B16" s="10" t="s">
        <v>1750</v>
      </c>
      <c r="C16" s="7" t="s">
        <v>1751</v>
      </c>
      <c r="D16" s="7" t="s">
        <v>1786</v>
      </c>
      <c r="E16" s="7" t="s">
        <v>1787</v>
      </c>
      <c r="F16" s="7" t="s">
        <v>213</v>
      </c>
      <c r="G16" s="7" t="s">
        <v>1788</v>
      </c>
    </row>
    <row r="17" customFormat="false" ht="15" hidden="false" customHeight="false" outlineLevel="0" collapsed="false">
      <c r="A17" s="13" t="n">
        <v>13</v>
      </c>
      <c r="B17" s="10" t="s">
        <v>1789</v>
      </c>
      <c r="C17" s="7" t="s">
        <v>1790</v>
      </c>
      <c r="D17" s="7" t="s">
        <v>1791</v>
      </c>
      <c r="E17" s="7" t="s">
        <v>1792</v>
      </c>
      <c r="F17" s="7" t="s">
        <v>213</v>
      </c>
      <c r="G17" s="7" t="s">
        <v>1793</v>
      </c>
    </row>
    <row r="18" customFormat="false" ht="15" hidden="false" customHeight="false" outlineLevel="0" collapsed="false">
      <c r="A18" s="13" t="n">
        <v>14</v>
      </c>
      <c r="B18" s="10" t="s">
        <v>1789</v>
      </c>
      <c r="C18" s="7" t="s">
        <v>1790</v>
      </c>
      <c r="D18" s="7" t="s">
        <v>1794</v>
      </c>
      <c r="E18" s="7" t="s">
        <v>1795</v>
      </c>
      <c r="F18" s="7" t="s">
        <v>1573</v>
      </c>
      <c r="G18" s="7" t="s">
        <v>196</v>
      </c>
    </row>
    <row r="19" customFormat="false" ht="15" hidden="false" customHeight="false" outlineLevel="0" collapsed="false">
      <c r="A19" s="13" t="n">
        <v>15</v>
      </c>
      <c r="B19" s="10" t="s">
        <v>1789</v>
      </c>
      <c r="C19" s="7" t="s">
        <v>1790</v>
      </c>
      <c r="D19" s="7" t="s">
        <v>1796</v>
      </c>
      <c r="E19" s="7" t="s">
        <v>1797</v>
      </c>
      <c r="F19" s="7" t="s">
        <v>1573</v>
      </c>
      <c r="G19" s="7" t="s">
        <v>1798</v>
      </c>
    </row>
    <row r="20" customFormat="false" ht="15" hidden="false" customHeight="false" outlineLevel="0" collapsed="false">
      <c r="A20" s="13" t="n">
        <v>16</v>
      </c>
      <c r="B20" s="10" t="s">
        <v>1789</v>
      </c>
      <c r="C20" s="7" t="s">
        <v>1790</v>
      </c>
      <c r="D20" s="7" t="s">
        <v>1799</v>
      </c>
      <c r="E20" s="7" t="s">
        <v>1800</v>
      </c>
      <c r="F20" s="7" t="s">
        <v>213</v>
      </c>
      <c r="G20" s="7" t="s">
        <v>1801</v>
      </c>
    </row>
    <row r="21" customFormat="false" ht="15" hidden="false" customHeight="false" outlineLevel="0" collapsed="false">
      <c r="A21" s="13" t="n">
        <v>17</v>
      </c>
      <c r="B21" s="10" t="s">
        <v>1789</v>
      </c>
      <c r="C21" s="7" t="s">
        <v>1790</v>
      </c>
      <c r="D21" s="7" t="s">
        <v>1802</v>
      </c>
      <c r="E21" s="7" t="s">
        <v>1803</v>
      </c>
      <c r="F21" s="7" t="s">
        <v>1573</v>
      </c>
      <c r="G21" s="7" t="s">
        <v>1804</v>
      </c>
    </row>
    <row r="22" customFormat="false" ht="15" hidden="false" customHeight="false" outlineLevel="0" collapsed="false">
      <c r="A22" s="13" t="n">
        <v>18</v>
      </c>
      <c r="B22" s="10" t="s">
        <v>1789</v>
      </c>
      <c r="C22" s="7" t="s">
        <v>1790</v>
      </c>
      <c r="D22" s="7" t="s">
        <v>1805</v>
      </c>
      <c r="E22" s="7" t="s">
        <v>1806</v>
      </c>
      <c r="F22" s="7" t="s">
        <v>1573</v>
      </c>
      <c r="G22" s="7" t="s">
        <v>196</v>
      </c>
    </row>
    <row r="23" customFormat="false" ht="15" hidden="false" customHeight="false" outlineLevel="0" collapsed="false">
      <c r="A23" s="13" t="n">
        <v>19</v>
      </c>
      <c r="B23" s="10" t="s">
        <v>1789</v>
      </c>
      <c r="C23" s="7" t="s">
        <v>1807</v>
      </c>
      <c r="D23" s="7" t="s">
        <v>1808</v>
      </c>
      <c r="E23" s="7" t="s">
        <v>1809</v>
      </c>
      <c r="F23" s="7" t="s">
        <v>1573</v>
      </c>
      <c r="G23" s="7" t="s">
        <v>1810</v>
      </c>
    </row>
    <row r="24" customFormat="false" ht="15" hidden="false" customHeight="false" outlineLevel="0" collapsed="false">
      <c r="A24" s="13" t="n">
        <v>20</v>
      </c>
      <c r="B24" s="10" t="s">
        <v>1789</v>
      </c>
      <c r="C24" s="7" t="s">
        <v>1807</v>
      </c>
      <c r="D24" s="7" t="s">
        <v>1811</v>
      </c>
      <c r="E24" s="7" t="s">
        <v>1812</v>
      </c>
      <c r="F24" s="7" t="s">
        <v>213</v>
      </c>
      <c r="G24" s="7" t="s">
        <v>1813</v>
      </c>
    </row>
    <row r="25" customFormat="false" ht="15" hidden="false" customHeight="false" outlineLevel="0" collapsed="false">
      <c r="A25" s="13" t="n">
        <v>21</v>
      </c>
      <c r="B25" s="10" t="s">
        <v>1789</v>
      </c>
      <c r="C25" s="7" t="s">
        <v>1807</v>
      </c>
      <c r="D25" s="7" t="s">
        <v>1814</v>
      </c>
      <c r="E25" s="7" t="s">
        <v>1815</v>
      </c>
      <c r="F25" s="7" t="s">
        <v>1573</v>
      </c>
      <c r="G25" s="7" t="s">
        <v>196</v>
      </c>
    </row>
    <row r="26" customFormat="false" ht="15" hidden="false" customHeight="false" outlineLevel="0" collapsed="false">
      <c r="A26" s="13" t="n">
        <v>22</v>
      </c>
      <c r="B26" s="10" t="s">
        <v>1789</v>
      </c>
      <c r="C26" s="7" t="s">
        <v>1807</v>
      </c>
      <c r="D26" s="7" t="s">
        <v>1816</v>
      </c>
      <c r="E26" s="7" t="s">
        <v>1817</v>
      </c>
      <c r="F26" s="7" t="s">
        <v>1573</v>
      </c>
      <c r="G26" s="7" t="s">
        <v>1818</v>
      </c>
    </row>
    <row r="27" customFormat="false" ht="15" hidden="false" customHeight="false" outlineLevel="0" collapsed="false">
      <c r="A27" s="13" t="n">
        <v>23</v>
      </c>
      <c r="B27" s="10" t="s">
        <v>1789</v>
      </c>
      <c r="C27" s="7" t="s">
        <v>1807</v>
      </c>
      <c r="D27" s="7" t="s">
        <v>1819</v>
      </c>
      <c r="E27" s="7" t="s">
        <v>1820</v>
      </c>
      <c r="F27" s="7" t="s">
        <v>213</v>
      </c>
      <c r="G27" s="7" t="s">
        <v>1821</v>
      </c>
    </row>
    <row r="28" customFormat="false" ht="15" hidden="false" customHeight="false" outlineLevel="0" collapsed="false">
      <c r="A28" s="13" t="n">
        <v>24</v>
      </c>
      <c r="B28" s="10" t="s">
        <v>1789</v>
      </c>
      <c r="C28" s="7" t="s">
        <v>1807</v>
      </c>
      <c r="D28" s="7" t="s">
        <v>1822</v>
      </c>
      <c r="E28" s="7" t="s">
        <v>1823</v>
      </c>
      <c r="F28" s="7" t="s">
        <v>1573</v>
      </c>
      <c r="G28" s="7" t="s">
        <v>196</v>
      </c>
    </row>
    <row r="29" customFormat="false" ht="15" hidden="false" customHeight="false" outlineLevel="0" collapsed="false">
      <c r="A29" s="13" t="n">
        <v>25</v>
      </c>
      <c r="B29" s="10" t="s">
        <v>1789</v>
      </c>
      <c r="C29" s="7" t="s">
        <v>1824</v>
      </c>
      <c r="D29" s="7" t="s">
        <v>1825</v>
      </c>
      <c r="E29" s="7" t="s">
        <v>1826</v>
      </c>
      <c r="F29" s="7" t="s">
        <v>1573</v>
      </c>
      <c r="G29" s="7" t="s">
        <v>1827</v>
      </c>
    </row>
    <row r="30" customFormat="false" ht="23.85" hidden="false" customHeight="false" outlineLevel="0" collapsed="false">
      <c r="A30" s="13" t="n">
        <v>26</v>
      </c>
      <c r="B30" s="10" t="s">
        <v>1828</v>
      </c>
      <c r="C30" s="7" t="s">
        <v>1829</v>
      </c>
      <c r="D30" s="7" t="s">
        <v>1830</v>
      </c>
      <c r="E30" s="7" t="s">
        <v>1831</v>
      </c>
      <c r="F30" s="7" t="s">
        <v>1832</v>
      </c>
      <c r="G30" s="7" t="s">
        <v>1833</v>
      </c>
    </row>
    <row r="31" customFormat="false" ht="15" hidden="false" customHeight="false" outlineLevel="0" collapsed="false">
      <c r="A31" s="13" t="n">
        <v>27</v>
      </c>
      <c r="B31" s="10" t="s">
        <v>1828</v>
      </c>
      <c r="C31" s="7" t="s">
        <v>1829</v>
      </c>
      <c r="D31" s="7" t="s">
        <v>1834</v>
      </c>
      <c r="E31" s="7" t="s">
        <v>1835</v>
      </c>
      <c r="F31" s="7" t="s">
        <v>1573</v>
      </c>
      <c r="G31" s="7" t="s">
        <v>1836</v>
      </c>
    </row>
    <row r="32" customFormat="false" ht="15" hidden="false" customHeight="false" outlineLevel="0" collapsed="false">
      <c r="A32" s="13" t="n">
        <v>28</v>
      </c>
      <c r="B32" s="10" t="s">
        <v>1828</v>
      </c>
      <c r="C32" s="7" t="s">
        <v>1829</v>
      </c>
      <c r="D32" s="7" t="s">
        <v>1837</v>
      </c>
      <c r="E32" s="7" t="s">
        <v>1838</v>
      </c>
      <c r="F32" s="7" t="s">
        <v>1573</v>
      </c>
      <c r="G32" s="7" t="s">
        <v>1839</v>
      </c>
    </row>
    <row r="33" customFormat="false" ht="15" hidden="false" customHeight="false" outlineLevel="0" collapsed="false">
      <c r="A33" s="13" t="n">
        <v>29</v>
      </c>
      <c r="B33" s="10" t="s">
        <v>1840</v>
      </c>
      <c r="C33" s="7" t="s">
        <v>1662</v>
      </c>
      <c r="D33" s="7" t="s">
        <v>1841</v>
      </c>
      <c r="E33" s="7" t="s">
        <v>1842</v>
      </c>
      <c r="F33" s="7" t="s">
        <v>1573</v>
      </c>
      <c r="G33" s="7" t="s">
        <v>1843</v>
      </c>
    </row>
    <row r="34" customFormat="false" ht="15" hidden="false" customHeight="false" outlineLevel="0" collapsed="false">
      <c r="A34" s="13" t="n">
        <v>30</v>
      </c>
      <c r="B34" s="10" t="s">
        <v>1840</v>
      </c>
      <c r="C34" s="7" t="s">
        <v>1662</v>
      </c>
      <c r="D34" s="7" t="s">
        <v>1844</v>
      </c>
      <c r="E34" s="7" t="s">
        <v>1845</v>
      </c>
      <c r="F34" s="7" t="s">
        <v>1573</v>
      </c>
      <c r="G34" s="7" t="s">
        <v>1846</v>
      </c>
    </row>
    <row r="35" customFormat="false" ht="15" hidden="false" customHeight="false" outlineLevel="0" collapsed="false">
      <c r="A35" s="13" t="n">
        <v>31</v>
      </c>
      <c r="B35" s="10" t="s">
        <v>1840</v>
      </c>
      <c r="C35" s="7" t="s">
        <v>1662</v>
      </c>
      <c r="D35" s="7" t="s">
        <v>1847</v>
      </c>
      <c r="E35" s="7" t="s">
        <v>1848</v>
      </c>
      <c r="F35" s="7" t="s">
        <v>1573</v>
      </c>
      <c r="G35" s="7" t="s">
        <v>1849</v>
      </c>
    </row>
    <row r="36" customFormat="false" ht="15" hidden="false" customHeight="false" outlineLevel="0" collapsed="false">
      <c r="A36" s="13" t="n">
        <v>32</v>
      </c>
      <c r="B36" s="10" t="s">
        <v>1840</v>
      </c>
      <c r="C36" s="7" t="s">
        <v>1662</v>
      </c>
      <c r="D36" s="7" t="s">
        <v>1850</v>
      </c>
      <c r="E36" s="7" t="s">
        <v>1851</v>
      </c>
      <c r="F36" s="7" t="s">
        <v>1573</v>
      </c>
      <c r="G36" s="7" t="s">
        <v>1852</v>
      </c>
    </row>
    <row r="38" customFormat="false" ht="15" hidden="false" customHeight="false" outlineLevel="0" collapsed="false">
      <c r="B38" s="20" t="s">
        <v>1853</v>
      </c>
      <c r="C38" s="21" t="n">
        <f aca="false">COUNTA(D5:D36)</f>
        <v>32</v>
      </c>
    </row>
    <row r="39" customFormat="false" ht="15" hidden="false" customHeight="false" outlineLevel="0" collapsed="false">
      <c r="B39" s="20" t="s">
        <v>1854</v>
      </c>
      <c r="C39" s="21" t="n">
        <f aca="false">COUNTIF(F5:F36,"Sim*")</f>
        <v>13</v>
      </c>
    </row>
    <row r="41" customFormat="false" ht="15" hidden="false" customHeight="true" outlineLevel="0" collapsed="false">
      <c r="B41" s="9" t="s">
        <v>1855</v>
      </c>
      <c r="C41" s="9"/>
      <c r="D41" s="9"/>
      <c r="E41" s="9"/>
      <c r="F41" s="9"/>
      <c r="G41" s="9"/>
    </row>
  </sheetData>
  <autoFilter ref="A4:G36"/>
  <mergeCells count="1">
    <mergeCell ref="B41:G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C2626"/>
    <pageSetUpPr fitToPage="true"/>
  </sheetPr>
  <dimension ref="A1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0"/>
    <col collapsed="false" customWidth="true" hidden="false" outlineLevel="0" max="3" min="3" style="0" width="60"/>
    <col collapsed="false" customWidth="true" hidden="false" outlineLevel="0" max="4" min="4" style="0" width="56"/>
    <col collapsed="false" customWidth="true" hidden="false" outlineLevel="0" max="5" min="5" style="0" width="34"/>
    <col collapsed="false" customWidth="true" hidden="false" outlineLevel="0" max="6" min="6" style="0" width="12"/>
    <col collapsed="false" customWidth="true" hidden="false" outlineLevel="0" max="7" min="7" style="0" width="30"/>
  </cols>
  <sheetData>
    <row r="1" customFormat="false" ht="17.35" hidden="false" customHeight="false" outlineLevel="0" collapsed="false">
      <c r="A1" s="1" t="s">
        <v>1856</v>
      </c>
    </row>
    <row r="2" customFormat="false" ht="15" hidden="false" customHeight="false" outlineLevel="0" collapsed="false">
      <c r="A2" s="2" t="s">
        <v>1857</v>
      </c>
    </row>
    <row r="4" customFormat="false" ht="31.5" hidden="false" customHeight="true" outlineLevel="0" collapsed="false">
      <c r="A4" s="8" t="s">
        <v>1858</v>
      </c>
      <c r="B4" s="8" t="s">
        <v>1859</v>
      </c>
      <c r="C4" s="8" t="s">
        <v>1860</v>
      </c>
      <c r="D4" s="8" t="s">
        <v>1861</v>
      </c>
      <c r="E4" s="8" t="s">
        <v>1862</v>
      </c>
      <c r="F4" s="8" t="s">
        <v>37</v>
      </c>
      <c r="G4" s="8" t="s">
        <v>1863</v>
      </c>
    </row>
    <row r="5" customFormat="false" ht="35.05" hidden="false" customHeight="false" outlineLevel="0" collapsed="false">
      <c r="A5" s="7" t="s">
        <v>1864</v>
      </c>
      <c r="B5" s="7" t="s">
        <v>1865</v>
      </c>
      <c r="C5" s="7" t="s">
        <v>1866</v>
      </c>
      <c r="D5" s="7" t="s">
        <v>1867</v>
      </c>
      <c r="E5" s="7" t="s">
        <v>1868</v>
      </c>
      <c r="F5" s="7" t="s">
        <v>1869</v>
      </c>
      <c r="G5" s="16"/>
    </row>
    <row r="6" customFormat="false" ht="23.85" hidden="false" customHeight="false" outlineLevel="0" collapsed="false">
      <c r="A6" s="7" t="s">
        <v>1864</v>
      </c>
      <c r="B6" s="7" t="s">
        <v>1870</v>
      </c>
      <c r="C6" s="7" t="s">
        <v>1871</v>
      </c>
      <c r="D6" s="7" t="s">
        <v>1872</v>
      </c>
      <c r="E6" s="7" t="s">
        <v>1789</v>
      </c>
      <c r="F6" s="7" t="s">
        <v>1869</v>
      </c>
      <c r="G6" s="16"/>
    </row>
    <row r="7" customFormat="false" ht="35.05" hidden="false" customHeight="false" outlineLevel="0" collapsed="false">
      <c r="A7" s="7" t="s">
        <v>1864</v>
      </c>
      <c r="B7" s="7" t="s">
        <v>1873</v>
      </c>
      <c r="C7" s="7" t="s">
        <v>1874</v>
      </c>
      <c r="D7" s="7" t="s">
        <v>1875</v>
      </c>
      <c r="E7" s="7" t="s">
        <v>1789</v>
      </c>
      <c r="F7" s="7" t="s">
        <v>1869</v>
      </c>
      <c r="G7" s="16"/>
    </row>
    <row r="8" customFormat="false" ht="15" hidden="false" customHeight="false" outlineLevel="0" collapsed="false">
      <c r="A8" s="7"/>
      <c r="B8" s="7"/>
      <c r="C8" s="7"/>
      <c r="D8" s="7"/>
      <c r="E8" s="7"/>
      <c r="F8" s="7"/>
      <c r="G8" s="12"/>
    </row>
    <row r="9" customFormat="false" ht="15" hidden="false" customHeight="false" outlineLevel="0" collapsed="false">
      <c r="A9" s="7"/>
      <c r="B9" s="7"/>
      <c r="C9" s="7"/>
      <c r="D9" s="7"/>
      <c r="E9" s="7"/>
      <c r="F9" s="7"/>
      <c r="G9" s="12"/>
    </row>
    <row r="10" customFormat="false" ht="15" hidden="false" customHeight="false" outlineLevel="0" collapsed="false">
      <c r="A10" s="7"/>
      <c r="B10" s="7"/>
      <c r="C10" s="7"/>
      <c r="D10" s="7"/>
      <c r="E10" s="7"/>
      <c r="F10" s="7"/>
      <c r="G10" s="12"/>
    </row>
    <row r="11" customFormat="false" ht="15" hidden="false" customHeight="false" outlineLevel="0" collapsed="false">
      <c r="A11" s="7"/>
      <c r="B11" s="7"/>
      <c r="C11" s="7"/>
      <c r="D11" s="7"/>
      <c r="E11" s="7"/>
      <c r="F11" s="7"/>
      <c r="G11" s="12"/>
    </row>
    <row r="12" customFormat="false" ht="15" hidden="false" customHeight="false" outlineLevel="0" collapsed="false">
      <c r="A12" s="7"/>
      <c r="B12" s="7"/>
      <c r="C12" s="7"/>
      <c r="D12" s="7"/>
      <c r="E12" s="7"/>
      <c r="F12" s="7"/>
      <c r="G12" s="12"/>
    </row>
    <row r="13" customFormat="false" ht="15" hidden="false" customHeight="false" outlineLevel="0" collapsed="false">
      <c r="A13" s="7"/>
      <c r="B13" s="7"/>
      <c r="C13" s="7"/>
      <c r="D13" s="7"/>
      <c r="E13" s="7"/>
      <c r="F13" s="7"/>
      <c r="G13" s="12"/>
    </row>
    <row r="14" customFormat="false" ht="15" hidden="false" customHeight="false" outlineLevel="0" collapsed="false">
      <c r="A14" s="7"/>
      <c r="B14" s="7"/>
      <c r="C14" s="7"/>
      <c r="D14" s="7"/>
      <c r="E14" s="7"/>
      <c r="F14" s="7"/>
      <c r="G14" s="12"/>
    </row>
    <row r="15" customFormat="false" ht="15" hidden="false" customHeight="false" outlineLevel="0" collapsed="false">
      <c r="A15" s="7"/>
      <c r="B15" s="7"/>
      <c r="C15" s="7"/>
      <c r="D15" s="7"/>
      <c r="E15" s="7"/>
      <c r="F15" s="7"/>
      <c r="G15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6B3C"/>
    <pageSetUpPr fitToPage="true"/>
  </sheetPr>
  <dimension ref="A1:J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0" min="2" style="0" width="15"/>
  </cols>
  <sheetData>
    <row r="1" customFormat="false" ht="17.35" hidden="false" customHeight="false" outlineLevel="0" collapsed="false">
      <c r="A1" s="1" t="s">
        <v>1876</v>
      </c>
    </row>
    <row r="2" customFormat="false" ht="15" hidden="false" customHeight="false" outlineLevel="0" collapsed="false">
      <c r="A2" s="2" t="s">
        <v>1877</v>
      </c>
    </row>
    <row r="4" customFormat="false" ht="31.5" hidden="false" customHeight="true" outlineLevel="0" collapsed="false">
      <c r="A4" s="8" t="s">
        <v>502</v>
      </c>
      <c r="B4" s="8" t="s">
        <v>246</v>
      </c>
      <c r="C4" s="8" t="s">
        <v>266</v>
      </c>
      <c r="D4" s="8" t="s">
        <v>276</v>
      </c>
      <c r="E4" s="8" t="s">
        <v>240</v>
      </c>
      <c r="F4" s="8" t="s">
        <v>290</v>
      </c>
      <c r="G4" s="8" t="s">
        <v>235</v>
      </c>
      <c r="H4" s="8" t="s">
        <v>394</v>
      </c>
      <c r="I4" s="8" t="s">
        <v>260</v>
      </c>
      <c r="J4" s="8" t="s">
        <v>271</v>
      </c>
    </row>
    <row r="5" customFormat="false" ht="15" hidden="false" customHeight="false" outlineLevel="0" collapsed="false">
      <c r="A5" s="10" t="s">
        <v>285</v>
      </c>
      <c r="B5" s="12" t="s">
        <v>1869</v>
      </c>
      <c r="C5" s="12" t="s">
        <v>1878</v>
      </c>
      <c r="D5" s="12" t="s">
        <v>1869</v>
      </c>
      <c r="E5" s="12" t="s">
        <v>1878</v>
      </c>
      <c r="F5" s="12" t="s">
        <v>1878</v>
      </c>
      <c r="G5" s="12" t="s">
        <v>1869</v>
      </c>
      <c r="H5" s="12" t="s">
        <v>1878</v>
      </c>
      <c r="I5" s="12" t="s">
        <v>1878</v>
      </c>
      <c r="J5" s="12" t="s">
        <v>1878</v>
      </c>
    </row>
    <row r="6" customFormat="false" ht="15" hidden="false" customHeight="false" outlineLevel="0" collapsed="false">
      <c r="A6" s="10" t="s">
        <v>286</v>
      </c>
      <c r="B6" s="12" t="s">
        <v>1878</v>
      </c>
      <c r="C6" s="12" t="s">
        <v>1869</v>
      </c>
      <c r="D6" s="12" t="s">
        <v>1878</v>
      </c>
      <c r="E6" s="12" t="s">
        <v>1869</v>
      </c>
      <c r="F6" s="12" t="s">
        <v>1869</v>
      </c>
      <c r="G6" s="12" t="s">
        <v>1869</v>
      </c>
      <c r="H6" s="12" t="s">
        <v>1878</v>
      </c>
      <c r="I6" s="12" t="s">
        <v>1878</v>
      </c>
      <c r="J6" s="12" t="s">
        <v>1878</v>
      </c>
    </row>
    <row r="7" customFormat="false" ht="15" hidden="false" customHeight="false" outlineLevel="0" collapsed="false">
      <c r="A7" s="10" t="s">
        <v>287</v>
      </c>
      <c r="B7" s="12" t="s">
        <v>1878</v>
      </c>
      <c r="C7" s="12" t="s">
        <v>1869</v>
      </c>
      <c r="D7" s="12" t="s">
        <v>1878</v>
      </c>
      <c r="E7" s="12" t="s">
        <v>1878</v>
      </c>
      <c r="F7" s="12" t="s">
        <v>1878</v>
      </c>
      <c r="G7" s="12" t="s">
        <v>1869</v>
      </c>
      <c r="H7" s="12" t="s">
        <v>1869</v>
      </c>
      <c r="I7" s="12" t="s">
        <v>1878</v>
      </c>
      <c r="J7" s="12" t="s">
        <v>1878</v>
      </c>
    </row>
    <row r="8" customFormat="false" ht="15" hidden="false" customHeight="false" outlineLevel="0" collapsed="false">
      <c r="A8" s="10" t="s">
        <v>288</v>
      </c>
      <c r="B8" s="12" t="s">
        <v>1869</v>
      </c>
      <c r="C8" s="12" t="s">
        <v>1878</v>
      </c>
      <c r="D8" s="12" t="s">
        <v>1869</v>
      </c>
      <c r="E8" s="12" t="s">
        <v>1878</v>
      </c>
      <c r="F8" s="12" t="s">
        <v>1869</v>
      </c>
      <c r="G8" s="12" t="s">
        <v>1869</v>
      </c>
      <c r="H8" s="12" t="s">
        <v>1869</v>
      </c>
      <c r="I8" s="12" t="s">
        <v>1878</v>
      </c>
      <c r="J8" s="12" t="s">
        <v>1878</v>
      </c>
    </row>
    <row r="9" customFormat="false" ht="15" hidden="false" customHeight="false" outlineLevel="0" collapsed="false">
      <c r="A9" s="10" t="s">
        <v>289</v>
      </c>
      <c r="B9" s="12" t="s">
        <v>1869</v>
      </c>
      <c r="C9" s="12" t="s">
        <v>1869</v>
      </c>
      <c r="D9" s="12" t="s">
        <v>1869</v>
      </c>
      <c r="E9" s="12" t="s">
        <v>1878</v>
      </c>
      <c r="F9" s="12" t="s">
        <v>1878</v>
      </c>
      <c r="G9" s="12" t="s">
        <v>1869</v>
      </c>
      <c r="H9" s="12" t="s">
        <v>1869</v>
      </c>
      <c r="I9" s="12" t="s">
        <v>1878</v>
      </c>
      <c r="J9" s="12" t="s">
        <v>1878</v>
      </c>
    </row>
    <row r="12" customFormat="false" ht="31.5" hidden="false" customHeight="true" outlineLevel="0" collapsed="false">
      <c r="A12" s="8" t="s">
        <v>230</v>
      </c>
      <c r="B12" s="8" t="s">
        <v>1879</v>
      </c>
    </row>
    <row r="13" customFormat="false" ht="15" hidden="false" customHeight="true" outlineLevel="0" collapsed="false">
      <c r="A13" s="10" t="s">
        <v>246</v>
      </c>
      <c r="B13" s="7" t="s">
        <v>1880</v>
      </c>
      <c r="C13" s="7"/>
      <c r="D13" s="7"/>
      <c r="E13" s="7"/>
      <c r="F13" s="7"/>
      <c r="G13" s="7"/>
      <c r="H13" s="7"/>
      <c r="I13" s="7"/>
      <c r="J13" s="7"/>
    </row>
    <row r="14" customFormat="false" ht="15" hidden="false" customHeight="true" outlineLevel="0" collapsed="false">
      <c r="A14" s="10" t="s">
        <v>266</v>
      </c>
      <c r="B14" s="7" t="s">
        <v>1881</v>
      </c>
      <c r="C14" s="7"/>
      <c r="D14" s="7"/>
      <c r="E14" s="7"/>
      <c r="F14" s="7"/>
      <c r="G14" s="7"/>
      <c r="H14" s="7"/>
      <c r="I14" s="7"/>
      <c r="J14" s="7"/>
    </row>
    <row r="15" customFormat="false" ht="23.85" hidden="false" customHeight="true" outlineLevel="0" collapsed="false">
      <c r="A15" s="10" t="s">
        <v>276</v>
      </c>
      <c r="B15" s="7" t="s">
        <v>1882</v>
      </c>
      <c r="C15" s="7"/>
      <c r="D15" s="7"/>
      <c r="E15" s="7"/>
      <c r="F15" s="7"/>
      <c r="G15" s="7"/>
      <c r="H15" s="7"/>
      <c r="I15" s="7"/>
      <c r="J15" s="7"/>
    </row>
    <row r="16" customFormat="false" ht="23.85" hidden="false" customHeight="true" outlineLevel="0" collapsed="false">
      <c r="A16" s="10" t="s">
        <v>240</v>
      </c>
      <c r="B16" s="7" t="s">
        <v>1883</v>
      </c>
      <c r="C16" s="7"/>
      <c r="D16" s="7"/>
      <c r="E16" s="7"/>
      <c r="F16" s="7"/>
      <c r="G16" s="7"/>
      <c r="H16" s="7"/>
      <c r="I16" s="7"/>
      <c r="J16" s="7"/>
    </row>
    <row r="17" customFormat="false" ht="23.85" hidden="false" customHeight="true" outlineLevel="0" collapsed="false">
      <c r="A17" s="10" t="s">
        <v>290</v>
      </c>
      <c r="B17" s="7" t="s">
        <v>1884</v>
      </c>
      <c r="C17" s="7"/>
      <c r="D17" s="7"/>
      <c r="E17" s="7"/>
      <c r="F17" s="7"/>
      <c r="G17" s="7"/>
      <c r="H17" s="7"/>
      <c r="I17" s="7"/>
      <c r="J17" s="7"/>
    </row>
    <row r="18" customFormat="false" ht="15" hidden="false" customHeight="true" outlineLevel="0" collapsed="false">
      <c r="A18" s="10" t="s">
        <v>235</v>
      </c>
      <c r="B18" s="7" t="s">
        <v>1885</v>
      </c>
      <c r="C18" s="7"/>
      <c r="D18" s="7"/>
      <c r="E18" s="7"/>
      <c r="F18" s="7"/>
      <c r="G18" s="7"/>
      <c r="H18" s="7"/>
      <c r="I18" s="7"/>
      <c r="J18" s="7"/>
    </row>
    <row r="19" customFormat="false" ht="23.85" hidden="false" customHeight="true" outlineLevel="0" collapsed="false">
      <c r="A19" s="10" t="s">
        <v>394</v>
      </c>
      <c r="B19" s="7" t="s">
        <v>1886</v>
      </c>
      <c r="C19" s="7"/>
      <c r="D19" s="7"/>
      <c r="E19" s="7"/>
      <c r="F19" s="7"/>
      <c r="G19" s="7"/>
      <c r="H19" s="7"/>
      <c r="I19" s="7"/>
      <c r="J19" s="7"/>
    </row>
    <row r="20" customFormat="false" ht="15" hidden="false" customHeight="true" outlineLevel="0" collapsed="false">
      <c r="A20" s="10" t="s">
        <v>260</v>
      </c>
      <c r="B20" s="7" t="s">
        <v>1887</v>
      </c>
      <c r="C20" s="7"/>
      <c r="D20" s="7"/>
      <c r="E20" s="7"/>
      <c r="F20" s="7"/>
      <c r="G20" s="7"/>
      <c r="H20" s="7"/>
      <c r="I20" s="7"/>
      <c r="J20" s="7"/>
    </row>
    <row r="21" customFormat="false" ht="15" hidden="false" customHeight="true" outlineLevel="0" collapsed="false">
      <c r="A21" s="10" t="s">
        <v>271</v>
      </c>
      <c r="B21" s="7" t="s">
        <v>1887</v>
      </c>
      <c r="C21" s="7"/>
      <c r="D21" s="7"/>
      <c r="E21" s="7"/>
      <c r="F21" s="7"/>
      <c r="G21" s="7"/>
      <c r="H21" s="7"/>
      <c r="I21" s="7"/>
      <c r="J21" s="7"/>
    </row>
  </sheetData>
  <mergeCells count="9">
    <mergeCell ref="B13:J13"/>
    <mergeCell ref="B14:J14"/>
    <mergeCell ref="B15:J15"/>
    <mergeCell ref="B16:J16"/>
    <mergeCell ref="B17:J17"/>
    <mergeCell ref="B18:J18"/>
    <mergeCell ref="B19:J19"/>
    <mergeCell ref="B20:J20"/>
    <mergeCell ref="B21:J21"/>
  </mergeCells>
  <conditionalFormatting sqref="B5:J9">
    <cfRule type="cellIs" priority="2" operator="equal" aboveAverage="0" equalAverage="0" bottom="0" percent="0" rank="0" text="" dxfId="6">
      <formula>"Alta"</formula>
    </cfRule>
    <cfRule type="cellIs" priority="3" operator="equal" aboveAverage="0" equalAverage="0" bottom="0" percent="0" rank="0" text="" dxfId="7">
      <formula>"Baixa"</formula>
    </cfRule>
  </conditionalFormatting>
  <dataValidations count="1">
    <dataValidation allowBlank="false" errorStyle="stop" operator="between" showDropDown="false" showErrorMessage="false" showInputMessage="false" sqref="B5:J9" type="list">
      <formula1>"Alta,Média,Baixa"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5309"/>
    <pageSetUpPr fitToPage="true"/>
  </sheetPr>
  <dimension ref="A1:J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8"/>
    <col collapsed="false" customWidth="true" hidden="false" outlineLevel="0" max="3" min="3" style="0" width="22"/>
    <col collapsed="false" customWidth="true" hidden="false" outlineLevel="0" max="4" min="4" style="0" width="42"/>
    <col collapsed="false" customWidth="true" hidden="false" outlineLevel="0" max="5" min="5" style="0" width="44"/>
    <col collapsed="false" customWidth="true" hidden="false" outlineLevel="0" max="6" min="6" style="0" width="40"/>
    <col collapsed="false" customWidth="true" hidden="false" outlineLevel="0" max="7" min="7" style="0" width="38"/>
    <col collapsed="false" customWidth="true" hidden="false" outlineLevel="0" max="8" min="8" style="0" width="56"/>
    <col collapsed="false" customWidth="true" hidden="false" outlineLevel="0" max="9" min="9" style="0" width="24"/>
    <col collapsed="false" customWidth="true" hidden="false" outlineLevel="0" max="10" min="10" style="0" width="10"/>
  </cols>
  <sheetData>
    <row r="1" customFormat="false" ht="17.35" hidden="false" customHeight="false" outlineLevel="0" collapsed="false">
      <c r="A1" s="1" t="s">
        <v>1888</v>
      </c>
    </row>
    <row r="2" customFormat="false" ht="15" hidden="false" customHeight="false" outlineLevel="0" collapsed="false">
      <c r="A2" s="2" t="s">
        <v>1889</v>
      </c>
    </row>
    <row r="4" customFormat="false" ht="31.5" hidden="false" customHeight="true" outlineLevel="0" collapsed="false">
      <c r="A4" s="8" t="s">
        <v>229</v>
      </c>
      <c r="B4" s="8" t="s">
        <v>510</v>
      </c>
      <c r="C4" s="8" t="s">
        <v>1890</v>
      </c>
      <c r="D4" s="8" t="s">
        <v>1891</v>
      </c>
      <c r="E4" s="8" t="s">
        <v>1892</v>
      </c>
      <c r="F4" s="8" t="s">
        <v>1893</v>
      </c>
      <c r="G4" s="8" t="s">
        <v>1894</v>
      </c>
      <c r="H4" s="8" t="s">
        <v>1895</v>
      </c>
      <c r="I4" s="8" t="s">
        <v>1896</v>
      </c>
      <c r="J4" s="8" t="s">
        <v>1897</v>
      </c>
    </row>
    <row r="5" customFormat="false" ht="35.05" hidden="false" customHeight="false" outlineLevel="0" collapsed="false">
      <c r="A5" s="13" t="n">
        <v>1</v>
      </c>
      <c r="B5" s="7" t="s">
        <v>1898</v>
      </c>
      <c r="C5" s="10" t="s">
        <v>1899</v>
      </c>
      <c r="D5" s="7" t="s">
        <v>1900</v>
      </c>
      <c r="E5" s="7" t="s">
        <v>1901</v>
      </c>
      <c r="F5" s="7" t="s">
        <v>1902</v>
      </c>
      <c r="G5" s="7" t="s">
        <v>1903</v>
      </c>
      <c r="H5" s="7" t="s">
        <v>1904</v>
      </c>
      <c r="I5" s="7" t="s">
        <v>1905</v>
      </c>
      <c r="J5" s="12" t="n">
        <v>5</v>
      </c>
    </row>
    <row r="6" customFormat="false" ht="23.85" hidden="false" customHeight="false" outlineLevel="0" collapsed="false">
      <c r="A6" s="13" t="n">
        <v>2</v>
      </c>
      <c r="B6" s="7" t="s">
        <v>1898</v>
      </c>
      <c r="C6" s="10" t="s">
        <v>204</v>
      </c>
      <c r="D6" s="7" t="s">
        <v>1906</v>
      </c>
      <c r="E6" s="7" t="s">
        <v>1907</v>
      </c>
      <c r="F6" s="7" t="s">
        <v>1908</v>
      </c>
      <c r="G6" s="7" t="s">
        <v>1909</v>
      </c>
      <c r="H6" s="7" t="s">
        <v>1910</v>
      </c>
      <c r="I6" s="7" t="s">
        <v>1905</v>
      </c>
      <c r="J6" s="12" t="n">
        <v>4</v>
      </c>
    </row>
    <row r="7" customFormat="false" ht="23.85" hidden="false" customHeight="false" outlineLevel="0" collapsed="false">
      <c r="A7" s="13" t="n">
        <v>3</v>
      </c>
      <c r="B7" s="7" t="s">
        <v>1898</v>
      </c>
      <c r="C7" s="10" t="s">
        <v>1911</v>
      </c>
      <c r="D7" s="7" t="s">
        <v>1912</v>
      </c>
      <c r="E7" s="7" t="s">
        <v>1913</v>
      </c>
      <c r="F7" s="7" t="s">
        <v>1914</v>
      </c>
      <c r="G7" s="7" t="s">
        <v>1915</v>
      </c>
      <c r="H7" s="7" t="s">
        <v>1916</v>
      </c>
      <c r="I7" s="7" t="s">
        <v>1905</v>
      </c>
      <c r="J7" s="12" t="n">
        <v>5</v>
      </c>
    </row>
    <row r="8" customFormat="false" ht="23.85" hidden="false" customHeight="false" outlineLevel="0" collapsed="false">
      <c r="A8" s="13" t="n">
        <v>4</v>
      </c>
      <c r="B8" s="7" t="s">
        <v>1898</v>
      </c>
      <c r="C8" s="10" t="s">
        <v>1917</v>
      </c>
      <c r="D8" s="7" t="s">
        <v>1918</v>
      </c>
      <c r="E8" s="7" t="s">
        <v>1919</v>
      </c>
      <c r="F8" s="7" t="s">
        <v>1920</v>
      </c>
      <c r="G8" s="7" t="s">
        <v>1919</v>
      </c>
      <c r="H8" s="7" t="s">
        <v>1921</v>
      </c>
      <c r="I8" s="7" t="s">
        <v>1905</v>
      </c>
      <c r="J8" s="12" t="n">
        <v>4</v>
      </c>
    </row>
    <row r="9" customFormat="false" ht="35.05" hidden="false" customHeight="false" outlineLevel="0" collapsed="false">
      <c r="A9" s="13" t="n">
        <v>5</v>
      </c>
      <c r="B9" s="7" t="s">
        <v>1898</v>
      </c>
      <c r="C9" s="10" t="s">
        <v>1922</v>
      </c>
      <c r="D9" s="7" t="s">
        <v>1923</v>
      </c>
      <c r="E9" s="7" t="s">
        <v>1924</v>
      </c>
      <c r="F9" s="7" t="s">
        <v>1925</v>
      </c>
      <c r="G9" s="7" t="s">
        <v>1926</v>
      </c>
      <c r="H9" s="7" t="s">
        <v>1927</v>
      </c>
      <c r="I9" s="7" t="s">
        <v>1905</v>
      </c>
      <c r="J9" s="12" t="n">
        <v>5</v>
      </c>
    </row>
    <row r="10" customFormat="false" ht="23.85" hidden="false" customHeight="false" outlineLevel="0" collapsed="false">
      <c r="A10" s="13" t="n">
        <v>6</v>
      </c>
      <c r="B10" s="7" t="s">
        <v>1898</v>
      </c>
      <c r="C10" s="10" t="s">
        <v>1928</v>
      </c>
      <c r="D10" s="7" t="s">
        <v>1929</v>
      </c>
      <c r="E10" s="7" t="s">
        <v>1930</v>
      </c>
      <c r="F10" s="7" t="s">
        <v>1931</v>
      </c>
      <c r="G10" s="7" t="s">
        <v>1932</v>
      </c>
      <c r="H10" s="7" t="s">
        <v>1933</v>
      </c>
      <c r="I10" s="7" t="s">
        <v>1934</v>
      </c>
      <c r="J10" s="12" t="n">
        <v>2</v>
      </c>
    </row>
    <row r="11" customFormat="false" ht="35.05" hidden="false" customHeight="false" outlineLevel="0" collapsed="false">
      <c r="A11" s="13" t="n">
        <v>7</v>
      </c>
      <c r="B11" s="7" t="s">
        <v>1898</v>
      </c>
      <c r="C11" s="10" t="s">
        <v>1935</v>
      </c>
      <c r="D11" s="7" t="s">
        <v>1936</v>
      </c>
      <c r="E11" s="7" t="s">
        <v>1937</v>
      </c>
      <c r="F11" s="7" t="s">
        <v>1938</v>
      </c>
      <c r="G11" s="7" t="s">
        <v>1939</v>
      </c>
      <c r="H11" s="7" t="s">
        <v>1940</v>
      </c>
      <c r="I11" s="7" t="s">
        <v>1934</v>
      </c>
      <c r="J11" s="12" t="n">
        <v>2</v>
      </c>
    </row>
    <row r="12" customFormat="false" ht="23.85" hidden="false" customHeight="false" outlineLevel="0" collapsed="false">
      <c r="A12" s="13" t="n">
        <v>8</v>
      </c>
      <c r="B12" s="7" t="s">
        <v>1941</v>
      </c>
      <c r="C12" s="10" t="s">
        <v>1942</v>
      </c>
      <c r="D12" s="7" t="s">
        <v>1943</v>
      </c>
      <c r="E12" s="7" t="s">
        <v>1944</v>
      </c>
      <c r="F12" s="7" t="s">
        <v>1945</v>
      </c>
      <c r="G12" s="7" t="s">
        <v>1946</v>
      </c>
      <c r="H12" s="7" t="s">
        <v>1947</v>
      </c>
      <c r="I12" s="7" t="s">
        <v>1934</v>
      </c>
      <c r="J12" s="12" t="n">
        <v>5</v>
      </c>
    </row>
    <row r="13" customFormat="false" ht="46.25" hidden="false" customHeight="false" outlineLevel="0" collapsed="false">
      <c r="A13" s="13" t="n">
        <v>9</v>
      </c>
      <c r="B13" s="7" t="s">
        <v>1941</v>
      </c>
      <c r="C13" s="10" t="s">
        <v>1948</v>
      </c>
      <c r="D13" s="7" t="s">
        <v>1949</v>
      </c>
      <c r="E13" s="7" t="s">
        <v>1950</v>
      </c>
      <c r="F13" s="7" t="s">
        <v>1951</v>
      </c>
      <c r="G13" s="7" t="s">
        <v>1952</v>
      </c>
      <c r="H13" s="7" t="s">
        <v>1953</v>
      </c>
      <c r="I13" s="7" t="s">
        <v>1954</v>
      </c>
      <c r="J13" s="12" t="n">
        <v>4</v>
      </c>
    </row>
    <row r="14" customFormat="false" ht="35.05" hidden="false" customHeight="false" outlineLevel="0" collapsed="false">
      <c r="A14" s="13" t="n">
        <v>10</v>
      </c>
      <c r="B14" s="7" t="s">
        <v>1941</v>
      </c>
      <c r="C14" s="10" t="s">
        <v>1955</v>
      </c>
      <c r="D14" s="7" t="s">
        <v>1956</v>
      </c>
      <c r="E14" s="7" t="s">
        <v>1957</v>
      </c>
      <c r="F14" s="7" t="s">
        <v>1958</v>
      </c>
      <c r="G14" s="7" t="s">
        <v>1959</v>
      </c>
      <c r="H14" s="7" t="s">
        <v>1960</v>
      </c>
      <c r="I14" s="7" t="s">
        <v>1954</v>
      </c>
      <c r="J14" s="12" t="n">
        <v>3</v>
      </c>
    </row>
    <row r="15" customFormat="false" ht="35.05" hidden="false" customHeight="false" outlineLevel="0" collapsed="false">
      <c r="A15" s="13" t="n">
        <v>11</v>
      </c>
      <c r="B15" s="7" t="s">
        <v>1941</v>
      </c>
      <c r="C15" s="10" t="s">
        <v>1961</v>
      </c>
      <c r="D15" s="7" t="s">
        <v>1962</v>
      </c>
      <c r="E15" s="7" t="s">
        <v>1963</v>
      </c>
      <c r="F15" s="7" t="s">
        <v>1964</v>
      </c>
      <c r="G15" s="7" t="s">
        <v>1965</v>
      </c>
      <c r="H15" s="7" t="s">
        <v>1966</v>
      </c>
      <c r="I15" s="7" t="s">
        <v>1934</v>
      </c>
      <c r="J15" s="12" t="n">
        <v>5</v>
      </c>
    </row>
    <row r="16" customFormat="false" ht="35.05" hidden="false" customHeight="false" outlineLevel="0" collapsed="false">
      <c r="A16" s="13" t="n">
        <v>12</v>
      </c>
      <c r="B16" s="7" t="s">
        <v>1941</v>
      </c>
      <c r="C16" s="10" t="s">
        <v>1967</v>
      </c>
      <c r="D16" s="7" t="s">
        <v>1968</v>
      </c>
      <c r="E16" s="7" t="s">
        <v>1969</v>
      </c>
      <c r="F16" s="7" t="s">
        <v>1970</v>
      </c>
      <c r="G16" s="7" t="s">
        <v>1965</v>
      </c>
      <c r="H16" s="7" t="s">
        <v>1971</v>
      </c>
      <c r="I16" s="7" t="s">
        <v>1934</v>
      </c>
      <c r="J16" s="12" t="n">
        <v>3</v>
      </c>
    </row>
    <row r="17" customFormat="false" ht="23.85" hidden="false" customHeight="false" outlineLevel="0" collapsed="false">
      <c r="A17" s="13" t="n">
        <v>13</v>
      </c>
      <c r="B17" s="7" t="s">
        <v>1941</v>
      </c>
      <c r="C17" s="10" t="s">
        <v>1972</v>
      </c>
      <c r="D17" s="7" t="s">
        <v>1973</v>
      </c>
      <c r="E17" s="7" t="s">
        <v>1974</v>
      </c>
      <c r="F17" s="7" t="s">
        <v>1975</v>
      </c>
      <c r="G17" s="7" t="s">
        <v>1976</v>
      </c>
      <c r="H17" s="7" t="s">
        <v>1977</v>
      </c>
      <c r="I17" s="7" t="s">
        <v>1978</v>
      </c>
      <c r="J17" s="12" t="n">
        <v>4</v>
      </c>
    </row>
    <row r="18" customFormat="false" ht="23.85" hidden="false" customHeight="false" outlineLevel="0" collapsed="false">
      <c r="A18" s="13" t="n">
        <v>14</v>
      </c>
      <c r="B18" s="7" t="s">
        <v>1941</v>
      </c>
      <c r="C18" s="10" t="s">
        <v>1979</v>
      </c>
      <c r="D18" s="7" t="s">
        <v>1980</v>
      </c>
      <c r="E18" s="7" t="s">
        <v>1981</v>
      </c>
      <c r="F18" s="7" t="s">
        <v>1982</v>
      </c>
      <c r="G18" s="7" t="s">
        <v>1983</v>
      </c>
      <c r="H18" s="7" t="s">
        <v>1984</v>
      </c>
      <c r="I18" s="7" t="s">
        <v>1934</v>
      </c>
      <c r="J18" s="12" t="n">
        <v>2</v>
      </c>
    </row>
    <row r="19" customFormat="false" ht="23.85" hidden="false" customHeight="false" outlineLevel="0" collapsed="false">
      <c r="A19" s="13" t="n">
        <v>15</v>
      </c>
      <c r="B19" s="7" t="s">
        <v>1985</v>
      </c>
      <c r="C19" s="10" t="s">
        <v>1986</v>
      </c>
      <c r="D19" s="7" t="s">
        <v>1987</v>
      </c>
      <c r="E19" s="7" t="s">
        <v>1988</v>
      </c>
      <c r="F19" s="7" t="s">
        <v>1989</v>
      </c>
      <c r="G19" s="7" t="s">
        <v>1990</v>
      </c>
      <c r="H19" s="7" t="s">
        <v>1991</v>
      </c>
      <c r="I19" s="7" t="s">
        <v>1934</v>
      </c>
      <c r="J19" s="12" t="n">
        <v>3</v>
      </c>
    </row>
    <row r="20" customFormat="false" ht="23.85" hidden="false" customHeight="false" outlineLevel="0" collapsed="false">
      <c r="A20" s="13" t="n">
        <v>16</v>
      </c>
      <c r="B20" s="7" t="s">
        <v>1985</v>
      </c>
      <c r="C20" s="10" t="s">
        <v>1992</v>
      </c>
      <c r="D20" s="7" t="s">
        <v>1993</v>
      </c>
      <c r="E20" s="7" t="s">
        <v>1994</v>
      </c>
      <c r="F20" s="7" t="s">
        <v>1995</v>
      </c>
      <c r="G20" s="7" t="s">
        <v>1996</v>
      </c>
      <c r="H20" s="7" t="s">
        <v>1997</v>
      </c>
      <c r="I20" s="7" t="s">
        <v>1934</v>
      </c>
      <c r="J20" s="12" t="n">
        <v>3</v>
      </c>
    </row>
    <row r="21" customFormat="false" ht="23.85" hidden="false" customHeight="false" outlineLevel="0" collapsed="false">
      <c r="A21" s="13" t="n">
        <v>17</v>
      </c>
      <c r="B21" s="7" t="s">
        <v>1985</v>
      </c>
      <c r="C21" s="10" t="s">
        <v>1998</v>
      </c>
      <c r="D21" s="7" t="s">
        <v>1999</v>
      </c>
      <c r="E21" s="7" t="s">
        <v>2000</v>
      </c>
      <c r="F21" s="7" t="s">
        <v>2001</v>
      </c>
      <c r="G21" s="7" t="s">
        <v>2002</v>
      </c>
      <c r="H21" s="7" t="s">
        <v>2003</v>
      </c>
      <c r="I21" s="7" t="s">
        <v>1934</v>
      </c>
      <c r="J21" s="12" t="n">
        <v>2</v>
      </c>
    </row>
    <row r="22" customFormat="false" ht="23.85" hidden="false" customHeight="false" outlineLevel="0" collapsed="false">
      <c r="A22" s="13" t="n">
        <v>18</v>
      </c>
      <c r="B22" s="7" t="s">
        <v>1985</v>
      </c>
      <c r="C22" s="10" t="s">
        <v>2004</v>
      </c>
      <c r="D22" s="7" t="s">
        <v>2005</v>
      </c>
      <c r="E22" s="7" t="s">
        <v>2006</v>
      </c>
      <c r="F22" s="7" t="s">
        <v>2007</v>
      </c>
      <c r="G22" s="7" t="s">
        <v>2008</v>
      </c>
      <c r="H22" s="7" t="s">
        <v>2009</v>
      </c>
      <c r="I22" s="7" t="s">
        <v>1934</v>
      </c>
      <c r="J22" s="12" t="n">
        <v>3</v>
      </c>
    </row>
    <row r="23" customFormat="false" ht="35.05" hidden="false" customHeight="false" outlineLevel="0" collapsed="false">
      <c r="A23" s="13" t="n">
        <v>19</v>
      </c>
      <c r="B23" s="7" t="s">
        <v>1985</v>
      </c>
      <c r="C23" s="10" t="s">
        <v>2010</v>
      </c>
      <c r="D23" s="7" t="s">
        <v>2011</v>
      </c>
      <c r="E23" s="7" t="s">
        <v>2012</v>
      </c>
      <c r="F23" s="7" t="s">
        <v>2013</v>
      </c>
      <c r="G23" s="7" t="s">
        <v>2014</v>
      </c>
      <c r="H23" s="7" t="s">
        <v>2015</v>
      </c>
      <c r="I23" s="7" t="s">
        <v>1934</v>
      </c>
      <c r="J23" s="12" t="n">
        <v>2</v>
      </c>
    </row>
    <row r="24" customFormat="false" ht="23.85" hidden="false" customHeight="false" outlineLevel="0" collapsed="false">
      <c r="A24" s="13" t="n">
        <v>20</v>
      </c>
      <c r="B24" s="7" t="s">
        <v>1985</v>
      </c>
      <c r="C24" s="10" t="s">
        <v>2016</v>
      </c>
      <c r="D24" s="7" t="s">
        <v>2017</v>
      </c>
      <c r="E24" s="7" t="s">
        <v>2018</v>
      </c>
      <c r="F24" s="7" t="s">
        <v>2019</v>
      </c>
      <c r="G24" s="7" t="s">
        <v>2020</v>
      </c>
      <c r="H24" s="7" t="s">
        <v>2021</v>
      </c>
      <c r="I24" s="7" t="s">
        <v>1934</v>
      </c>
      <c r="J24" s="12" t="n">
        <v>2</v>
      </c>
    </row>
    <row r="25" customFormat="false" ht="15" hidden="false" customHeight="false" outlineLevel="0" collapsed="false">
      <c r="C25" s="10" t="s">
        <v>2022</v>
      </c>
      <c r="D25" s="24" t="n">
        <f aca="false">COUNTA(C5:C24)</f>
        <v>20</v>
      </c>
    </row>
    <row r="26" customFormat="false" ht="15" hidden="false" customHeight="false" outlineLevel="0" collapsed="false">
      <c r="C26" s="10" t="s">
        <v>2023</v>
      </c>
      <c r="D26" s="24" t="n">
        <f aca="false">SUM(J5:J24)</f>
        <v>68</v>
      </c>
    </row>
    <row r="28" customFormat="false" ht="27.75" hidden="false" customHeight="true" outlineLevel="0" collapsed="false">
      <c r="C28" s="5" t="s">
        <v>2024</v>
      </c>
      <c r="D28" s="5"/>
      <c r="E28" s="5"/>
      <c r="F28" s="5"/>
      <c r="G28" s="5"/>
      <c r="H28" s="5"/>
    </row>
    <row r="29" customFormat="false" ht="27.75" hidden="false" customHeight="true" outlineLevel="0" collapsed="false">
      <c r="C29" s="5" t="s">
        <v>2025</v>
      </c>
      <c r="D29" s="5"/>
      <c r="E29" s="5"/>
      <c r="F29" s="5"/>
      <c r="G29" s="5"/>
      <c r="H29" s="5"/>
    </row>
    <row r="30" customFormat="false" ht="27.75" hidden="false" customHeight="true" outlineLevel="0" collapsed="false">
      <c r="C30" s="5" t="s">
        <v>2026</v>
      </c>
      <c r="D30" s="5"/>
      <c r="E30" s="5"/>
      <c r="F30" s="5"/>
      <c r="G30" s="5"/>
      <c r="H30" s="5"/>
    </row>
    <row r="31" customFormat="false" ht="27.75" hidden="false" customHeight="true" outlineLevel="0" collapsed="false">
      <c r="C31" s="5" t="s">
        <v>2027</v>
      </c>
      <c r="D31" s="5"/>
      <c r="E31" s="5"/>
      <c r="F31" s="5"/>
      <c r="G31" s="5"/>
      <c r="H31" s="5"/>
    </row>
    <row r="32" customFormat="false" ht="27.75" hidden="false" customHeight="true" outlineLevel="0" collapsed="false">
      <c r="C32" s="5" t="s">
        <v>2028</v>
      </c>
      <c r="D32" s="5"/>
      <c r="E32" s="5"/>
      <c r="F32" s="5"/>
      <c r="G32" s="5"/>
      <c r="H32" s="5"/>
    </row>
    <row r="33" customFormat="false" ht="27.75" hidden="false" customHeight="true" outlineLevel="0" collapsed="false">
      <c r="C33" s="5" t="s">
        <v>2029</v>
      </c>
      <c r="D33" s="5"/>
      <c r="E33" s="5"/>
      <c r="F33" s="5"/>
      <c r="G33" s="5"/>
      <c r="H33" s="5"/>
    </row>
  </sheetData>
  <mergeCells count="6">
    <mergeCell ref="C28:H28"/>
    <mergeCell ref="C29:H29"/>
    <mergeCell ref="C30:H30"/>
    <mergeCell ref="C31:H31"/>
    <mergeCell ref="C32:H32"/>
    <mergeCell ref="C33:H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5309"/>
    <pageSetUpPr fitToPage="true"/>
  </sheetPr>
  <dimension ref="A1:M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0" max="6" min="5" style="0" width="12"/>
    <col collapsed="false" customWidth="true" hidden="false" outlineLevel="0" max="7" min="7" style="0" width="9"/>
    <col collapsed="false" customWidth="true" hidden="false" outlineLevel="0" max="9" min="8" style="0" width="11"/>
    <col collapsed="false" customWidth="true" hidden="false" outlineLevel="0" max="10" min="10" style="0" width="14"/>
    <col collapsed="false" customWidth="true" hidden="false" outlineLevel="0" max="11" min="11" style="0" width="3"/>
    <col collapsed="false" customWidth="true" hidden="false" outlineLevel="0" max="12" min="12" style="0" width="40"/>
    <col collapsed="false" customWidth="true" hidden="false" outlineLevel="0" max="13" min="13" style="0" width="22"/>
  </cols>
  <sheetData>
    <row r="1" customFormat="false" ht="17.35" hidden="false" customHeight="false" outlineLevel="0" collapsed="false">
      <c r="A1" s="1" t="s">
        <v>2030</v>
      </c>
    </row>
    <row r="2" customFormat="false" ht="15" hidden="false" customHeight="false" outlineLevel="0" collapsed="false">
      <c r="A2" s="2" t="s">
        <v>2031</v>
      </c>
    </row>
    <row r="4" customFormat="false" ht="23.85" hidden="false" customHeight="false" outlineLevel="0" collapsed="false">
      <c r="B4" s="20" t="s">
        <v>2032</v>
      </c>
      <c r="C4" s="25" t="n">
        <v>0.5</v>
      </c>
    </row>
    <row r="5" customFormat="false" ht="15" hidden="false" customHeight="false" outlineLevel="0" collapsed="false">
      <c r="B5" s="20" t="s">
        <v>2033</v>
      </c>
      <c r="C5" s="11" t="n">
        <v>0.8</v>
      </c>
    </row>
    <row r="6" customFormat="false" ht="15" hidden="false" customHeight="false" outlineLevel="0" collapsed="false">
      <c r="B6" s="20" t="s">
        <v>2034</v>
      </c>
      <c r="C6" s="11" t="n">
        <v>0.6</v>
      </c>
    </row>
    <row r="7" customFormat="false" ht="15" hidden="false" customHeight="false" outlineLevel="0" collapsed="false">
      <c r="B7" s="20" t="s">
        <v>2035</v>
      </c>
      <c r="C7" s="11" t="n">
        <v>0.4</v>
      </c>
    </row>
    <row r="9" customFormat="false" ht="31.5" hidden="false" customHeight="true" outlineLevel="0" collapsed="false">
      <c r="A9" s="8" t="s">
        <v>229</v>
      </c>
      <c r="B9" s="8" t="s">
        <v>1890</v>
      </c>
      <c r="C9" s="8" t="s">
        <v>2036</v>
      </c>
      <c r="D9" s="8" t="s">
        <v>2037</v>
      </c>
      <c r="E9" s="8" t="s">
        <v>2038</v>
      </c>
      <c r="F9" s="8" t="s">
        <v>2039</v>
      </c>
      <c r="G9" s="8" t="s">
        <v>2040</v>
      </c>
      <c r="H9" s="8" t="s">
        <v>2041</v>
      </c>
      <c r="I9" s="8" t="s">
        <v>2042</v>
      </c>
      <c r="J9" s="8" t="s">
        <v>2043</v>
      </c>
    </row>
    <row r="10" customFormat="false" ht="15" hidden="false" customHeight="false" outlineLevel="0" collapsed="false">
      <c r="A10" s="13" t="n">
        <v>1</v>
      </c>
      <c r="B10" s="7" t="str">
        <f aca="false">Matching!C5</f>
        <v>Local e deslocamento</v>
      </c>
      <c r="C10" s="13" t="n">
        <f aca="false">Matching!J5</f>
        <v>5</v>
      </c>
      <c r="D10" s="12" t="s">
        <v>213</v>
      </c>
      <c r="E10" s="25" t="n">
        <v>1</v>
      </c>
      <c r="F10" s="12" t="s">
        <v>1573</v>
      </c>
      <c r="G10" s="26" t="n">
        <f aca="false">IF(D10="Sim",C10*E10,0)</f>
        <v>5</v>
      </c>
      <c r="H10" s="13" t="n">
        <f aca="false">IF(D10="Sim",C10,0)</f>
        <v>5</v>
      </c>
      <c r="I10" s="27" t="n">
        <f aca="false">IF(D10="Sim",C10*(1-E10),0)+ROW()/1000000</f>
        <v>1E-005</v>
      </c>
      <c r="J10" s="13" t="str">
        <f aca="false">IF(AND(D10="Sim",F10="Sim",E10&lt;$C$4),"Não atende","")</f>
        <v/>
      </c>
      <c r="L10" s="10" t="s">
        <v>2044</v>
      </c>
      <c r="M10" s="28" t="n">
        <f aca="false">IF(SUM(H10:H29)=0,"",SUM(G10:G29)/SUM(H10:H29))</f>
        <v>0.782258064516129</v>
      </c>
    </row>
    <row r="11" customFormat="false" ht="15" hidden="false" customHeight="false" outlineLevel="0" collapsed="false">
      <c r="A11" s="13" t="n">
        <v>2</v>
      </c>
      <c r="B11" s="7" t="str">
        <f aca="false">Matching!C6</f>
        <v>Modalidade</v>
      </c>
      <c r="C11" s="13" t="n">
        <f aca="false">Matching!J6</f>
        <v>4</v>
      </c>
      <c r="D11" s="12" t="s">
        <v>213</v>
      </c>
      <c r="E11" s="25" t="n">
        <v>1</v>
      </c>
      <c r="F11" s="12" t="s">
        <v>1573</v>
      </c>
      <c r="G11" s="26" t="n">
        <f aca="false">IF(D11="Sim",C11*E11,0)</f>
        <v>4</v>
      </c>
      <c r="H11" s="13" t="n">
        <f aca="false">IF(D11="Sim",C11,0)</f>
        <v>4</v>
      </c>
      <c r="I11" s="27" t="n">
        <f aca="false">IF(D11="Sim",C11*(1-E11),0)+ROW()/1000000</f>
        <v>1.1E-005</v>
      </c>
      <c r="J11" s="13" t="str">
        <f aca="false">IF(AND(D11="Sim",F11="Sim",E11&lt;$C$4),"Não atende","")</f>
        <v/>
      </c>
      <c r="L11" s="10" t="s">
        <v>2045</v>
      </c>
      <c r="M11" s="29" t="str">
        <f aca="false">IF(M10="","",IF(M10&gt;=$C$5,"Muito boa",IF(M10&gt;=$C$6,"Boa",IF(M10&gt;=$C$7,"Possível","Distante"))))</f>
        <v>Boa</v>
      </c>
    </row>
    <row r="12" customFormat="false" ht="15" hidden="false" customHeight="false" outlineLevel="0" collapsed="false">
      <c r="A12" s="13" t="n">
        <v>3</v>
      </c>
      <c r="B12" s="7" t="str">
        <f aca="false">Matching!C7</f>
        <v>Turno e escala</v>
      </c>
      <c r="C12" s="13" t="n">
        <f aca="false">Matching!J7</f>
        <v>5</v>
      </c>
      <c r="D12" s="12" t="s">
        <v>213</v>
      </c>
      <c r="E12" s="25" t="n">
        <v>1</v>
      </c>
      <c r="F12" s="12" t="s">
        <v>1573</v>
      </c>
      <c r="G12" s="26" t="n">
        <f aca="false">IF(D12="Sim",C12*E12,0)</f>
        <v>5</v>
      </c>
      <c r="H12" s="13" t="n">
        <f aca="false">IF(D12="Sim",C12,0)</f>
        <v>5</v>
      </c>
      <c r="I12" s="27" t="n">
        <f aca="false">IF(D12="Sim",C12*(1-E12),0)+ROW()/1000000</f>
        <v>1.2E-005</v>
      </c>
      <c r="J12" s="13" t="str">
        <f aca="false">IF(AND(D12="Sim",F12="Sim",E12&lt;$C$4),"Não atende","")</f>
        <v/>
      </c>
      <c r="L12" s="10" t="s">
        <v>2046</v>
      </c>
      <c r="M12" s="29" t="str">
        <f aca="false">IF(COUNTIF(J10:J29,"Não atende")=0,"Sim","Não")</f>
        <v>Sim</v>
      </c>
    </row>
    <row r="13" customFormat="false" ht="15" hidden="false" customHeight="false" outlineLevel="0" collapsed="false">
      <c r="A13" s="13" t="n">
        <v>4</v>
      </c>
      <c r="B13" s="7" t="str">
        <f aca="false">Matching!C8</f>
        <v>Tipo de contrato</v>
      </c>
      <c r="C13" s="13" t="n">
        <f aca="false">Matching!J8</f>
        <v>4</v>
      </c>
      <c r="D13" s="12" t="s">
        <v>213</v>
      </c>
      <c r="E13" s="25" t="n">
        <v>1</v>
      </c>
      <c r="F13" s="12" t="s">
        <v>1573</v>
      </c>
      <c r="G13" s="26" t="n">
        <f aca="false">IF(D13="Sim",C13*E13,0)</f>
        <v>4</v>
      </c>
      <c r="H13" s="13" t="n">
        <f aca="false">IF(D13="Sim",C13,0)</f>
        <v>4</v>
      </c>
      <c r="I13" s="27" t="n">
        <f aca="false">IF(D13="Sim",C13*(1-E13),0)+ROW()/1000000</f>
        <v>1.3E-005</v>
      </c>
      <c r="J13" s="13" t="str">
        <f aca="false">IF(AND(D13="Sim",F13="Sim",E13&lt;$C$4),"Não atende","")</f>
        <v/>
      </c>
    </row>
    <row r="14" customFormat="false" ht="15" hidden="false" customHeight="false" outlineLevel="0" collapsed="false">
      <c r="A14" s="13" t="n">
        <v>5</v>
      </c>
      <c r="B14" s="7" t="str">
        <f aca="false">Matching!C9</f>
        <v>Salário e benefícios</v>
      </c>
      <c r="C14" s="13" t="n">
        <f aca="false">Matching!J9</f>
        <v>5</v>
      </c>
      <c r="D14" s="12" t="s">
        <v>213</v>
      </c>
      <c r="E14" s="25" t="n">
        <v>0.5</v>
      </c>
      <c r="F14" s="12" t="s">
        <v>1573</v>
      </c>
      <c r="G14" s="26" t="n">
        <f aca="false">IF(D14="Sim",C14*E14,0)</f>
        <v>2.5</v>
      </c>
      <c r="H14" s="13" t="n">
        <f aca="false">IF(D14="Sim",C14,0)</f>
        <v>5</v>
      </c>
      <c r="I14" s="27" t="n">
        <f aca="false">IF(D14="Sim",C14*(1-E14),0)+ROW()/1000000</f>
        <v>2.500014</v>
      </c>
      <c r="J14" s="13" t="str">
        <f aca="false">IF(AND(D14="Sim",F14="Sim",E14&lt;$C$4),"Não atende","")</f>
        <v/>
      </c>
      <c r="L14" s="20" t="s">
        <v>2047</v>
      </c>
    </row>
    <row r="15" customFormat="false" ht="15" hidden="false" customHeight="false" outlineLevel="0" collapsed="false">
      <c r="A15" s="13" t="n">
        <v>6</v>
      </c>
      <c r="B15" s="7" t="str">
        <f aca="false">Matching!C10</f>
        <v>Quando começar</v>
      </c>
      <c r="C15" s="13" t="n">
        <f aca="false">Matching!J10</f>
        <v>2</v>
      </c>
      <c r="D15" s="12" t="s">
        <v>213</v>
      </c>
      <c r="E15" s="25" t="n">
        <v>1</v>
      </c>
      <c r="F15" s="12" t="s">
        <v>1573</v>
      </c>
      <c r="G15" s="26" t="n">
        <f aca="false">IF(D15="Sim",C15*E15,0)</f>
        <v>2</v>
      </c>
      <c r="H15" s="13" t="n">
        <f aca="false">IF(D15="Sim",C15,0)</f>
        <v>2</v>
      </c>
      <c r="I15" s="27" t="n">
        <f aca="false">IF(D15="Sim",C15*(1-E15),0)+ROW()/1000000</f>
        <v>1.5E-005</v>
      </c>
      <c r="J15" s="13" t="str">
        <f aca="false">IF(AND(D15="Sim",F15="Sim",E15&lt;$C$4),"Não atende","")</f>
        <v/>
      </c>
      <c r="L15" s="7" t="str">
        <f aca="false">IF(LARGE($I$10:$I$29,1)&lt;0.001,"",INDEX($B$10:$B$29,MATCH(LARGE($I$10:$I$29,1),$I$10:$I$29,0)))</f>
        <v>Habilidades</v>
      </c>
    </row>
    <row r="16" customFormat="false" ht="15" hidden="false" customHeight="false" outlineLevel="0" collapsed="false">
      <c r="A16" s="13" t="n">
        <v>7</v>
      </c>
      <c r="B16" s="7" t="str">
        <f aca="false">Matching!C11</f>
        <v>Estudo junto com o trabalho</v>
      </c>
      <c r="C16" s="13" t="n">
        <f aca="false">Matching!J11</f>
        <v>2</v>
      </c>
      <c r="D16" s="12" t="s">
        <v>213</v>
      </c>
      <c r="E16" s="25" t="n">
        <v>0.5</v>
      </c>
      <c r="F16" s="12" t="s">
        <v>1573</v>
      </c>
      <c r="G16" s="26" t="n">
        <f aca="false">IF(D16="Sim",C16*E16,0)</f>
        <v>1</v>
      </c>
      <c r="H16" s="13" t="n">
        <f aca="false">IF(D16="Sim",C16,0)</f>
        <v>2</v>
      </c>
      <c r="I16" s="27" t="n">
        <f aca="false">IF(D16="Sim",C16*(1-E16),0)+ROW()/1000000</f>
        <v>1.000016</v>
      </c>
      <c r="J16" s="13" t="str">
        <f aca="false">IF(AND(D16="Sim",F16="Sim",E16&lt;$C$4),"Não atende","")</f>
        <v/>
      </c>
      <c r="L16" s="7" t="str">
        <f aca="false">IF(LARGE($I$10:$I$29,2)&lt;0.001,"",INDEX($B$10:$B$29,MATCH(LARGE($I$10:$I$29,2),$I$10:$I$29,0)))</f>
        <v>Salário e benefícios</v>
      </c>
    </row>
    <row r="17" customFormat="false" ht="15" hidden="false" customHeight="false" outlineLevel="0" collapsed="false">
      <c r="A17" s="13" t="n">
        <v>8</v>
      </c>
      <c r="B17" s="7" t="str">
        <f aca="false">Matching!C12</f>
        <v>Função desejada</v>
      </c>
      <c r="C17" s="13" t="n">
        <f aca="false">Matching!J12</f>
        <v>5</v>
      </c>
      <c r="D17" s="12" t="s">
        <v>213</v>
      </c>
      <c r="E17" s="25" t="n">
        <v>1</v>
      </c>
      <c r="F17" s="12" t="s">
        <v>1573</v>
      </c>
      <c r="G17" s="26" t="n">
        <f aca="false">IF(D17="Sim",C17*E17,0)</f>
        <v>5</v>
      </c>
      <c r="H17" s="13" t="n">
        <f aca="false">IF(D17="Sim",C17,0)</f>
        <v>5</v>
      </c>
      <c r="I17" s="27" t="n">
        <f aca="false">IF(D17="Sim",C17*(1-E17),0)+ROW()/1000000</f>
        <v>1.7E-005</v>
      </c>
      <c r="J17" s="13" t="str">
        <f aca="false">IF(AND(D17="Sim",F17="Sim",E17&lt;$C$4),"Não atende","")</f>
        <v/>
      </c>
      <c r="L17" s="7" t="str">
        <f aca="false">IF(LARGE($I$10:$I$29,3)&lt;0.001,"",INDEX($B$10:$B$29,MATCH(LARGE($I$10:$I$29,3),$I$10:$I$29,0)))</f>
        <v>Experiência</v>
      </c>
    </row>
    <row r="18" customFormat="false" ht="15" hidden="false" customHeight="false" outlineLevel="0" collapsed="false">
      <c r="A18" s="13" t="n">
        <v>9</v>
      </c>
      <c r="B18" s="7" t="str">
        <f aca="false">Matching!C13</f>
        <v>Experiência</v>
      </c>
      <c r="C18" s="13" t="n">
        <f aca="false">Matching!J13</f>
        <v>4</v>
      </c>
      <c r="D18" s="12" t="s">
        <v>213</v>
      </c>
      <c r="E18" s="25" t="n">
        <v>0.5</v>
      </c>
      <c r="F18" s="12" t="s">
        <v>213</v>
      </c>
      <c r="G18" s="26" t="n">
        <f aca="false">IF(D18="Sim",C18*E18,0)</f>
        <v>2</v>
      </c>
      <c r="H18" s="13" t="n">
        <f aca="false">IF(D18="Sim",C18,0)</f>
        <v>4</v>
      </c>
      <c r="I18" s="27" t="n">
        <f aca="false">IF(D18="Sim",C18*(1-E18),0)+ROW()/1000000</f>
        <v>2.000018</v>
      </c>
      <c r="J18" s="13" t="str">
        <f aca="false">IF(AND(D18="Sim",F18="Sim",E18&lt;$C$4),"Não atende","")</f>
        <v/>
      </c>
    </row>
    <row r="19" customFormat="false" ht="23.85" hidden="false" customHeight="false" outlineLevel="0" collapsed="false">
      <c r="A19" s="13" t="n">
        <v>10</v>
      </c>
      <c r="B19" s="7" t="str">
        <f aca="false">Matching!C14</f>
        <v>Escolaridade</v>
      </c>
      <c r="C19" s="13" t="n">
        <f aca="false">Matching!J14</f>
        <v>3</v>
      </c>
      <c r="D19" s="12" t="s">
        <v>213</v>
      </c>
      <c r="E19" s="25" t="n">
        <v>1</v>
      </c>
      <c r="F19" s="12" t="s">
        <v>1573</v>
      </c>
      <c r="G19" s="26" t="n">
        <f aca="false">IF(D19="Sim",C19*E19,0)</f>
        <v>3</v>
      </c>
      <c r="H19" s="13" t="n">
        <f aca="false">IF(D19="Sim",C19,0)</f>
        <v>3</v>
      </c>
      <c r="I19" s="27" t="n">
        <f aca="false">IF(D19="Sim",C19*(1-E19),0)+ROW()/1000000</f>
        <v>1.9E-005</v>
      </c>
      <c r="J19" s="13" t="str">
        <f aca="false">IF(AND(D19="Sim",F19="Sim",E19&lt;$C$4),"Não atende","")</f>
        <v/>
      </c>
      <c r="L19" s="22" t="s">
        <v>2048</v>
      </c>
    </row>
    <row r="20" customFormat="false" ht="15" hidden="false" customHeight="false" outlineLevel="0" collapsed="false">
      <c r="A20" s="13" t="n">
        <v>11</v>
      </c>
      <c r="B20" s="7" t="str">
        <f aca="false">Matching!C15</f>
        <v>Habilidades</v>
      </c>
      <c r="C20" s="13" t="n">
        <f aca="false">Matching!J15</f>
        <v>5</v>
      </c>
      <c r="D20" s="12" t="s">
        <v>213</v>
      </c>
      <c r="E20" s="25" t="n">
        <v>0.4</v>
      </c>
      <c r="F20" s="12" t="s">
        <v>1573</v>
      </c>
      <c r="G20" s="26" t="n">
        <f aca="false">IF(D20="Sim",C20*E20,0)</f>
        <v>2</v>
      </c>
      <c r="H20" s="13" t="n">
        <f aca="false">IF(D20="Sim",C20,0)</f>
        <v>5</v>
      </c>
      <c r="I20" s="27" t="n">
        <f aca="false">IF(D20="Sim",C20*(1-E20),0)+ROW()/1000000</f>
        <v>3.00002</v>
      </c>
      <c r="J20" s="13" t="str">
        <f aca="false">IF(AND(D20="Sim",F20="Sim",E20&lt;$C$4),"Não atende","")</f>
        <v/>
      </c>
    </row>
    <row r="21" customFormat="false" ht="15" hidden="false" customHeight="false" outlineLevel="0" collapsed="false">
      <c r="A21" s="13" t="n">
        <v>12</v>
      </c>
      <c r="B21" s="7" t="str">
        <f aca="false">Matching!C16</f>
        <v>Ferramentas e equipamentos</v>
      </c>
      <c r="C21" s="13" t="n">
        <f aca="false">Matching!J16</f>
        <v>3</v>
      </c>
      <c r="D21" s="12" t="s">
        <v>213</v>
      </c>
      <c r="E21" s="25" t="n">
        <v>0.5</v>
      </c>
      <c r="F21" s="12" t="s">
        <v>1573</v>
      </c>
      <c r="G21" s="26" t="n">
        <f aca="false">IF(D21="Sim",C21*E21,0)</f>
        <v>1.5</v>
      </c>
      <c r="H21" s="13" t="n">
        <f aca="false">IF(D21="Sim",C21,0)</f>
        <v>3</v>
      </c>
      <c r="I21" s="27" t="n">
        <f aca="false">IF(D21="Sim",C21*(1-E21),0)+ROW()/1000000</f>
        <v>1.500021</v>
      </c>
      <c r="J21" s="13" t="str">
        <f aca="false">IF(AND(D21="Sim",F21="Sim",E21&lt;$C$4),"Não atende","")</f>
        <v/>
      </c>
    </row>
    <row r="22" customFormat="false" ht="15" hidden="false" customHeight="false" outlineLevel="0" collapsed="false">
      <c r="A22" s="13" t="n">
        <v>13</v>
      </c>
      <c r="B22" s="7" t="str">
        <f aca="false">Matching!C17</f>
        <v>Habilitações e certificados</v>
      </c>
      <c r="C22" s="13" t="n">
        <f aca="false">Matching!J17</f>
        <v>4</v>
      </c>
      <c r="D22" s="12" t="s">
        <v>1573</v>
      </c>
      <c r="E22" s="25" t="n">
        <v>1</v>
      </c>
      <c r="F22" s="12" t="s">
        <v>1573</v>
      </c>
      <c r="G22" s="26" t="n">
        <f aca="false">IF(D22="Sim",C22*E22,0)</f>
        <v>0</v>
      </c>
      <c r="H22" s="13" t="n">
        <f aca="false">IF(D22="Sim",C22,0)</f>
        <v>0</v>
      </c>
      <c r="I22" s="27" t="n">
        <f aca="false">IF(D22="Sim",C22*(1-E22),0)+ROW()/1000000</f>
        <v>2.2E-005</v>
      </c>
      <c r="J22" s="13" t="str">
        <f aca="false">IF(AND(D22="Sim",F22="Sim",E22&lt;$C$4),"Não atende","")</f>
        <v/>
      </c>
    </row>
    <row r="23" customFormat="false" ht="15" hidden="false" customHeight="false" outlineLevel="0" collapsed="false">
      <c r="A23" s="13" t="n">
        <v>14</v>
      </c>
      <c r="B23" s="7" t="str">
        <f aca="false">Matching!C18</f>
        <v>Idiomas</v>
      </c>
      <c r="C23" s="13" t="n">
        <f aca="false">Matching!J18</f>
        <v>2</v>
      </c>
      <c r="D23" s="12" t="s">
        <v>1573</v>
      </c>
      <c r="E23" s="25" t="n">
        <v>1</v>
      </c>
      <c r="F23" s="12" t="s">
        <v>1573</v>
      </c>
      <c r="G23" s="26" t="n">
        <f aca="false">IF(D23="Sim",C23*E23,0)</f>
        <v>0</v>
      </c>
      <c r="H23" s="13" t="n">
        <f aca="false">IF(D23="Sim",C23,0)</f>
        <v>0</v>
      </c>
      <c r="I23" s="27" t="n">
        <f aca="false">IF(D23="Sim",C23*(1-E23),0)+ROW()/1000000</f>
        <v>2.3E-005</v>
      </c>
      <c r="J23" s="13" t="str">
        <f aca="false">IF(AND(D23="Sim",F23="Sim",E23&lt;$C$4),"Não atende","")</f>
        <v/>
      </c>
    </row>
    <row r="24" customFormat="false" ht="15" hidden="false" customHeight="false" outlineLevel="0" collapsed="false">
      <c r="A24" s="13" t="n">
        <v>15</v>
      </c>
      <c r="B24" s="7" t="str">
        <f aca="false">Matching!C19</f>
        <v>Ambiente</v>
      </c>
      <c r="C24" s="13" t="n">
        <f aca="false">Matching!J19</f>
        <v>3</v>
      </c>
      <c r="D24" s="12" t="s">
        <v>213</v>
      </c>
      <c r="E24" s="25" t="n">
        <v>1</v>
      </c>
      <c r="F24" s="12" t="s">
        <v>1573</v>
      </c>
      <c r="G24" s="26" t="n">
        <f aca="false">IF(D24="Sim",C24*E24,0)</f>
        <v>3</v>
      </c>
      <c r="H24" s="13" t="n">
        <f aca="false">IF(D24="Sim",C24,0)</f>
        <v>3</v>
      </c>
      <c r="I24" s="27" t="n">
        <f aca="false">IF(D24="Sim",C24*(1-E24),0)+ROW()/1000000</f>
        <v>2.4E-005</v>
      </c>
      <c r="J24" s="13" t="str">
        <f aca="false">IF(AND(D24="Sim",F24="Sim",E24&lt;$C$4),"Não atende","")</f>
        <v/>
      </c>
    </row>
    <row r="25" customFormat="false" ht="15" hidden="false" customHeight="false" outlineLevel="0" collapsed="false">
      <c r="A25" s="13" t="n">
        <v>16</v>
      </c>
      <c r="B25" s="7" t="str">
        <f aca="false">Matching!C20</f>
        <v>Ritmo</v>
      </c>
      <c r="C25" s="13" t="n">
        <f aca="false">Matching!J20</f>
        <v>3</v>
      </c>
      <c r="D25" s="12" t="s">
        <v>213</v>
      </c>
      <c r="E25" s="25" t="n">
        <v>0.5</v>
      </c>
      <c r="F25" s="12" t="s">
        <v>1573</v>
      </c>
      <c r="G25" s="26" t="n">
        <f aca="false">IF(D25="Sim",C25*E25,0)</f>
        <v>1.5</v>
      </c>
      <c r="H25" s="13" t="n">
        <f aca="false">IF(D25="Sim",C25,0)</f>
        <v>3</v>
      </c>
      <c r="I25" s="27" t="n">
        <f aca="false">IF(D25="Sim",C25*(1-E25),0)+ROW()/1000000</f>
        <v>1.500025</v>
      </c>
      <c r="J25" s="13" t="str">
        <f aca="false">IF(AND(D25="Sim",F25="Sim",E25&lt;$C$4),"Não atende","")</f>
        <v/>
      </c>
    </row>
    <row r="26" customFormat="false" ht="15" hidden="false" customHeight="false" outlineLevel="0" collapsed="false">
      <c r="A26" s="13" t="n">
        <v>17</v>
      </c>
      <c r="B26" s="7" t="str">
        <f aca="false">Matching!C21</f>
        <v>Equipe</v>
      </c>
      <c r="C26" s="13" t="n">
        <f aca="false">Matching!J21</f>
        <v>2</v>
      </c>
      <c r="D26" s="12" t="s">
        <v>213</v>
      </c>
      <c r="E26" s="25" t="n">
        <v>1</v>
      </c>
      <c r="F26" s="12" t="s">
        <v>1573</v>
      </c>
      <c r="G26" s="26" t="n">
        <f aca="false">IF(D26="Sim",C26*E26,0)</f>
        <v>2</v>
      </c>
      <c r="H26" s="13" t="n">
        <f aca="false">IF(D26="Sim",C26,0)</f>
        <v>2</v>
      </c>
      <c r="I26" s="27" t="n">
        <f aca="false">IF(D26="Sim",C26*(1-E26),0)+ROW()/1000000</f>
        <v>2.6E-005</v>
      </c>
      <c r="J26" s="13" t="str">
        <f aca="false">IF(AND(D26="Sim",F26="Sim",E26&lt;$C$4),"Não atende","")</f>
        <v/>
      </c>
    </row>
    <row r="27" customFormat="false" ht="15" hidden="false" customHeight="false" outlineLevel="0" collapsed="false">
      <c r="A27" s="13" t="n">
        <v>18</v>
      </c>
      <c r="B27" s="7" t="str">
        <f aca="false">Matching!C22</f>
        <v>Contato com o público</v>
      </c>
      <c r="C27" s="13" t="n">
        <f aca="false">Matching!J22</f>
        <v>3</v>
      </c>
      <c r="D27" s="12" t="s">
        <v>213</v>
      </c>
      <c r="E27" s="25" t="n">
        <v>1</v>
      </c>
      <c r="F27" s="12" t="s">
        <v>1573</v>
      </c>
      <c r="G27" s="26" t="n">
        <f aca="false">IF(D27="Sim",C27*E27,0)</f>
        <v>3</v>
      </c>
      <c r="H27" s="13" t="n">
        <f aca="false">IF(D27="Sim",C27,0)</f>
        <v>3</v>
      </c>
      <c r="I27" s="27" t="n">
        <f aca="false">IF(D27="Sim",C27*(1-E27),0)+ROW()/1000000</f>
        <v>2.7E-005</v>
      </c>
      <c r="J27" s="13" t="str">
        <f aca="false">IF(AND(D27="Sim",F27="Sim",E27&lt;$C$4),"Não atende","")</f>
        <v/>
      </c>
    </row>
    <row r="28" customFormat="false" ht="15" hidden="false" customHeight="false" outlineLevel="0" collapsed="false">
      <c r="A28" s="13" t="n">
        <v>19</v>
      </c>
      <c r="B28" s="7" t="str">
        <f aca="false">Matching!C23</f>
        <v>Esforço físico</v>
      </c>
      <c r="C28" s="13" t="n">
        <f aca="false">Matching!J23</f>
        <v>2</v>
      </c>
      <c r="D28" s="12" t="s">
        <v>213</v>
      </c>
      <c r="E28" s="25" t="n">
        <v>0.5</v>
      </c>
      <c r="F28" s="12" t="s">
        <v>1573</v>
      </c>
      <c r="G28" s="26" t="n">
        <f aca="false">IF(D28="Sim",C28*E28,0)</f>
        <v>1</v>
      </c>
      <c r="H28" s="13" t="n">
        <f aca="false">IF(D28="Sim",C28,0)</f>
        <v>2</v>
      </c>
      <c r="I28" s="27" t="n">
        <f aca="false">IF(D28="Sim",C28*(1-E28),0)+ROW()/1000000</f>
        <v>1.000028</v>
      </c>
      <c r="J28" s="13" t="str">
        <f aca="false">IF(AND(D28="Sim",F28="Sim",E28&lt;$C$4),"Não atende","")</f>
        <v/>
      </c>
    </row>
    <row r="29" customFormat="false" ht="15" hidden="false" customHeight="false" outlineLevel="0" collapsed="false">
      <c r="A29" s="13" t="n">
        <v>20</v>
      </c>
      <c r="B29" s="7" t="str">
        <f aca="false">Matching!C24</f>
        <v>Crescimento</v>
      </c>
      <c r="C29" s="13" t="n">
        <f aca="false">Matching!J24</f>
        <v>2</v>
      </c>
      <c r="D29" s="12" t="s">
        <v>213</v>
      </c>
      <c r="E29" s="25" t="n">
        <v>0.5</v>
      </c>
      <c r="F29" s="12" t="s">
        <v>1573</v>
      </c>
      <c r="G29" s="26" t="n">
        <f aca="false">IF(D29="Sim",C29*E29,0)</f>
        <v>1</v>
      </c>
      <c r="H29" s="13" t="n">
        <f aca="false">IF(D29="Sim",C29,0)</f>
        <v>2</v>
      </c>
      <c r="I29" s="27" t="n">
        <f aca="false">IF(D29="Sim",C29*(1-E29),0)+ROW()/1000000</f>
        <v>1.000029</v>
      </c>
      <c r="J29" s="13" t="str">
        <f aca="false">IF(AND(D29="Sim",F29="Sim",E29&lt;$C$4),"Não atende","")</f>
        <v/>
      </c>
    </row>
  </sheetData>
  <dataValidations count="2">
    <dataValidation allowBlank="false" errorStyle="stop" operator="between" showDropDown="false" showErrorMessage="false" showInputMessage="false" sqref="D10:D29 F10:F29" type="list">
      <formula1>"Sim,Não"</formula1>
      <formula2>0</formula2>
    </dataValidation>
    <dataValidation allowBlank="false" errorStyle="stop" operator="between" showDropDown="false" showErrorMessage="false" showInputMessage="false" sqref="E10:E29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5309"/>
    <pageSetUpPr fitToPage="true"/>
  </sheetPr>
  <dimension ref="A1:D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2"/>
    <col collapsed="false" customWidth="true" hidden="false" outlineLevel="0" max="3" min="3" style="0" width="24"/>
    <col collapsed="false" customWidth="true" hidden="false" outlineLevel="0" max="4" min="4" style="0" width="14"/>
  </cols>
  <sheetData>
    <row r="1" customFormat="false" ht="17.35" hidden="false" customHeight="false" outlineLevel="0" collapsed="false">
      <c r="A1" s="1" t="s">
        <v>2049</v>
      </c>
    </row>
    <row r="2" customFormat="false" ht="15" hidden="false" customHeight="false" outlineLevel="0" collapsed="false">
      <c r="A2" s="2" t="s">
        <v>2050</v>
      </c>
    </row>
    <row r="4" customFormat="false" ht="31.5" hidden="false" customHeight="true" outlineLevel="0" collapsed="false">
      <c r="A4" s="8" t="s">
        <v>2051</v>
      </c>
      <c r="B4" s="8" t="s">
        <v>2052</v>
      </c>
      <c r="C4" s="8" t="s">
        <v>2053</v>
      </c>
    </row>
    <row r="5" customFormat="false" ht="15" hidden="false" customHeight="false" outlineLevel="0" collapsed="false">
      <c r="A5" s="7" t="s">
        <v>2054</v>
      </c>
      <c r="B5" s="12" t="n">
        <v>4.5</v>
      </c>
      <c r="C5" s="12" t="n">
        <v>0</v>
      </c>
    </row>
    <row r="6" customFormat="false" ht="15" hidden="false" customHeight="false" outlineLevel="0" collapsed="false">
      <c r="A6" s="7" t="s">
        <v>2055</v>
      </c>
      <c r="B6" s="12" t="n">
        <v>12</v>
      </c>
      <c r="C6" s="12" t="n">
        <v>2</v>
      </c>
    </row>
    <row r="7" customFormat="false" ht="15" hidden="false" customHeight="false" outlineLevel="0" collapsed="false">
      <c r="A7" s="7" t="s">
        <v>2056</v>
      </c>
      <c r="B7" s="12" t="n">
        <v>25</v>
      </c>
      <c r="C7" s="12" t="n">
        <v>3</v>
      </c>
    </row>
    <row r="8" customFormat="false" ht="15" hidden="false" customHeight="false" outlineLevel="0" collapsed="false">
      <c r="A8" s="7" t="s">
        <v>2057</v>
      </c>
      <c r="B8" s="12" t="n">
        <v>15</v>
      </c>
      <c r="C8" s="12" t="n">
        <v>12</v>
      </c>
    </row>
    <row r="9" customFormat="false" ht="15" hidden="false" customHeight="false" outlineLevel="0" collapsed="false">
      <c r="A9" s="7" t="s">
        <v>2058</v>
      </c>
      <c r="B9" s="12" t="n">
        <v>22</v>
      </c>
      <c r="C9" s="12" t="n">
        <v>5</v>
      </c>
    </row>
    <row r="11" customFormat="false" ht="15" hidden="false" customHeight="false" outlineLevel="0" collapsed="false">
      <c r="A11" s="10" t="s">
        <v>2059</v>
      </c>
      <c r="B11" s="12" t="n">
        <v>1.3</v>
      </c>
    </row>
    <row r="12" customFormat="false" ht="15" hidden="false" customHeight="false" outlineLevel="0" collapsed="false">
      <c r="A12" s="10" t="s">
        <v>2060</v>
      </c>
      <c r="B12" s="12" t="n">
        <v>45</v>
      </c>
    </row>
    <row r="13" customFormat="false" ht="15" hidden="false" customHeight="false" outlineLevel="0" collapsed="false">
      <c r="A13" s="10" t="s">
        <v>2061</v>
      </c>
      <c r="B13" s="12" t="s">
        <v>2057</v>
      </c>
    </row>
    <row r="14" customFormat="false" ht="15" hidden="false" customHeight="false" outlineLevel="0" collapsed="false">
      <c r="A14" s="10" t="s">
        <v>2062</v>
      </c>
      <c r="B14" s="12" t="s">
        <v>212</v>
      </c>
    </row>
    <row r="15" customFormat="false" ht="15" hidden="false" customHeight="false" outlineLevel="0" collapsed="false">
      <c r="A15" s="10" t="s">
        <v>2063</v>
      </c>
      <c r="B15" s="12" t="n">
        <v>30</v>
      </c>
    </row>
    <row r="17" customFormat="false" ht="31.5" hidden="false" customHeight="true" outlineLevel="0" collapsed="false">
      <c r="A17" s="8" t="s">
        <v>2064</v>
      </c>
      <c r="B17" s="8" t="s">
        <v>2065</v>
      </c>
      <c r="C17" s="8" t="s">
        <v>2066</v>
      </c>
      <c r="D17" s="8"/>
    </row>
    <row r="18" customFormat="false" ht="15" hidden="false" customHeight="false" outlineLevel="0" collapsed="false">
      <c r="A18" s="10" t="s">
        <v>2067</v>
      </c>
      <c r="B18" s="30" t="n">
        <v>-3.78</v>
      </c>
      <c r="C18" s="30" t="n">
        <v>-38.5</v>
      </c>
    </row>
    <row r="19" customFormat="false" ht="15" hidden="false" customHeight="false" outlineLevel="0" collapsed="false">
      <c r="A19" s="10" t="s">
        <v>2068</v>
      </c>
      <c r="B19" s="30" t="n">
        <v>-3.73</v>
      </c>
      <c r="C19" s="30" t="n">
        <v>-38.52</v>
      </c>
    </row>
    <row r="20" customFormat="false" ht="15" hidden="false" customHeight="false" outlineLevel="0" collapsed="false">
      <c r="A20" s="10" t="s">
        <v>2069</v>
      </c>
      <c r="B20" s="30" t="n">
        <v>-3.75</v>
      </c>
      <c r="C20" s="30" t="n">
        <v>-38.53</v>
      </c>
    </row>
    <row r="22" customFormat="false" ht="31.5" hidden="false" customHeight="true" outlineLevel="0" collapsed="false">
      <c r="A22" s="8" t="s">
        <v>2070</v>
      </c>
      <c r="B22" s="8" t="s">
        <v>2071</v>
      </c>
      <c r="C22" s="8" t="s">
        <v>2072</v>
      </c>
      <c r="D22" s="8" t="s">
        <v>2038</v>
      </c>
    </row>
    <row r="23" customFormat="false" ht="15" hidden="false" customHeight="false" outlineLevel="0" collapsed="false">
      <c r="A23" s="10" t="s">
        <v>2073</v>
      </c>
      <c r="B23" s="13" t="n">
        <f aca="false">ROUND(2*6371*ASIN(SQRT(SIN(RADIANS(B19-B18)/2)^2+COS(RADIANS(B18))*COS(RADIANS(B19))*SIN(RADIANS(C19-C18)/2)^2)),1)</f>
        <v>6</v>
      </c>
      <c r="C23" s="13" t="n">
        <f aca="false">ROUND(B23*$B$11/INDEX($B$5:$B$9,MATCH($B$13,$A$5:$A$9,0))*60+INDEX($C$5:$C$9,MATCH($B$13,$A$5:$A$9,0)),0)</f>
        <v>43</v>
      </c>
      <c r="D23" s="13" t="n">
        <f aca="false">IF(C23&lt;=$B$12,1,IF(C23&lt;=1.2*$B$12,0.5,0))</f>
        <v>1</v>
      </c>
    </row>
    <row r="24" customFormat="false" ht="15" hidden="false" customHeight="false" outlineLevel="0" collapsed="false">
      <c r="A24" s="10" t="s">
        <v>2074</v>
      </c>
      <c r="B24" s="13" t="n">
        <f aca="false">ROUND(2*6371*ASIN(SQRT(SIN(RADIANS(B20-B18)/2)^2+COS(RADIANS(B18))*COS(RADIANS(B20))*SIN(RADIANS(C20-C18)/2)^2)),1)</f>
        <v>4.7</v>
      </c>
      <c r="C24" s="13" t="n">
        <f aca="false">ROUND(B24*$B$11/INDEX($B$5:$B$9,MATCH($B$13,$A$5:$A$9,0))*60+INDEX($C$5:$C$9,MATCH($B$13,$A$5:$A$9,0)),0)</f>
        <v>36</v>
      </c>
      <c r="D24" s="13"/>
    </row>
    <row r="25" customFormat="false" ht="15" hidden="false" customHeight="false" outlineLevel="0" collapsed="false">
      <c r="A25" s="10" t="s">
        <v>2075</v>
      </c>
      <c r="B25" s="13" t="n">
        <f aca="false">ROUND(2*6371*ASIN(SQRT(SIN(RADIANS(B19-B20)/2)^2+COS(RADIANS(B20))*COS(RADIANS(B19))*SIN(RADIANS(C19-C20)/2)^2)),1)</f>
        <v>2.5</v>
      </c>
      <c r="C25" s="13" t="n">
        <f aca="false">ROUND(B25*$B$11/INDEX($B$5:$B$9,MATCH($B$13,$A$5:$A$9,0))*60+INDEX($C$5:$C$9,MATCH($B$13,$A$5:$A$9,0)),0)</f>
        <v>25</v>
      </c>
      <c r="D25" s="13"/>
    </row>
    <row r="26" customFormat="false" ht="23.85" hidden="false" customHeight="false" outlineLevel="0" collapsed="false">
      <c r="A26" s="10" t="s">
        <v>2076</v>
      </c>
      <c r="D26" s="13" t="n">
        <f aca="false">IF($B$14="EAD",1,IF(MIN(C24,C25)&lt;=$B$15,1,IF(MIN(C24,C25)&lt;=1.5*$B$15,0.5,0)))</f>
        <v>1</v>
      </c>
    </row>
    <row r="28" customFormat="false" ht="31.5" hidden="false" customHeight="true" outlineLevel="0" collapsed="false">
      <c r="A28" s="8" t="s">
        <v>2077</v>
      </c>
      <c r="B28" s="8" t="s">
        <v>2078</v>
      </c>
    </row>
    <row r="29" customFormat="false" ht="15" hidden="false" customHeight="false" outlineLevel="0" collapsed="false">
      <c r="A29" s="7" t="str">
        <f aca="false">A5</f>
        <v>A pé</v>
      </c>
      <c r="B29" s="13" t="n">
        <f aca="false">ROUND($B$23*$B$11/INDEX($B$5:$B$9,MATCH(A5,$A$5:$A$9,0))*60+INDEX($C$5:$C$9,MATCH(A5,$A$5:$A$9,0)),0)</f>
        <v>104</v>
      </c>
    </row>
    <row r="30" customFormat="false" ht="15" hidden="false" customHeight="false" outlineLevel="0" collapsed="false">
      <c r="A30" s="7" t="str">
        <f aca="false">A6</f>
        <v>Bicicleta</v>
      </c>
      <c r="B30" s="13" t="n">
        <f aca="false">ROUND($B$23*$B$11/INDEX($B$5:$B$9,MATCH(A6,$A$5:$A$9,0))*60+INDEX($C$5:$C$9,MATCH(A6,$A$5:$A$9,0)),0)</f>
        <v>41</v>
      </c>
    </row>
    <row r="31" customFormat="false" ht="15" hidden="false" customHeight="false" outlineLevel="0" collapsed="false">
      <c r="A31" s="7" t="str">
        <f aca="false">A7</f>
        <v>Moto</v>
      </c>
      <c r="B31" s="13" t="n">
        <f aca="false">ROUND($B$23*$B$11/INDEX($B$5:$B$9,MATCH(A7,$A$5:$A$9,0))*60+INDEX($C$5:$C$9,MATCH(A7,$A$5:$A$9,0)),0)</f>
        <v>22</v>
      </c>
    </row>
    <row r="32" customFormat="false" ht="15" hidden="false" customHeight="false" outlineLevel="0" collapsed="false">
      <c r="A32" s="7" t="str">
        <f aca="false">A8</f>
        <v>Ônibus</v>
      </c>
      <c r="B32" s="13" t="n">
        <f aca="false">ROUND($B$23*$B$11/INDEX($B$5:$B$9,MATCH(A8,$A$5:$A$9,0))*60+INDEX($C$5:$C$9,MATCH(A8,$A$5:$A$9,0)),0)</f>
        <v>43</v>
      </c>
    </row>
    <row r="33" customFormat="false" ht="15" hidden="false" customHeight="false" outlineLevel="0" collapsed="false">
      <c r="A33" s="7" t="str">
        <f aca="false">A9</f>
        <v>Carro</v>
      </c>
      <c r="B33" s="13" t="n">
        <f aca="false">ROUND($B$23*$B$11/INDEX($B$5:$B$9,MATCH(A9,$A$5:$A$9,0))*60+INDEX($C$5:$C$9,MATCH(A9,$A$5:$A$9,0)),0)</f>
        <v>26</v>
      </c>
    </row>
    <row r="35" customFormat="false" ht="27.75" hidden="false" customHeight="true" outlineLevel="0" collapsed="false">
      <c r="A35" s="5" t="s">
        <v>2079</v>
      </c>
      <c r="B35" s="5"/>
      <c r="C35" s="5"/>
      <c r="D35" s="5"/>
    </row>
    <row r="36" customFormat="false" ht="27.75" hidden="false" customHeight="true" outlineLevel="0" collapsed="false">
      <c r="A36" s="5" t="s">
        <v>2080</v>
      </c>
      <c r="B36" s="5"/>
      <c r="C36" s="5"/>
      <c r="D36" s="5"/>
    </row>
    <row r="37" customFormat="false" ht="27.75" hidden="false" customHeight="true" outlineLevel="0" collapsed="false">
      <c r="A37" s="5" t="s">
        <v>2081</v>
      </c>
      <c r="B37" s="5"/>
      <c r="C37" s="5"/>
      <c r="D37" s="5"/>
    </row>
    <row r="38" customFormat="false" ht="27.75" hidden="false" customHeight="true" outlineLevel="0" collapsed="false">
      <c r="A38" s="5" t="s">
        <v>2082</v>
      </c>
      <c r="B38" s="5"/>
      <c r="C38" s="5"/>
      <c r="D38" s="5"/>
    </row>
  </sheetData>
  <mergeCells count="4">
    <mergeCell ref="A35:D35"/>
    <mergeCell ref="A36:D36"/>
    <mergeCell ref="A37:D37"/>
    <mergeCell ref="A38:D38"/>
  </mergeCells>
  <dataValidations count="2">
    <dataValidation allowBlank="false" errorStyle="stop" operator="between" showDropDown="false" showErrorMessage="false" showInputMessage="false" sqref="B13" type="list">
      <formula1>$A$5:$A$9</formula1>
      <formula2>0</formula2>
    </dataValidation>
    <dataValidation allowBlank="false" errorStyle="stop" operator="between" showDropDown="false" showErrorMessage="false" showInputMessage="false" sqref="B14" type="list">
      <formula1>"EAD,Presencial"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5309"/>
    <pageSetUpPr fitToPage="true"/>
  </sheetPr>
  <dimension ref="A1:I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4"/>
    <col collapsed="false" customWidth="true" hidden="false" outlineLevel="0" max="3" min="3" style="0" width="40"/>
    <col collapsed="false" customWidth="true" hidden="false" outlineLevel="0" max="4" min="4" style="0" width="38"/>
    <col collapsed="false" customWidth="true" hidden="false" outlineLevel="0" max="5" min="5" style="0" width="52"/>
    <col collapsed="false" customWidth="true" hidden="false" outlineLevel="0" max="6" min="6" style="0" width="12"/>
    <col collapsed="false" customWidth="true" hidden="false" outlineLevel="0" max="7" min="7" style="0" width="40"/>
    <col collapsed="false" customWidth="true" hidden="false" outlineLevel="0" max="8" min="8" style="0" width="36"/>
    <col collapsed="false" customWidth="true" hidden="false" outlineLevel="0" max="9" min="9" style="0" width="26"/>
  </cols>
  <sheetData>
    <row r="1" customFormat="false" ht="17.35" hidden="false" customHeight="false" outlineLevel="0" collapsed="false">
      <c r="A1" s="1" t="s">
        <v>2083</v>
      </c>
    </row>
    <row r="2" customFormat="false" ht="15" hidden="false" customHeight="false" outlineLevel="0" collapsed="false">
      <c r="A2" s="2" t="s">
        <v>2084</v>
      </c>
    </row>
    <row r="4" customFormat="false" ht="31.5" hidden="false" customHeight="true" outlineLevel="0" collapsed="false">
      <c r="A4" s="8" t="s">
        <v>2085</v>
      </c>
      <c r="B4" s="8" t="s">
        <v>2086</v>
      </c>
      <c r="C4" s="8" t="s">
        <v>2087</v>
      </c>
      <c r="D4" s="8" t="s">
        <v>2088</v>
      </c>
      <c r="E4" s="8" t="s">
        <v>2089</v>
      </c>
      <c r="F4" s="8" t="s">
        <v>2090</v>
      </c>
      <c r="G4" s="8" t="s">
        <v>1637</v>
      </c>
      <c r="H4" s="8" t="s">
        <v>2091</v>
      </c>
      <c r="I4" s="8" t="s">
        <v>2092</v>
      </c>
    </row>
    <row r="5" customFormat="false" ht="23.85" hidden="false" customHeight="false" outlineLevel="0" collapsed="false">
      <c r="A5" s="13" t="n">
        <v>1</v>
      </c>
      <c r="B5" s="7" t="s">
        <v>2093</v>
      </c>
      <c r="C5" s="7" t="s">
        <v>2094</v>
      </c>
      <c r="D5" s="7" t="s">
        <v>2095</v>
      </c>
      <c r="E5" s="7" t="s">
        <v>196</v>
      </c>
      <c r="F5" s="7" t="s">
        <v>213</v>
      </c>
      <c r="G5" s="7" t="s">
        <v>2096</v>
      </c>
      <c r="H5" s="7" t="s">
        <v>2097</v>
      </c>
      <c r="I5" s="7" t="s">
        <v>1573</v>
      </c>
    </row>
    <row r="6" customFormat="false" ht="23.85" hidden="false" customHeight="false" outlineLevel="0" collapsed="false">
      <c r="A6" s="13" t="n">
        <v>2</v>
      </c>
      <c r="B6" s="7" t="s">
        <v>2098</v>
      </c>
      <c r="C6" s="7" t="s">
        <v>2099</v>
      </c>
      <c r="D6" s="7" t="s">
        <v>2100</v>
      </c>
      <c r="E6" s="7" t="s">
        <v>2101</v>
      </c>
      <c r="F6" s="7" t="s">
        <v>213</v>
      </c>
      <c r="G6" s="7" t="s">
        <v>2102</v>
      </c>
      <c r="H6" s="7" t="s">
        <v>2097</v>
      </c>
      <c r="I6" s="7" t="s">
        <v>1573</v>
      </c>
    </row>
    <row r="7" customFormat="false" ht="23.85" hidden="false" customHeight="false" outlineLevel="0" collapsed="false">
      <c r="A7" s="13" t="n">
        <v>3</v>
      </c>
      <c r="B7" s="7" t="s">
        <v>2103</v>
      </c>
      <c r="C7" s="7" t="s">
        <v>2104</v>
      </c>
      <c r="D7" s="7" t="s">
        <v>2105</v>
      </c>
      <c r="E7" s="7" t="s">
        <v>2106</v>
      </c>
      <c r="F7" s="7" t="s">
        <v>213</v>
      </c>
      <c r="G7" s="7" t="s">
        <v>2107</v>
      </c>
      <c r="H7" s="7" t="s">
        <v>2108</v>
      </c>
      <c r="I7" s="7" t="s">
        <v>2109</v>
      </c>
    </row>
    <row r="8" customFormat="false" ht="15" hidden="false" customHeight="false" outlineLevel="0" collapsed="false">
      <c r="A8" s="13" t="n">
        <v>4</v>
      </c>
      <c r="B8" s="7" t="s">
        <v>2110</v>
      </c>
      <c r="C8" s="7" t="s">
        <v>2111</v>
      </c>
      <c r="D8" s="7" t="s">
        <v>2112</v>
      </c>
      <c r="E8" s="7" t="s">
        <v>2113</v>
      </c>
      <c r="F8" s="7" t="s">
        <v>213</v>
      </c>
      <c r="G8" s="7" t="s">
        <v>2114</v>
      </c>
      <c r="H8" s="7" t="s">
        <v>2097</v>
      </c>
      <c r="I8" s="7" t="s">
        <v>213</v>
      </c>
    </row>
    <row r="9" customFormat="false" ht="15" hidden="false" customHeight="false" outlineLevel="0" collapsed="false">
      <c r="A9" s="13" t="n">
        <v>5</v>
      </c>
      <c r="B9" s="7" t="s">
        <v>2110</v>
      </c>
      <c r="C9" s="7" t="s">
        <v>2115</v>
      </c>
      <c r="D9" s="7" t="s">
        <v>2100</v>
      </c>
      <c r="E9" s="7" t="s">
        <v>2116</v>
      </c>
      <c r="F9" s="7" t="s">
        <v>213</v>
      </c>
      <c r="G9" s="7" t="s">
        <v>2117</v>
      </c>
      <c r="H9" s="7" t="s">
        <v>2097</v>
      </c>
      <c r="I9" s="7" t="s">
        <v>213</v>
      </c>
    </row>
    <row r="10" customFormat="false" ht="23.85" hidden="false" customHeight="false" outlineLevel="0" collapsed="false">
      <c r="A10" s="13" t="n">
        <v>6</v>
      </c>
      <c r="B10" s="7" t="s">
        <v>2118</v>
      </c>
      <c r="C10" s="7" t="s">
        <v>1956</v>
      </c>
      <c r="D10" s="7" t="s">
        <v>2100</v>
      </c>
      <c r="E10" s="7" t="s">
        <v>2119</v>
      </c>
      <c r="F10" s="7" t="s">
        <v>213</v>
      </c>
      <c r="G10" s="7" t="s">
        <v>2120</v>
      </c>
      <c r="H10" s="7" t="s">
        <v>2097</v>
      </c>
      <c r="I10" s="7" t="s">
        <v>213</v>
      </c>
    </row>
    <row r="11" customFormat="false" ht="15" hidden="false" customHeight="false" outlineLevel="0" collapsed="false">
      <c r="A11" s="13" t="n">
        <v>7</v>
      </c>
      <c r="B11" s="7" t="s">
        <v>2121</v>
      </c>
      <c r="C11" s="7" t="s">
        <v>2122</v>
      </c>
      <c r="D11" s="7" t="s">
        <v>2123</v>
      </c>
      <c r="E11" s="7" t="s">
        <v>2124</v>
      </c>
      <c r="F11" s="7" t="s">
        <v>213</v>
      </c>
      <c r="G11" s="7" t="s">
        <v>2125</v>
      </c>
      <c r="H11" s="7" t="s">
        <v>2097</v>
      </c>
      <c r="I11" s="7" t="s">
        <v>213</v>
      </c>
    </row>
    <row r="12" customFormat="false" ht="15" hidden="false" customHeight="false" outlineLevel="0" collapsed="false">
      <c r="A12" s="13" t="n">
        <v>8</v>
      </c>
      <c r="B12" s="7" t="s">
        <v>2126</v>
      </c>
      <c r="C12" s="7" t="s">
        <v>2127</v>
      </c>
      <c r="D12" s="7" t="s">
        <v>2123</v>
      </c>
      <c r="E12" s="7" t="s">
        <v>2128</v>
      </c>
      <c r="F12" s="7" t="s">
        <v>213</v>
      </c>
      <c r="G12" s="7" t="s">
        <v>2129</v>
      </c>
      <c r="H12" s="7" t="s">
        <v>2097</v>
      </c>
      <c r="I12" s="7" t="s">
        <v>213</v>
      </c>
    </row>
    <row r="13" customFormat="false" ht="23.85" hidden="false" customHeight="false" outlineLevel="0" collapsed="false">
      <c r="A13" s="13" t="n">
        <v>9</v>
      </c>
      <c r="B13" s="7" t="s">
        <v>2130</v>
      </c>
      <c r="C13" s="7" t="s">
        <v>2131</v>
      </c>
      <c r="D13" s="7" t="s">
        <v>2132</v>
      </c>
      <c r="E13" s="7" t="s">
        <v>2133</v>
      </c>
      <c r="F13" s="7" t="s">
        <v>1573</v>
      </c>
      <c r="G13" s="7" t="s">
        <v>2134</v>
      </c>
      <c r="H13" s="7" t="s">
        <v>2097</v>
      </c>
      <c r="I13" s="7" t="s">
        <v>2135</v>
      </c>
    </row>
    <row r="14" customFormat="false" ht="23.85" hidden="false" customHeight="false" outlineLevel="0" collapsed="false">
      <c r="A14" s="13" t="n">
        <v>10</v>
      </c>
      <c r="B14" s="7" t="s">
        <v>503</v>
      </c>
      <c r="C14" s="7" t="s">
        <v>2136</v>
      </c>
      <c r="D14" s="7" t="s">
        <v>2100</v>
      </c>
      <c r="E14" s="7" t="s">
        <v>2137</v>
      </c>
      <c r="F14" s="7" t="s">
        <v>1573</v>
      </c>
      <c r="G14" s="7" t="s">
        <v>2138</v>
      </c>
      <c r="H14" s="7" t="s">
        <v>2097</v>
      </c>
      <c r="I14" s="7" t="s">
        <v>1573</v>
      </c>
    </row>
    <row r="15" customFormat="false" ht="23.85" hidden="false" customHeight="false" outlineLevel="0" collapsed="false">
      <c r="A15" s="13" t="n">
        <v>11</v>
      </c>
      <c r="B15" s="7" t="s">
        <v>2139</v>
      </c>
      <c r="C15" s="7" t="s">
        <v>2140</v>
      </c>
      <c r="D15" s="7" t="s">
        <v>2141</v>
      </c>
      <c r="E15" s="7" t="s">
        <v>2142</v>
      </c>
      <c r="F15" s="7" t="s">
        <v>1573</v>
      </c>
      <c r="G15" s="7" t="s">
        <v>2143</v>
      </c>
      <c r="H15" s="7" t="s">
        <v>2144</v>
      </c>
      <c r="I15" s="7" t="s">
        <v>1573</v>
      </c>
    </row>
    <row r="16" customFormat="false" ht="23.85" hidden="false" customHeight="false" outlineLevel="0" collapsed="false">
      <c r="A16" s="13" t="n">
        <v>12</v>
      </c>
      <c r="B16" s="7" t="s">
        <v>2145</v>
      </c>
      <c r="C16" s="7" t="s">
        <v>2146</v>
      </c>
      <c r="D16" s="7" t="s">
        <v>2147</v>
      </c>
      <c r="E16" s="7" t="s">
        <v>2142</v>
      </c>
      <c r="F16" s="7" t="s">
        <v>1573</v>
      </c>
      <c r="G16" s="7" t="s">
        <v>2148</v>
      </c>
      <c r="H16" s="7" t="s">
        <v>2144</v>
      </c>
      <c r="I16" s="7" t="s">
        <v>2149</v>
      </c>
    </row>
    <row r="17" customFormat="false" ht="15" hidden="false" customHeight="false" outlineLevel="0" collapsed="false">
      <c r="A17" s="13" t="n">
        <v>13</v>
      </c>
      <c r="B17" s="7" t="s">
        <v>1790</v>
      </c>
      <c r="C17" s="7" t="s">
        <v>2150</v>
      </c>
      <c r="D17" s="7" t="s">
        <v>2100</v>
      </c>
      <c r="E17" s="7" t="s">
        <v>2151</v>
      </c>
      <c r="F17" s="7" t="s">
        <v>213</v>
      </c>
      <c r="G17" s="7" t="s">
        <v>2152</v>
      </c>
      <c r="H17" s="7" t="s">
        <v>2153</v>
      </c>
      <c r="I17" s="7" t="s">
        <v>196</v>
      </c>
    </row>
    <row r="18" customFormat="false" ht="23.85" hidden="false" customHeight="false" outlineLevel="0" collapsed="false">
      <c r="A18" s="13" t="n">
        <v>14</v>
      </c>
      <c r="B18" s="7" t="s">
        <v>1790</v>
      </c>
      <c r="C18" s="7" t="s">
        <v>2154</v>
      </c>
      <c r="D18" s="7" t="s">
        <v>2100</v>
      </c>
      <c r="E18" s="7" t="s">
        <v>2155</v>
      </c>
      <c r="F18" s="7" t="s">
        <v>213</v>
      </c>
      <c r="G18" s="7" t="s">
        <v>2156</v>
      </c>
      <c r="H18" s="7" t="s">
        <v>2153</v>
      </c>
      <c r="I18" s="7" t="s">
        <v>196</v>
      </c>
    </row>
    <row r="19" customFormat="false" ht="15" hidden="false" customHeight="false" outlineLevel="0" collapsed="false">
      <c r="A19" s="13" t="n">
        <v>15</v>
      </c>
      <c r="B19" s="7" t="s">
        <v>1790</v>
      </c>
      <c r="C19" s="7" t="s">
        <v>2157</v>
      </c>
      <c r="D19" s="7" t="s">
        <v>2100</v>
      </c>
      <c r="E19" s="7" t="s">
        <v>2158</v>
      </c>
      <c r="F19" s="7" t="s">
        <v>213</v>
      </c>
      <c r="G19" s="7" t="s">
        <v>2159</v>
      </c>
      <c r="H19" s="7" t="s">
        <v>2153</v>
      </c>
      <c r="I19" s="7" t="s">
        <v>196</v>
      </c>
    </row>
    <row r="21" customFormat="false" ht="31.5" hidden="false" customHeight="true" outlineLevel="0" collapsed="false">
      <c r="A21" s="23" t="s">
        <v>2160</v>
      </c>
      <c r="B21" s="23"/>
      <c r="C21" s="23"/>
      <c r="D21" s="23"/>
      <c r="E21" s="23"/>
      <c r="F21" s="23"/>
      <c r="G21" s="23"/>
      <c r="H21" s="23"/>
      <c r="I21" s="23"/>
    </row>
  </sheetData>
  <mergeCells count="1">
    <mergeCell ref="A21:I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A5E9"/>
    <pageSetUpPr fitToPage="true"/>
  </sheetPr>
  <dimension ref="A1:H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7"/>
    <col collapsed="false" customWidth="true" hidden="false" outlineLevel="0" max="3" min="3" style="0" width="50"/>
    <col collapsed="false" customWidth="true" hidden="false" outlineLevel="0" max="4" min="4" style="0" width="26"/>
    <col collapsed="false" customWidth="true" hidden="false" outlineLevel="0" max="5" min="5" style="0" width="46"/>
    <col collapsed="false" customWidth="true" hidden="false" outlineLevel="0" max="6" min="6" style="0" width="44"/>
    <col collapsed="false" customWidth="true" hidden="false" outlineLevel="0" max="7" min="7" style="0" width="40"/>
    <col collapsed="false" customWidth="true" hidden="false" outlineLevel="0" max="8" min="8" style="0" width="30"/>
  </cols>
  <sheetData>
    <row r="1" customFormat="false" ht="17.35" hidden="false" customHeight="false" outlineLevel="0" collapsed="false">
      <c r="A1" s="1" t="s">
        <v>2161</v>
      </c>
    </row>
    <row r="2" customFormat="false" ht="15" hidden="false" customHeight="false" outlineLevel="0" collapsed="false">
      <c r="A2" s="2" t="s">
        <v>2162</v>
      </c>
    </row>
    <row r="4" customFormat="false" ht="31.5" hidden="false" customHeight="true" outlineLevel="0" collapsed="false">
      <c r="A4" s="8" t="s">
        <v>229</v>
      </c>
      <c r="B4" s="8" t="s">
        <v>151</v>
      </c>
      <c r="C4" s="8" t="s">
        <v>2087</v>
      </c>
      <c r="D4" s="8" t="s">
        <v>2088</v>
      </c>
      <c r="E4" s="8" t="s">
        <v>2163</v>
      </c>
      <c r="F4" s="8" t="s">
        <v>2164</v>
      </c>
      <c r="G4" s="8" t="s">
        <v>2165</v>
      </c>
      <c r="H4" s="8" t="s">
        <v>2166</v>
      </c>
    </row>
    <row r="5" customFormat="false" ht="23.85" hidden="false" customHeight="false" outlineLevel="0" collapsed="false">
      <c r="A5" s="13" t="n">
        <v>1</v>
      </c>
      <c r="B5" s="10" t="s">
        <v>2167</v>
      </c>
      <c r="C5" s="7" t="s">
        <v>2168</v>
      </c>
      <c r="D5" s="7" t="s">
        <v>2100</v>
      </c>
      <c r="E5" s="7" t="s">
        <v>2169</v>
      </c>
      <c r="F5" s="7" t="s">
        <v>2170</v>
      </c>
      <c r="G5" s="7" t="s">
        <v>196</v>
      </c>
      <c r="H5" s="7" t="s">
        <v>196</v>
      </c>
    </row>
    <row r="6" customFormat="false" ht="23.85" hidden="false" customHeight="false" outlineLevel="0" collapsed="false">
      <c r="A6" s="13" t="n">
        <v>2</v>
      </c>
      <c r="B6" s="10" t="s">
        <v>2171</v>
      </c>
      <c r="C6" s="7" t="s">
        <v>2172</v>
      </c>
      <c r="D6" s="7" t="s">
        <v>2173</v>
      </c>
      <c r="E6" s="7" t="s">
        <v>2174</v>
      </c>
      <c r="F6" s="7" t="s">
        <v>2175</v>
      </c>
      <c r="G6" s="7" t="s">
        <v>2176</v>
      </c>
      <c r="H6" s="7" t="s">
        <v>196</v>
      </c>
    </row>
    <row r="7" customFormat="false" ht="23.85" hidden="false" customHeight="false" outlineLevel="0" collapsed="false">
      <c r="A7" s="13" t="n">
        <v>3</v>
      </c>
      <c r="B7" s="10" t="s">
        <v>2177</v>
      </c>
      <c r="C7" s="7" t="s">
        <v>2178</v>
      </c>
      <c r="D7" s="7" t="s">
        <v>2179</v>
      </c>
      <c r="E7" s="7" t="s">
        <v>2180</v>
      </c>
      <c r="F7" s="7" t="s">
        <v>2181</v>
      </c>
      <c r="G7" s="7" t="s">
        <v>2182</v>
      </c>
      <c r="H7" s="7" t="s">
        <v>196</v>
      </c>
    </row>
    <row r="8" customFormat="false" ht="15" hidden="false" customHeight="false" outlineLevel="0" collapsed="false">
      <c r="A8" s="13" t="n">
        <v>4</v>
      </c>
      <c r="B8" s="10" t="s">
        <v>2183</v>
      </c>
      <c r="C8" s="7" t="s">
        <v>2184</v>
      </c>
      <c r="D8" s="7" t="s">
        <v>2185</v>
      </c>
      <c r="E8" s="7" t="s">
        <v>2186</v>
      </c>
      <c r="F8" s="7" t="s">
        <v>196</v>
      </c>
      <c r="G8" s="7" t="s">
        <v>2187</v>
      </c>
      <c r="H8" s="7" t="s">
        <v>45</v>
      </c>
    </row>
    <row r="9" customFormat="false" ht="15" hidden="false" customHeight="false" outlineLevel="0" collapsed="false">
      <c r="A9" s="13" t="n">
        <v>5</v>
      </c>
      <c r="B9" s="10" t="s">
        <v>2188</v>
      </c>
      <c r="C9" s="7" t="s">
        <v>2111</v>
      </c>
      <c r="D9" s="7" t="s">
        <v>2189</v>
      </c>
      <c r="E9" s="7" t="s">
        <v>2113</v>
      </c>
      <c r="F9" s="7" t="s">
        <v>2190</v>
      </c>
      <c r="G9" s="7" t="s">
        <v>2191</v>
      </c>
      <c r="H9" s="7" t="s">
        <v>2192</v>
      </c>
    </row>
    <row r="10" customFormat="false" ht="23.85" hidden="false" customHeight="false" outlineLevel="0" collapsed="false">
      <c r="A10" s="13" t="n">
        <v>6</v>
      </c>
      <c r="B10" s="10" t="s">
        <v>2193</v>
      </c>
      <c r="C10" s="7" t="s">
        <v>2194</v>
      </c>
      <c r="D10" s="7" t="s">
        <v>2100</v>
      </c>
      <c r="E10" s="7" t="s">
        <v>2195</v>
      </c>
      <c r="F10" s="7" t="s">
        <v>2196</v>
      </c>
      <c r="G10" s="7" t="s">
        <v>196</v>
      </c>
      <c r="H10" s="7" t="s">
        <v>196</v>
      </c>
    </row>
    <row r="11" customFormat="false" ht="23.85" hidden="false" customHeight="false" outlineLevel="0" collapsed="false">
      <c r="A11" s="13" t="n">
        <v>7</v>
      </c>
      <c r="B11" s="10" t="s">
        <v>2197</v>
      </c>
      <c r="C11" s="7" t="s">
        <v>2198</v>
      </c>
      <c r="D11" s="7" t="s">
        <v>2199</v>
      </c>
      <c r="E11" s="7" t="s">
        <v>2200</v>
      </c>
      <c r="F11" s="7" t="s">
        <v>2201</v>
      </c>
      <c r="G11" s="7" t="s">
        <v>2202</v>
      </c>
      <c r="H11" s="7" t="s">
        <v>196</v>
      </c>
    </row>
    <row r="12" customFormat="false" ht="23.85" hidden="false" customHeight="false" outlineLevel="0" collapsed="false">
      <c r="A12" s="13" t="n">
        <v>8</v>
      </c>
      <c r="B12" s="10" t="s">
        <v>2203</v>
      </c>
      <c r="C12" s="7" t="s">
        <v>2204</v>
      </c>
      <c r="D12" s="7" t="s">
        <v>2205</v>
      </c>
      <c r="E12" s="7" t="s">
        <v>2206</v>
      </c>
      <c r="F12" s="7" t="s">
        <v>2207</v>
      </c>
      <c r="G12" s="7" t="s">
        <v>2208</v>
      </c>
      <c r="H12" s="7" t="s">
        <v>2209</v>
      </c>
    </row>
    <row r="13" customFormat="false" ht="15" hidden="false" customHeight="false" outlineLevel="0" collapsed="false">
      <c r="A13" s="13" t="n">
        <v>9</v>
      </c>
      <c r="B13" s="10" t="s">
        <v>2210</v>
      </c>
      <c r="C13" s="7" t="s">
        <v>2211</v>
      </c>
      <c r="D13" s="7" t="s">
        <v>2212</v>
      </c>
      <c r="E13" s="7" t="s">
        <v>2213</v>
      </c>
      <c r="F13" s="7" t="s">
        <v>2214</v>
      </c>
      <c r="G13" s="7" t="s">
        <v>2215</v>
      </c>
      <c r="H13" s="7" t="s">
        <v>2216</v>
      </c>
    </row>
    <row r="14" customFormat="false" ht="15" hidden="false" customHeight="false" outlineLevel="0" collapsed="false">
      <c r="A14" s="13" t="n">
        <v>10</v>
      </c>
      <c r="B14" s="10" t="s">
        <v>2217</v>
      </c>
      <c r="C14" s="7" t="s">
        <v>2218</v>
      </c>
      <c r="D14" s="7" t="s">
        <v>2212</v>
      </c>
      <c r="E14" s="7" t="s">
        <v>2219</v>
      </c>
      <c r="F14" s="7" t="s">
        <v>2220</v>
      </c>
      <c r="G14" s="7" t="s">
        <v>2221</v>
      </c>
      <c r="H14" s="7" t="s">
        <v>2216</v>
      </c>
    </row>
    <row r="15" customFormat="false" ht="15" hidden="false" customHeight="false" outlineLevel="0" collapsed="false">
      <c r="A15" s="13" t="n">
        <v>11</v>
      </c>
      <c r="B15" s="10" t="s">
        <v>2222</v>
      </c>
      <c r="C15" s="7" t="s">
        <v>2223</v>
      </c>
      <c r="D15" s="7" t="s">
        <v>2224</v>
      </c>
      <c r="E15" s="7" t="s">
        <v>2225</v>
      </c>
      <c r="F15" s="7" t="s">
        <v>2226</v>
      </c>
      <c r="G15" s="7" t="s">
        <v>2227</v>
      </c>
      <c r="H15" s="7" t="s">
        <v>2228</v>
      </c>
    </row>
    <row r="16" customFormat="false" ht="15" hidden="false" customHeight="false" outlineLevel="0" collapsed="false">
      <c r="A16" s="13" t="n">
        <v>12</v>
      </c>
      <c r="B16" s="10" t="s">
        <v>2229</v>
      </c>
      <c r="C16" s="7" t="s">
        <v>2230</v>
      </c>
      <c r="D16" s="7" t="s">
        <v>2231</v>
      </c>
      <c r="E16" s="7" t="s">
        <v>2232</v>
      </c>
      <c r="F16" s="7" t="s">
        <v>2233</v>
      </c>
      <c r="G16" s="7" t="s">
        <v>2234</v>
      </c>
      <c r="H16" s="7" t="s">
        <v>2235</v>
      </c>
    </row>
    <row r="17" customFormat="false" ht="15" hidden="false" customHeight="false" outlineLevel="0" collapsed="false">
      <c r="A17" s="13" t="n">
        <v>13</v>
      </c>
      <c r="B17" s="10" t="s">
        <v>2236</v>
      </c>
      <c r="C17" s="7" t="s">
        <v>2237</v>
      </c>
      <c r="D17" s="7" t="s">
        <v>2238</v>
      </c>
      <c r="E17" s="7" t="s">
        <v>2239</v>
      </c>
      <c r="F17" s="7" t="s">
        <v>196</v>
      </c>
      <c r="G17" s="7" t="s">
        <v>2240</v>
      </c>
      <c r="H17" s="7" t="s">
        <v>2241</v>
      </c>
    </row>
    <row r="18" customFormat="false" ht="23.85" hidden="false" customHeight="false" outlineLevel="0" collapsed="false">
      <c r="A18" s="13" t="n">
        <v>14</v>
      </c>
      <c r="B18" s="10" t="s">
        <v>2242</v>
      </c>
      <c r="C18" s="7" t="s">
        <v>2243</v>
      </c>
      <c r="D18" s="7" t="s">
        <v>2244</v>
      </c>
      <c r="E18" s="7" t="s">
        <v>2245</v>
      </c>
      <c r="F18" s="7" t="s">
        <v>2246</v>
      </c>
      <c r="G18" s="7" t="s">
        <v>2247</v>
      </c>
      <c r="H18" s="7" t="s">
        <v>2248</v>
      </c>
    </row>
    <row r="19" customFormat="false" ht="15" hidden="false" customHeight="false" outlineLevel="0" collapsed="false">
      <c r="A19" s="13" t="n">
        <v>15</v>
      </c>
      <c r="B19" s="10" t="s">
        <v>2249</v>
      </c>
      <c r="C19" s="7" t="s">
        <v>2250</v>
      </c>
      <c r="D19" s="7" t="s">
        <v>2251</v>
      </c>
      <c r="E19" s="7" t="s">
        <v>2252</v>
      </c>
      <c r="F19" s="7" t="s">
        <v>2253</v>
      </c>
      <c r="G19" s="7" t="s">
        <v>2254</v>
      </c>
      <c r="H19" s="7" t="s">
        <v>2255</v>
      </c>
    </row>
    <row r="20" customFormat="false" ht="15" hidden="false" customHeight="false" outlineLevel="0" collapsed="false">
      <c r="A20" s="13" t="n">
        <v>16</v>
      </c>
      <c r="B20" s="10" t="s">
        <v>2256</v>
      </c>
      <c r="C20" s="7" t="s">
        <v>2257</v>
      </c>
      <c r="D20" s="7" t="s">
        <v>2251</v>
      </c>
      <c r="E20" s="7" t="s">
        <v>2252</v>
      </c>
      <c r="F20" s="7" t="s">
        <v>2253</v>
      </c>
      <c r="G20" s="7" t="s">
        <v>2258</v>
      </c>
      <c r="H20" s="7" t="s">
        <v>196</v>
      </c>
    </row>
    <row r="21" customFormat="false" ht="23.85" hidden="false" customHeight="false" outlineLevel="0" collapsed="false">
      <c r="A21" s="13" t="n">
        <v>17</v>
      </c>
      <c r="B21" s="10" t="s">
        <v>2259</v>
      </c>
      <c r="C21" s="7" t="s">
        <v>2260</v>
      </c>
      <c r="D21" s="7" t="s">
        <v>2261</v>
      </c>
      <c r="E21" s="7" t="s">
        <v>2262</v>
      </c>
      <c r="F21" s="7" t="s">
        <v>2263</v>
      </c>
      <c r="G21" s="7" t="s">
        <v>2264</v>
      </c>
      <c r="H21" s="7" t="s">
        <v>2265</v>
      </c>
    </row>
    <row r="22" customFormat="false" ht="15" hidden="false" customHeight="false" outlineLevel="0" collapsed="false">
      <c r="A22" s="13" t="n">
        <v>18</v>
      </c>
      <c r="B22" s="10" t="s">
        <v>2266</v>
      </c>
      <c r="C22" s="7" t="s">
        <v>2267</v>
      </c>
      <c r="D22" s="7" t="s">
        <v>2268</v>
      </c>
      <c r="E22" s="7" t="s">
        <v>2269</v>
      </c>
      <c r="F22" s="7" t="s">
        <v>2270</v>
      </c>
      <c r="G22" s="7" t="s">
        <v>196</v>
      </c>
      <c r="H22" s="7" t="s">
        <v>196</v>
      </c>
    </row>
    <row r="23" customFormat="false" ht="35.05" hidden="false" customHeight="false" outlineLevel="0" collapsed="false">
      <c r="A23" s="13" t="n">
        <v>19</v>
      </c>
      <c r="B23" s="10" t="s">
        <v>2271</v>
      </c>
      <c r="C23" s="7" t="s">
        <v>2272</v>
      </c>
      <c r="D23" s="7" t="s">
        <v>2273</v>
      </c>
      <c r="E23" s="7" t="s">
        <v>2274</v>
      </c>
      <c r="F23" s="7" t="s">
        <v>2275</v>
      </c>
      <c r="G23" s="7" t="s">
        <v>196</v>
      </c>
      <c r="H23" s="7" t="s">
        <v>196</v>
      </c>
    </row>
    <row r="24" customFormat="false" ht="23.85" hidden="false" customHeight="false" outlineLevel="0" collapsed="false">
      <c r="A24" s="13" t="n">
        <v>20</v>
      </c>
      <c r="B24" s="10" t="s">
        <v>2276</v>
      </c>
      <c r="C24" s="7" t="s">
        <v>2277</v>
      </c>
      <c r="D24" s="7" t="s">
        <v>2278</v>
      </c>
      <c r="E24" s="7" t="s">
        <v>2269</v>
      </c>
      <c r="F24" s="7" t="s">
        <v>2279</v>
      </c>
      <c r="G24" s="7" t="s">
        <v>2280</v>
      </c>
      <c r="H24" s="7" t="s">
        <v>2281</v>
      </c>
    </row>
    <row r="25" customFormat="false" ht="35.05" hidden="false" customHeight="false" outlineLevel="0" collapsed="false">
      <c r="A25" s="13" t="n">
        <v>21</v>
      </c>
      <c r="B25" s="10" t="s">
        <v>2282</v>
      </c>
      <c r="C25" s="7" t="s">
        <v>2283</v>
      </c>
      <c r="D25" s="7" t="s">
        <v>2278</v>
      </c>
      <c r="E25" s="7" t="s">
        <v>2269</v>
      </c>
      <c r="F25" s="7" t="s">
        <v>2284</v>
      </c>
      <c r="G25" s="7" t="s">
        <v>2285</v>
      </c>
      <c r="H25" s="7" t="s">
        <v>2286</v>
      </c>
    </row>
    <row r="26" customFormat="false" ht="15" hidden="false" customHeight="false" outlineLevel="0" collapsed="false">
      <c r="A26" s="13" t="n">
        <v>22</v>
      </c>
      <c r="B26" s="10" t="s">
        <v>2287</v>
      </c>
      <c r="C26" s="7" t="s">
        <v>2288</v>
      </c>
      <c r="D26" s="7" t="s">
        <v>2278</v>
      </c>
      <c r="E26" s="7" t="s">
        <v>2269</v>
      </c>
      <c r="F26" s="7" t="s">
        <v>2284</v>
      </c>
      <c r="G26" s="7" t="s">
        <v>2289</v>
      </c>
      <c r="H26" s="7" t="s">
        <v>2290</v>
      </c>
    </row>
    <row r="27" customFormat="false" ht="23.85" hidden="false" customHeight="false" outlineLevel="0" collapsed="false">
      <c r="A27" s="13" t="n">
        <v>23</v>
      </c>
      <c r="B27" s="10" t="s">
        <v>2291</v>
      </c>
      <c r="C27" s="7" t="s">
        <v>2292</v>
      </c>
      <c r="D27" s="7" t="s">
        <v>2278</v>
      </c>
      <c r="E27" s="7" t="s">
        <v>2269</v>
      </c>
      <c r="F27" s="7" t="s">
        <v>2284</v>
      </c>
      <c r="G27" s="7" t="s">
        <v>2293</v>
      </c>
      <c r="H27" s="7" t="s">
        <v>2294</v>
      </c>
    </row>
    <row r="28" customFormat="false" ht="23.85" hidden="false" customHeight="false" outlineLevel="0" collapsed="false">
      <c r="A28" s="13" t="n">
        <v>24</v>
      </c>
      <c r="B28" s="10" t="s">
        <v>2295</v>
      </c>
      <c r="C28" s="7" t="s">
        <v>2296</v>
      </c>
      <c r="D28" s="7" t="s">
        <v>2278</v>
      </c>
      <c r="E28" s="7" t="s">
        <v>2269</v>
      </c>
      <c r="F28" s="7" t="s">
        <v>2284</v>
      </c>
      <c r="G28" s="7" t="s">
        <v>2297</v>
      </c>
      <c r="H28" s="7" t="s">
        <v>2298</v>
      </c>
    </row>
    <row r="29" customFormat="false" ht="23.85" hidden="false" customHeight="false" outlineLevel="0" collapsed="false">
      <c r="A29" s="13" t="n">
        <v>25</v>
      </c>
      <c r="B29" s="10" t="s">
        <v>2299</v>
      </c>
      <c r="C29" s="7" t="s">
        <v>2300</v>
      </c>
      <c r="D29" s="7" t="s">
        <v>2278</v>
      </c>
      <c r="E29" s="7" t="s">
        <v>2269</v>
      </c>
      <c r="F29" s="7" t="s">
        <v>2284</v>
      </c>
      <c r="G29" s="7" t="s">
        <v>2301</v>
      </c>
      <c r="H29" s="7" t="s">
        <v>2302</v>
      </c>
    </row>
    <row r="30" customFormat="false" ht="23.85" hidden="false" customHeight="false" outlineLevel="0" collapsed="false">
      <c r="A30" s="13" t="n">
        <v>26</v>
      </c>
      <c r="B30" s="10" t="s">
        <v>2303</v>
      </c>
      <c r="C30" s="7" t="s">
        <v>2304</v>
      </c>
      <c r="D30" s="7" t="s">
        <v>2278</v>
      </c>
      <c r="E30" s="7" t="s">
        <v>2269</v>
      </c>
      <c r="F30" s="7" t="s">
        <v>2284</v>
      </c>
      <c r="G30" s="7" t="s">
        <v>2305</v>
      </c>
      <c r="H30" s="7" t="s">
        <v>2306</v>
      </c>
    </row>
    <row r="31" customFormat="false" ht="23.85" hidden="false" customHeight="false" outlineLevel="0" collapsed="false">
      <c r="A31" s="13" t="n">
        <v>27</v>
      </c>
      <c r="B31" s="10" t="s">
        <v>2307</v>
      </c>
      <c r="C31" s="7" t="s">
        <v>2308</v>
      </c>
      <c r="D31" s="7" t="s">
        <v>2278</v>
      </c>
      <c r="E31" s="7" t="s">
        <v>2269</v>
      </c>
      <c r="F31" s="7" t="s">
        <v>2284</v>
      </c>
      <c r="G31" s="7" t="s">
        <v>2309</v>
      </c>
      <c r="H31" s="7" t="s">
        <v>2310</v>
      </c>
    </row>
    <row r="32" customFormat="false" ht="15" hidden="false" customHeight="false" outlineLevel="0" collapsed="false">
      <c r="A32" s="13" t="n">
        <v>28</v>
      </c>
      <c r="B32" s="10" t="s">
        <v>2311</v>
      </c>
      <c r="C32" s="7" t="s">
        <v>2312</v>
      </c>
      <c r="D32" s="7" t="s">
        <v>2278</v>
      </c>
      <c r="E32" s="7" t="s">
        <v>2269</v>
      </c>
      <c r="F32" s="7" t="s">
        <v>2284</v>
      </c>
      <c r="G32" s="7" t="s">
        <v>2313</v>
      </c>
      <c r="H32" s="7" t="s">
        <v>2314</v>
      </c>
    </row>
    <row r="33" customFormat="false" ht="23.85" hidden="false" customHeight="false" outlineLevel="0" collapsed="false">
      <c r="A33" s="13" t="n">
        <v>29</v>
      </c>
      <c r="B33" s="10" t="s">
        <v>2315</v>
      </c>
      <c r="C33" s="7" t="s">
        <v>2316</v>
      </c>
      <c r="D33" s="7" t="s">
        <v>2278</v>
      </c>
      <c r="E33" s="7" t="s">
        <v>2269</v>
      </c>
      <c r="F33" s="7" t="s">
        <v>2284</v>
      </c>
      <c r="G33" s="7" t="s">
        <v>2317</v>
      </c>
      <c r="H33" s="7" t="s">
        <v>2318</v>
      </c>
    </row>
    <row r="34" customFormat="false" ht="23.85" hidden="false" customHeight="false" outlineLevel="0" collapsed="false">
      <c r="A34" s="13" t="n">
        <v>30</v>
      </c>
      <c r="B34" s="10" t="s">
        <v>2319</v>
      </c>
      <c r="C34" s="7" t="s">
        <v>2320</v>
      </c>
      <c r="D34" s="7" t="s">
        <v>2278</v>
      </c>
      <c r="E34" s="7" t="s">
        <v>2269</v>
      </c>
      <c r="F34" s="7" t="s">
        <v>2284</v>
      </c>
      <c r="G34" s="7" t="s">
        <v>2321</v>
      </c>
      <c r="H34" s="7" t="s">
        <v>2322</v>
      </c>
    </row>
    <row r="35" customFormat="false" ht="23.85" hidden="false" customHeight="false" outlineLevel="0" collapsed="false">
      <c r="A35" s="13" t="n">
        <v>31</v>
      </c>
      <c r="B35" s="10" t="s">
        <v>2323</v>
      </c>
      <c r="C35" s="7" t="s">
        <v>2324</v>
      </c>
      <c r="D35" s="7" t="s">
        <v>2268</v>
      </c>
      <c r="E35" s="7" t="s">
        <v>2325</v>
      </c>
      <c r="F35" s="7" t="s">
        <v>196</v>
      </c>
      <c r="G35" s="7" t="s">
        <v>2326</v>
      </c>
      <c r="H35" s="7" t="s">
        <v>2327</v>
      </c>
    </row>
    <row r="36" customFormat="false" ht="15" hidden="false" customHeight="false" outlineLevel="0" collapsed="false">
      <c r="A36" s="13" t="n">
        <v>32</v>
      </c>
      <c r="B36" s="10" t="s">
        <v>1961</v>
      </c>
      <c r="C36" s="7" t="s">
        <v>2328</v>
      </c>
      <c r="D36" s="7" t="s">
        <v>2231</v>
      </c>
      <c r="E36" s="7" t="s">
        <v>2329</v>
      </c>
      <c r="F36" s="7" t="s">
        <v>196</v>
      </c>
      <c r="G36" s="7" t="s">
        <v>2330</v>
      </c>
      <c r="H36" s="7" t="s">
        <v>2228</v>
      </c>
    </row>
    <row r="37" customFormat="false" ht="15" hidden="false" customHeight="false" outlineLevel="0" collapsed="false">
      <c r="A37" s="13" t="n">
        <v>33</v>
      </c>
      <c r="B37" s="10" t="s">
        <v>1979</v>
      </c>
      <c r="C37" s="7" t="s">
        <v>2331</v>
      </c>
      <c r="D37" s="7" t="s">
        <v>2268</v>
      </c>
      <c r="E37" s="7" t="s">
        <v>2332</v>
      </c>
      <c r="F37" s="7" t="s">
        <v>196</v>
      </c>
      <c r="G37" s="7" t="s">
        <v>2333</v>
      </c>
      <c r="H37" s="7" t="s">
        <v>2334</v>
      </c>
    </row>
    <row r="38" customFormat="false" ht="15" hidden="false" customHeight="false" outlineLevel="0" collapsed="false">
      <c r="A38" s="13" t="n">
        <v>34</v>
      </c>
      <c r="B38" s="10" t="s">
        <v>2335</v>
      </c>
      <c r="C38" s="7" t="s">
        <v>2336</v>
      </c>
      <c r="D38" s="7" t="s">
        <v>2337</v>
      </c>
      <c r="E38" s="7" t="s">
        <v>2338</v>
      </c>
      <c r="F38" s="7" t="s">
        <v>2339</v>
      </c>
      <c r="G38" s="7" t="s">
        <v>2340</v>
      </c>
      <c r="H38" s="7" t="s">
        <v>196</v>
      </c>
    </row>
    <row r="39" customFormat="false" ht="15" hidden="false" customHeight="false" outlineLevel="0" collapsed="false">
      <c r="A39" s="13" t="n">
        <v>35</v>
      </c>
      <c r="B39" s="10" t="s">
        <v>2341</v>
      </c>
      <c r="C39" s="7" t="s">
        <v>2342</v>
      </c>
      <c r="D39" s="7" t="s">
        <v>2268</v>
      </c>
      <c r="E39" s="7" t="s">
        <v>2343</v>
      </c>
      <c r="F39" s="7" t="s">
        <v>2344</v>
      </c>
      <c r="G39" s="7" t="s">
        <v>2345</v>
      </c>
      <c r="H39" s="7" t="s">
        <v>2346</v>
      </c>
    </row>
    <row r="40" customFormat="false" ht="15" hidden="false" customHeight="false" outlineLevel="0" collapsed="false">
      <c r="A40" s="13" t="n">
        <v>36</v>
      </c>
      <c r="B40" s="10" t="s">
        <v>2347</v>
      </c>
      <c r="C40" s="7" t="s">
        <v>2348</v>
      </c>
      <c r="D40" s="7" t="s">
        <v>2268</v>
      </c>
      <c r="E40" s="7" t="s">
        <v>2349</v>
      </c>
      <c r="F40" s="7" t="s">
        <v>196</v>
      </c>
      <c r="G40" s="7" t="s">
        <v>196</v>
      </c>
      <c r="H40" s="7" t="s">
        <v>2350</v>
      </c>
    </row>
    <row r="41" customFormat="false" ht="23.85" hidden="false" customHeight="false" outlineLevel="0" collapsed="false">
      <c r="A41" s="13" t="n">
        <v>37</v>
      </c>
      <c r="B41" s="10" t="s">
        <v>2351</v>
      </c>
      <c r="C41" s="7" t="s">
        <v>2352</v>
      </c>
      <c r="D41" s="7" t="s">
        <v>2268</v>
      </c>
      <c r="E41" s="7" t="s">
        <v>2353</v>
      </c>
      <c r="F41" s="7" t="s">
        <v>2354</v>
      </c>
      <c r="G41" s="7" t="s">
        <v>2355</v>
      </c>
      <c r="H41" s="7" t="s">
        <v>2356</v>
      </c>
    </row>
    <row r="42" customFormat="false" ht="23.85" hidden="false" customHeight="false" outlineLevel="0" collapsed="false">
      <c r="A42" s="13" t="n">
        <v>38</v>
      </c>
      <c r="B42" s="10" t="s">
        <v>2357</v>
      </c>
      <c r="C42" s="7" t="s">
        <v>2358</v>
      </c>
      <c r="D42" s="7" t="s">
        <v>2268</v>
      </c>
      <c r="E42" s="7" t="s">
        <v>2359</v>
      </c>
      <c r="F42" s="7" t="s">
        <v>2360</v>
      </c>
      <c r="G42" s="7" t="s">
        <v>196</v>
      </c>
      <c r="H42" s="7" t="s">
        <v>2361</v>
      </c>
    </row>
    <row r="44" customFormat="false" ht="15" hidden="false" customHeight="false" outlineLevel="0" collapsed="false">
      <c r="A44" s="3" t="s">
        <v>2362</v>
      </c>
      <c r="B44" s="4"/>
      <c r="C44" s="4"/>
      <c r="D44" s="4"/>
      <c r="E44" s="4"/>
      <c r="F44" s="4"/>
      <c r="G44" s="4"/>
      <c r="H44" s="4"/>
    </row>
    <row r="45" customFormat="false" ht="25.5" hidden="false" customHeight="true" outlineLevel="0" collapsed="false">
      <c r="B45" s="5" t="s">
        <v>2363</v>
      </c>
      <c r="C45" s="5"/>
      <c r="D45" s="5"/>
      <c r="E45" s="5"/>
      <c r="F45" s="5"/>
      <c r="G45" s="5"/>
      <c r="H45" s="5"/>
    </row>
    <row r="46" customFormat="false" ht="25.5" hidden="false" customHeight="true" outlineLevel="0" collapsed="false">
      <c r="B46" s="5" t="s">
        <v>2364</v>
      </c>
      <c r="C46" s="5"/>
      <c r="D46" s="5"/>
      <c r="E46" s="5"/>
      <c r="F46" s="5"/>
      <c r="G46" s="5"/>
      <c r="H46" s="5"/>
    </row>
    <row r="47" customFormat="false" ht="25.5" hidden="false" customHeight="true" outlineLevel="0" collapsed="false">
      <c r="B47" s="5" t="s">
        <v>2365</v>
      </c>
      <c r="C47" s="5"/>
      <c r="D47" s="5"/>
      <c r="E47" s="5"/>
      <c r="F47" s="5"/>
      <c r="G47" s="5"/>
      <c r="H47" s="5"/>
    </row>
    <row r="48" customFormat="false" ht="25.5" hidden="false" customHeight="true" outlineLevel="0" collapsed="false">
      <c r="B48" s="5" t="s">
        <v>2366</v>
      </c>
      <c r="C48" s="5"/>
      <c r="D48" s="5"/>
      <c r="E48" s="5"/>
      <c r="F48" s="5"/>
      <c r="G48" s="5"/>
      <c r="H48" s="5"/>
    </row>
    <row r="49" customFormat="false" ht="25.5" hidden="false" customHeight="true" outlineLevel="0" collapsed="false">
      <c r="B49" s="5" t="s">
        <v>2367</v>
      </c>
      <c r="C49" s="5"/>
      <c r="D49" s="5"/>
      <c r="E49" s="5"/>
      <c r="F49" s="5"/>
      <c r="G49" s="5"/>
      <c r="H49" s="5"/>
    </row>
    <row r="50" customFormat="false" ht="25.5" hidden="false" customHeight="true" outlineLevel="0" collapsed="false">
      <c r="B50" s="5" t="s">
        <v>2368</v>
      </c>
      <c r="C50" s="5"/>
      <c r="D50" s="5"/>
      <c r="E50" s="5"/>
      <c r="F50" s="5"/>
      <c r="G50" s="5"/>
      <c r="H50" s="5"/>
    </row>
    <row r="51" customFormat="false" ht="25.5" hidden="false" customHeight="true" outlineLevel="0" collapsed="false">
      <c r="B51" s="5" t="s">
        <v>2369</v>
      </c>
      <c r="C51" s="5"/>
      <c r="D51" s="5"/>
      <c r="E51" s="5"/>
      <c r="F51" s="5"/>
      <c r="G51" s="5"/>
      <c r="H51" s="5"/>
    </row>
    <row r="52" customFormat="false" ht="25.5" hidden="false" customHeight="true" outlineLevel="0" collapsed="false">
      <c r="B52" s="5" t="s">
        <v>2370</v>
      </c>
      <c r="C52" s="5"/>
      <c r="D52" s="5"/>
      <c r="E52" s="5"/>
      <c r="F52" s="5"/>
      <c r="G52" s="5"/>
      <c r="H52" s="5"/>
    </row>
  </sheetData>
  <mergeCells count="8">
    <mergeCell ref="B45:H45"/>
    <mergeCell ref="B46:H46"/>
    <mergeCell ref="B47:H47"/>
    <mergeCell ref="B48:H48"/>
    <mergeCell ref="B49:H49"/>
    <mergeCell ref="B50:H50"/>
    <mergeCell ref="B51:H51"/>
    <mergeCell ref="B52:H5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A5E9"/>
    <pageSetUpPr fitToPage="true"/>
  </sheetPr>
  <dimension ref="A1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4"/>
    <col collapsed="false" customWidth="true" hidden="false" outlineLevel="0" max="3" min="3" style="0" width="70"/>
    <col collapsed="false" customWidth="true" hidden="false" outlineLevel="0" max="4" min="4" style="0" width="44"/>
    <col collapsed="false" customWidth="true" hidden="false" outlineLevel="0" max="5" min="5" style="0" width="40"/>
    <col collapsed="false" customWidth="true" hidden="false" outlineLevel="0" max="6" min="6" style="0" width="56"/>
  </cols>
  <sheetData>
    <row r="1" customFormat="false" ht="17.35" hidden="false" customHeight="false" outlineLevel="0" collapsed="false">
      <c r="A1" s="1" t="s">
        <v>2371</v>
      </c>
    </row>
    <row r="2" customFormat="false" ht="15" hidden="false" customHeight="false" outlineLevel="0" collapsed="false">
      <c r="A2" s="2" t="s">
        <v>2372</v>
      </c>
    </row>
    <row r="4" customFormat="false" ht="31.5" hidden="false" customHeight="true" outlineLevel="0" collapsed="false">
      <c r="A4" s="8" t="s">
        <v>2373</v>
      </c>
      <c r="B4" s="8" t="s">
        <v>2374</v>
      </c>
      <c r="C4" s="8" t="s">
        <v>2375</v>
      </c>
      <c r="D4" s="8" t="s">
        <v>2376</v>
      </c>
      <c r="E4" s="8" t="s">
        <v>1961</v>
      </c>
      <c r="F4" s="8" t="s">
        <v>2377</v>
      </c>
    </row>
    <row r="5" customFormat="false" ht="35.05" hidden="false" customHeight="false" outlineLevel="0" collapsed="false">
      <c r="A5" s="10" t="s">
        <v>2378</v>
      </c>
      <c r="B5" s="7" t="s">
        <v>2379</v>
      </c>
      <c r="C5" s="7" t="s">
        <v>2380</v>
      </c>
      <c r="D5" s="7" t="s">
        <v>2381</v>
      </c>
      <c r="E5" s="7" t="s">
        <v>2382</v>
      </c>
      <c r="F5" s="7" t="s">
        <v>2383</v>
      </c>
    </row>
    <row r="6" customFormat="false" ht="35.05" hidden="false" customHeight="false" outlineLevel="0" collapsed="false">
      <c r="A6" s="10" t="s">
        <v>2384</v>
      </c>
      <c r="B6" s="7" t="s">
        <v>2385</v>
      </c>
      <c r="C6" s="7" t="s">
        <v>2386</v>
      </c>
      <c r="D6" s="7" t="s">
        <v>2387</v>
      </c>
      <c r="E6" s="7" t="s">
        <v>2388</v>
      </c>
      <c r="F6" s="7" t="s">
        <v>2389</v>
      </c>
    </row>
    <row r="7" customFormat="false" ht="23.85" hidden="false" customHeight="false" outlineLevel="0" collapsed="false">
      <c r="A7" s="10" t="s">
        <v>395</v>
      </c>
      <c r="B7" s="7" t="s">
        <v>2390</v>
      </c>
      <c r="C7" s="7" t="s">
        <v>2391</v>
      </c>
      <c r="D7" s="7" t="s">
        <v>2392</v>
      </c>
      <c r="E7" s="7" t="s">
        <v>2393</v>
      </c>
      <c r="F7" s="7" t="s">
        <v>2394</v>
      </c>
    </row>
    <row r="8" customFormat="false" ht="35.05" hidden="false" customHeight="false" outlineLevel="0" collapsed="false">
      <c r="A8" s="10" t="s">
        <v>2395</v>
      </c>
      <c r="B8" s="7" t="s">
        <v>2396</v>
      </c>
      <c r="C8" s="7" t="s">
        <v>2397</v>
      </c>
      <c r="D8" s="7" t="s">
        <v>2398</v>
      </c>
      <c r="E8" s="7" t="s">
        <v>2399</v>
      </c>
      <c r="F8" s="7" t="s">
        <v>2400</v>
      </c>
    </row>
    <row r="9" customFormat="false" ht="35.05" hidden="false" customHeight="false" outlineLevel="0" collapsed="false">
      <c r="A9" s="10" t="s">
        <v>2401</v>
      </c>
      <c r="B9" s="7" t="s">
        <v>2402</v>
      </c>
      <c r="C9" s="7" t="s">
        <v>2403</v>
      </c>
      <c r="D9" s="7" t="s">
        <v>2404</v>
      </c>
      <c r="E9" s="7" t="s">
        <v>2405</v>
      </c>
      <c r="F9" s="7" t="s">
        <v>2406</v>
      </c>
    </row>
    <row r="10" customFormat="false" ht="35.05" hidden="false" customHeight="false" outlineLevel="0" collapsed="false">
      <c r="A10" s="10" t="s">
        <v>2407</v>
      </c>
      <c r="B10" s="7" t="s">
        <v>2408</v>
      </c>
      <c r="C10" s="7" t="s">
        <v>2409</v>
      </c>
      <c r="D10" s="7" t="s">
        <v>2410</v>
      </c>
      <c r="E10" s="7" t="s">
        <v>2411</v>
      </c>
      <c r="F10" s="7" t="s">
        <v>2412</v>
      </c>
    </row>
    <row r="11" customFormat="false" ht="35.05" hidden="false" customHeight="false" outlineLevel="0" collapsed="false">
      <c r="A11" s="10" t="s">
        <v>2413</v>
      </c>
      <c r="B11" s="7" t="s">
        <v>2414</v>
      </c>
      <c r="C11" s="7" t="s">
        <v>2415</v>
      </c>
      <c r="D11" s="7" t="s">
        <v>2416</v>
      </c>
      <c r="E11" s="7" t="s">
        <v>2417</v>
      </c>
      <c r="F11" s="7" t="s">
        <v>2418</v>
      </c>
    </row>
    <row r="12" customFormat="false" ht="35.05" hidden="false" customHeight="false" outlineLevel="0" collapsed="false">
      <c r="A12" s="10" t="s">
        <v>2419</v>
      </c>
      <c r="B12" s="7" t="s">
        <v>2420</v>
      </c>
      <c r="C12" s="7" t="s">
        <v>2421</v>
      </c>
      <c r="D12" s="7" t="s">
        <v>2422</v>
      </c>
      <c r="E12" s="7" t="s">
        <v>2423</v>
      </c>
      <c r="F12" s="7" t="s">
        <v>2424</v>
      </c>
    </row>
    <row r="13" customFormat="false" ht="35.05" hidden="false" customHeight="false" outlineLevel="0" collapsed="false">
      <c r="A13" s="10" t="s">
        <v>2425</v>
      </c>
      <c r="B13" s="7" t="s">
        <v>2426</v>
      </c>
      <c r="C13" s="7" t="s">
        <v>2427</v>
      </c>
      <c r="D13" s="7" t="s">
        <v>2428</v>
      </c>
      <c r="E13" s="7" t="s">
        <v>2429</v>
      </c>
      <c r="F13" s="7" t="s">
        <v>2430</v>
      </c>
    </row>
    <row r="14" customFormat="false" ht="23.85" hidden="false" customHeight="false" outlineLevel="0" collapsed="false">
      <c r="A14" s="10" t="s">
        <v>2431</v>
      </c>
      <c r="B14" s="7" t="s">
        <v>2432</v>
      </c>
      <c r="C14" s="7" t="s">
        <v>2433</v>
      </c>
      <c r="D14" s="7" t="s">
        <v>2434</v>
      </c>
      <c r="E14" s="7" t="s">
        <v>2435</v>
      </c>
      <c r="F14" s="7" t="s">
        <v>2436</v>
      </c>
    </row>
    <row r="15" customFormat="false" ht="35.05" hidden="false" customHeight="false" outlineLevel="0" collapsed="false">
      <c r="A15" s="10" t="s">
        <v>2437</v>
      </c>
      <c r="B15" s="7" t="s">
        <v>2438</v>
      </c>
      <c r="C15" s="7" t="s">
        <v>2439</v>
      </c>
      <c r="D15" s="7" t="s">
        <v>2440</v>
      </c>
      <c r="E15" s="7" t="s">
        <v>2441</v>
      </c>
      <c r="F15" s="7" t="s">
        <v>2442</v>
      </c>
    </row>
    <row r="16" customFormat="false" ht="35.05" hidden="false" customHeight="false" outlineLevel="0" collapsed="false">
      <c r="A16" s="10" t="s">
        <v>2443</v>
      </c>
      <c r="B16" s="7" t="s">
        <v>2444</v>
      </c>
      <c r="C16" s="7" t="s">
        <v>2445</v>
      </c>
      <c r="D16" s="7" t="s">
        <v>2446</v>
      </c>
      <c r="E16" s="7" t="s">
        <v>2447</v>
      </c>
      <c r="F16" s="7" t="s">
        <v>2448</v>
      </c>
    </row>
    <row r="17" customFormat="false" ht="35.05" hidden="false" customHeight="false" outlineLevel="0" collapsed="false">
      <c r="A17" s="10" t="s">
        <v>2449</v>
      </c>
      <c r="B17" s="7" t="s">
        <v>2450</v>
      </c>
      <c r="C17" s="7" t="s">
        <v>2451</v>
      </c>
      <c r="D17" s="7" t="s">
        <v>2452</v>
      </c>
      <c r="E17" s="7" t="s">
        <v>2453</v>
      </c>
      <c r="F17" s="7" t="s">
        <v>2454</v>
      </c>
    </row>
    <row r="19" customFormat="false" ht="15" hidden="false" customHeight="true" outlineLevel="0" collapsed="false">
      <c r="A19" s="9" t="s">
        <v>2455</v>
      </c>
      <c r="B19" s="9"/>
      <c r="C19" s="9"/>
      <c r="D19" s="9"/>
      <c r="E19" s="9"/>
      <c r="F19" s="9"/>
    </row>
  </sheetData>
  <mergeCells count="1">
    <mergeCell ref="A19:F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A5E9"/>
    <pageSetUpPr fitToPage="true"/>
  </sheetPr>
  <dimension ref="A1:J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38"/>
    <col collapsed="false" customWidth="true" hidden="false" outlineLevel="0" max="4" min="4" style="0" width="9"/>
    <col collapsed="false" customWidth="true" hidden="false" outlineLevel="0" max="5" min="5" style="0" width="14"/>
    <col collapsed="false" customWidth="true" hidden="false" outlineLevel="0" max="6" min="6" style="0" width="9"/>
    <col collapsed="false" customWidth="true" hidden="false" outlineLevel="0" max="7" min="7" style="0" width="36"/>
    <col collapsed="false" customWidth="true" hidden="false" outlineLevel="0" max="8" min="8" style="0" width="38"/>
    <col collapsed="false" customWidth="true" hidden="false" outlineLevel="0" max="9" min="9" style="0" width="16"/>
    <col collapsed="false" customWidth="true" hidden="false" outlineLevel="0" max="10" min="10" style="0" width="38"/>
  </cols>
  <sheetData>
    <row r="1" customFormat="false" ht="17.35" hidden="false" customHeight="false" outlineLevel="0" collapsed="false">
      <c r="A1" s="1" t="s">
        <v>2456</v>
      </c>
    </row>
    <row r="2" customFormat="false" ht="15" hidden="false" customHeight="false" outlineLevel="0" collapsed="false">
      <c r="A2" s="2" t="s">
        <v>2457</v>
      </c>
    </row>
    <row r="3" customFormat="false" ht="23.85" hidden="false" customHeight="false" outlineLevel="0" collapsed="false">
      <c r="A3" s="20" t="s">
        <v>2458</v>
      </c>
      <c r="B3" s="21" t="n">
        <f aca="false">COUNTA(B7:B32)</f>
        <v>26</v>
      </c>
      <c r="C3" s="20" t="s">
        <v>2459</v>
      </c>
      <c r="D3" s="21" t="n">
        <f aca="false">COUNTA(B35:B43)</f>
        <v>9</v>
      </c>
      <c r="E3" s="20" t="s">
        <v>2460</v>
      </c>
      <c r="F3" s="21" t="n">
        <f aca="false">B3*D3</f>
        <v>234</v>
      </c>
    </row>
    <row r="6" customFormat="false" ht="31.5" hidden="false" customHeight="true" outlineLevel="0" collapsed="false">
      <c r="A6" s="8" t="s">
        <v>229</v>
      </c>
      <c r="B6" s="8" t="s">
        <v>2461</v>
      </c>
      <c r="C6" s="8" t="s">
        <v>2462</v>
      </c>
      <c r="D6" s="8" t="s">
        <v>2463</v>
      </c>
      <c r="E6" s="8" t="s">
        <v>2171</v>
      </c>
      <c r="F6" s="8" t="s">
        <v>2464</v>
      </c>
      <c r="G6" s="8" t="s">
        <v>2465</v>
      </c>
      <c r="H6" s="8" t="s">
        <v>2466</v>
      </c>
      <c r="I6" s="8" t="s">
        <v>2467</v>
      </c>
      <c r="J6" s="8" t="s">
        <v>2468</v>
      </c>
    </row>
    <row r="7" customFormat="false" ht="15" hidden="false" customHeight="false" outlineLevel="0" collapsed="false">
      <c r="A7" s="13" t="n">
        <v>1</v>
      </c>
      <c r="B7" s="10" t="s">
        <v>2469</v>
      </c>
      <c r="C7" s="7" t="s">
        <v>2470</v>
      </c>
      <c r="D7" s="13" t="n">
        <v>1</v>
      </c>
      <c r="E7" s="7" t="s">
        <v>2471</v>
      </c>
      <c r="F7" s="13" t="n">
        <v>1</v>
      </c>
      <c r="G7" s="7" t="s">
        <v>1829</v>
      </c>
      <c r="H7" s="7" t="s">
        <v>2472</v>
      </c>
      <c r="I7" s="13" t="s">
        <v>1869</v>
      </c>
      <c r="J7" s="7" t="s">
        <v>2473</v>
      </c>
    </row>
    <row r="8" customFormat="false" ht="15" hidden="false" customHeight="false" outlineLevel="0" collapsed="false">
      <c r="A8" s="13" t="n">
        <v>2</v>
      </c>
      <c r="B8" s="10" t="s">
        <v>2474</v>
      </c>
      <c r="C8" s="7" t="s">
        <v>2475</v>
      </c>
      <c r="D8" s="13" t="n">
        <v>1</v>
      </c>
      <c r="E8" s="7" t="s">
        <v>2471</v>
      </c>
      <c r="F8" s="13" t="n">
        <v>1</v>
      </c>
      <c r="G8" s="7" t="s">
        <v>1829</v>
      </c>
      <c r="H8" s="7" t="s">
        <v>2476</v>
      </c>
      <c r="I8" s="13" t="s">
        <v>1869</v>
      </c>
      <c r="J8" s="7" t="s">
        <v>2473</v>
      </c>
    </row>
    <row r="9" customFormat="false" ht="15" hidden="false" customHeight="false" outlineLevel="0" collapsed="false">
      <c r="A9" s="13" t="n">
        <v>3</v>
      </c>
      <c r="B9" s="10" t="s">
        <v>2477</v>
      </c>
      <c r="C9" s="7" t="s">
        <v>2478</v>
      </c>
      <c r="D9" s="13" t="n">
        <v>2</v>
      </c>
      <c r="E9" s="7" t="s">
        <v>2479</v>
      </c>
      <c r="F9" s="13" t="n">
        <v>1</v>
      </c>
      <c r="G9" s="7" t="s">
        <v>2480</v>
      </c>
      <c r="H9" s="7" t="s">
        <v>2481</v>
      </c>
      <c r="I9" s="13" t="s">
        <v>1878</v>
      </c>
      <c r="J9" s="7" t="s">
        <v>2473</v>
      </c>
    </row>
    <row r="10" customFormat="false" ht="15" hidden="false" customHeight="false" outlineLevel="0" collapsed="false">
      <c r="A10" s="13" t="n">
        <v>4</v>
      </c>
      <c r="B10" s="10" t="s">
        <v>2482</v>
      </c>
      <c r="C10" s="7" t="s">
        <v>2483</v>
      </c>
      <c r="D10" s="13" t="n">
        <v>1</v>
      </c>
      <c r="E10" s="7" t="s">
        <v>2471</v>
      </c>
      <c r="F10" s="13" t="n">
        <v>1</v>
      </c>
      <c r="G10" s="7" t="s">
        <v>2484</v>
      </c>
      <c r="H10" s="7" t="s">
        <v>2485</v>
      </c>
      <c r="I10" s="13" t="s">
        <v>1878</v>
      </c>
      <c r="J10" s="7" t="s">
        <v>2473</v>
      </c>
    </row>
    <row r="11" customFormat="false" ht="15" hidden="false" customHeight="false" outlineLevel="0" collapsed="false">
      <c r="A11" s="13" t="n">
        <v>5</v>
      </c>
      <c r="B11" s="10" t="s">
        <v>2486</v>
      </c>
      <c r="C11" s="7" t="s">
        <v>2487</v>
      </c>
      <c r="D11" s="13" t="n">
        <v>1</v>
      </c>
      <c r="E11" s="7" t="s">
        <v>2471</v>
      </c>
      <c r="F11" s="13" t="n">
        <v>1</v>
      </c>
      <c r="G11" s="7" t="s">
        <v>2488</v>
      </c>
      <c r="H11" s="7" t="s">
        <v>2489</v>
      </c>
      <c r="I11" s="13" t="s">
        <v>1869</v>
      </c>
      <c r="J11" s="7" t="s">
        <v>2473</v>
      </c>
    </row>
    <row r="12" customFormat="false" ht="15" hidden="false" customHeight="false" outlineLevel="0" collapsed="false">
      <c r="A12" s="13" t="n">
        <v>6</v>
      </c>
      <c r="B12" s="10" t="s">
        <v>2490</v>
      </c>
      <c r="C12" s="7" t="s">
        <v>2491</v>
      </c>
      <c r="D12" s="13" t="n">
        <v>1</v>
      </c>
      <c r="E12" s="7" t="s">
        <v>2471</v>
      </c>
      <c r="F12" s="13" t="n">
        <v>1</v>
      </c>
      <c r="G12" s="7" t="s">
        <v>2492</v>
      </c>
      <c r="H12" s="7" t="s">
        <v>2493</v>
      </c>
      <c r="I12" s="13" t="s">
        <v>1869</v>
      </c>
      <c r="J12" s="7" t="s">
        <v>2473</v>
      </c>
    </row>
    <row r="13" customFormat="false" ht="15" hidden="false" customHeight="false" outlineLevel="0" collapsed="false">
      <c r="A13" s="13" t="n">
        <v>7</v>
      </c>
      <c r="B13" s="10" t="s">
        <v>2494</v>
      </c>
      <c r="C13" s="7" t="s">
        <v>2495</v>
      </c>
      <c r="D13" s="13" t="n">
        <v>1</v>
      </c>
      <c r="E13" s="7" t="s">
        <v>2471</v>
      </c>
      <c r="F13" s="13" t="n">
        <v>1</v>
      </c>
      <c r="G13" s="7" t="s">
        <v>2496</v>
      </c>
      <c r="H13" s="7" t="s">
        <v>2497</v>
      </c>
      <c r="I13" s="13" t="s">
        <v>1869</v>
      </c>
      <c r="J13" s="7" t="s">
        <v>2473</v>
      </c>
    </row>
    <row r="14" customFormat="false" ht="15" hidden="false" customHeight="false" outlineLevel="0" collapsed="false">
      <c r="A14" s="13" t="n">
        <v>8</v>
      </c>
      <c r="B14" s="10" t="s">
        <v>2498</v>
      </c>
      <c r="C14" s="7" t="s">
        <v>2499</v>
      </c>
      <c r="D14" s="13" t="n">
        <v>1</v>
      </c>
      <c r="E14" s="7" t="s">
        <v>2479</v>
      </c>
      <c r="F14" s="13" t="n">
        <v>1</v>
      </c>
      <c r="G14" s="7" t="s">
        <v>2500</v>
      </c>
      <c r="H14" s="7" t="s">
        <v>2501</v>
      </c>
      <c r="I14" s="13" t="s">
        <v>1869</v>
      </c>
      <c r="J14" s="7" t="s">
        <v>2473</v>
      </c>
    </row>
    <row r="15" customFormat="false" ht="15" hidden="false" customHeight="false" outlineLevel="0" collapsed="false">
      <c r="A15" s="13" t="n">
        <v>9</v>
      </c>
      <c r="B15" s="10" t="s">
        <v>2502</v>
      </c>
      <c r="C15" s="7" t="s">
        <v>2503</v>
      </c>
      <c r="D15" s="13" t="n">
        <v>1</v>
      </c>
      <c r="E15" s="7" t="s">
        <v>2471</v>
      </c>
      <c r="F15" s="13" t="n">
        <v>1</v>
      </c>
      <c r="G15" s="7" t="s">
        <v>2504</v>
      </c>
      <c r="H15" s="7" t="s">
        <v>2505</v>
      </c>
      <c r="I15" s="13" t="s">
        <v>1869</v>
      </c>
      <c r="J15" s="7" t="s">
        <v>2473</v>
      </c>
    </row>
    <row r="16" customFormat="false" ht="15" hidden="false" customHeight="false" outlineLevel="0" collapsed="false">
      <c r="A16" s="13" t="n">
        <v>10</v>
      </c>
      <c r="B16" s="10" t="s">
        <v>2407</v>
      </c>
      <c r="C16" s="7" t="s">
        <v>2506</v>
      </c>
      <c r="D16" s="13" t="n">
        <v>1</v>
      </c>
      <c r="E16" s="7" t="s">
        <v>2471</v>
      </c>
      <c r="F16" s="13" t="n">
        <v>1</v>
      </c>
      <c r="G16" s="7" t="s">
        <v>2507</v>
      </c>
      <c r="H16" s="7" t="s">
        <v>2508</v>
      </c>
      <c r="I16" s="13" t="s">
        <v>1869</v>
      </c>
      <c r="J16" s="7" t="s">
        <v>2473</v>
      </c>
    </row>
    <row r="17" customFormat="false" ht="15" hidden="false" customHeight="false" outlineLevel="0" collapsed="false">
      <c r="A17" s="13" t="n">
        <v>11</v>
      </c>
      <c r="B17" s="10" t="s">
        <v>2419</v>
      </c>
      <c r="C17" s="7" t="s">
        <v>2509</v>
      </c>
      <c r="D17" s="13" t="n">
        <v>1</v>
      </c>
      <c r="E17" s="7" t="s">
        <v>2471</v>
      </c>
      <c r="F17" s="13" t="n">
        <v>1</v>
      </c>
      <c r="G17" s="7" t="s">
        <v>2510</v>
      </c>
      <c r="H17" s="7" t="s">
        <v>2511</v>
      </c>
      <c r="I17" s="13" t="s">
        <v>1869</v>
      </c>
      <c r="J17" s="7" t="s">
        <v>2473</v>
      </c>
    </row>
    <row r="18" customFormat="false" ht="15" hidden="false" customHeight="false" outlineLevel="0" collapsed="false">
      <c r="A18" s="13" t="n">
        <v>12</v>
      </c>
      <c r="B18" s="10" t="s">
        <v>2512</v>
      </c>
      <c r="C18" s="7" t="s">
        <v>2513</v>
      </c>
      <c r="D18" s="13" t="n">
        <v>1</v>
      </c>
      <c r="E18" s="7" t="s">
        <v>2471</v>
      </c>
      <c r="F18" s="13" t="n">
        <v>1</v>
      </c>
      <c r="G18" s="7" t="s">
        <v>2514</v>
      </c>
      <c r="H18" s="7" t="s">
        <v>2515</v>
      </c>
      <c r="I18" s="13" t="s">
        <v>1869</v>
      </c>
      <c r="J18" s="7" t="s">
        <v>2473</v>
      </c>
    </row>
    <row r="19" customFormat="false" ht="15" hidden="false" customHeight="false" outlineLevel="0" collapsed="false">
      <c r="A19" s="13" t="n">
        <v>13</v>
      </c>
      <c r="B19" s="10" t="s">
        <v>2516</v>
      </c>
      <c r="C19" s="7" t="s">
        <v>2517</v>
      </c>
      <c r="D19" s="13" t="n">
        <v>1</v>
      </c>
      <c r="E19" s="7" t="s">
        <v>2471</v>
      </c>
      <c r="F19" s="13" t="n">
        <v>1</v>
      </c>
      <c r="G19" s="7" t="s">
        <v>2518</v>
      </c>
      <c r="H19" s="7" t="s">
        <v>2519</v>
      </c>
      <c r="I19" s="13" t="s">
        <v>1869</v>
      </c>
      <c r="J19" s="7" t="s">
        <v>2473</v>
      </c>
    </row>
    <row r="20" customFormat="false" ht="15" hidden="false" customHeight="false" outlineLevel="0" collapsed="false">
      <c r="A20" s="13" t="n">
        <v>14</v>
      </c>
      <c r="B20" s="10" t="s">
        <v>2520</v>
      </c>
      <c r="C20" s="7" t="s">
        <v>2521</v>
      </c>
      <c r="D20" s="13" t="n">
        <v>1</v>
      </c>
      <c r="E20" s="7" t="s">
        <v>2471</v>
      </c>
      <c r="F20" s="13" t="n">
        <v>2</v>
      </c>
      <c r="G20" s="7" t="s">
        <v>2522</v>
      </c>
      <c r="H20" s="7" t="s">
        <v>2523</v>
      </c>
      <c r="I20" s="13" t="s">
        <v>1878</v>
      </c>
      <c r="J20" s="7" t="s">
        <v>2473</v>
      </c>
    </row>
    <row r="21" customFormat="false" ht="15" hidden="false" customHeight="false" outlineLevel="0" collapsed="false">
      <c r="A21" s="13" t="n">
        <v>15</v>
      </c>
      <c r="B21" s="10" t="s">
        <v>2524</v>
      </c>
      <c r="C21" s="7" t="s">
        <v>2525</v>
      </c>
      <c r="D21" s="13" t="n">
        <v>2</v>
      </c>
      <c r="E21" s="7" t="s">
        <v>2479</v>
      </c>
      <c r="F21" s="13" t="n">
        <v>1</v>
      </c>
      <c r="G21" s="7" t="s">
        <v>2526</v>
      </c>
      <c r="H21" s="7" t="s">
        <v>2527</v>
      </c>
      <c r="I21" s="13" t="s">
        <v>2528</v>
      </c>
      <c r="J21" s="7" t="s">
        <v>2473</v>
      </c>
    </row>
    <row r="22" customFormat="false" ht="15" hidden="false" customHeight="false" outlineLevel="0" collapsed="false">
      <c r="A22" s="13" t="n">
        <v>16</v>
      </c>
      <c r="B22" s="10" t="s">
        <v>2529</v>
      </c>
      <c r="C22" s="7" t="s">
        <v>2530</v>
      </c>
      <c r="D22" s="13" t="n">
        <v>1</v>
      </c>
      <c r="E22" s="7" t="s">
        <v>2471</v>
      </c>
      <c r="F22" s="13" t="n">
        <v>1</v>
      </c>
      <c r="G22" s="7" t="s">
        <v>2531</v>
      </c>
      <c r="H22" s="7" t="s">
        <v>2532</v>
      </c>
      <c r="I22" s="13" t="s">
        <v>1869</v>
      </c>
      <c r="J22" s="7" t="s">
        <v>2473</v>
      </c>
    </row>
    <row r="23" customFormat="false" ht="15" hidden="false" customHeight="false" outlineLevel="0" collapsed="false">
      <c r="A23" s="13" t="n">
        <v>17</v>
      </c>
      <c r="B23" s="10" t="s">
        <v>2533</v>
      </c>
      <c r="C23" s="7" t="s">
        <v>2534</v>
      </c>
      <c r="D23" s="13" t="n">
        <v>2</v>
      </c>
      <c r="E23" s="7" t="s">
        <v>2533</v>
      </c>
      <c r="F23" s="13" t="n">
        <v>1</v>
      </c>
      <c r="G23" s="7" t="s">
        <v>2535</v>
      </c>
      <c r="H23" s="7" t="s">
        <v>2536</v>
      </c>
      <c r="I23" s="13" t="s">
        <v>1878</v>
      </c>
      <c r="J23" s="7" t="s">
        <v>2473</v>
      </c>
    </row>
    <row r="24" customFormat="false" ht="15" hidden="false" customHeight="false" outlineLevel="0" collapsed="false">
      <c r="A24" s="13" t="n">
        <v>18</v>
      </c>
      <c r="B24" s="10" t="s">
        <v>2537</v>
      </c>
      <c r="C24" s="7" t="s">
        <v>2538</v>
      </c>
      <c r="D24" s="13" t="n">
        <v>1</v>
      </c>
      <c r="E24" s="7" t="s">
        <v>2479</v>
      </c>
      <c r="F24" s="13" t="n">
        <v>1</v>
      </c>
      <c r="G24" s="7" t="s">
        <v>1829</v>
      </c>
      <c r="H24" s="7" t="s">
        <v>2539</v>
      </c>
      <c r="I24" s="13" t="s">
        <v>1878</v>
      </c>
      <c r="J24" s="7" t="s">
        <v>2473</v>
      </c>
    </row>
    <row r="25" customFormat="false" ht="15" hidden="false" customHeight="false" outlineLevel="0" collapsed="false">
      <c r="A25" s="13" t="n">
        <v>19</v>
      </c>
      <c r="B25" s="10" t="s">
        <v>2540</v>
      </c>
      <c r="C25" s="7" t="s">
        <v>2541</v>
      </c>
      <c r="D25" s="13" t="n">
        <v>2</v>
      </c>
      <c r="E25" s="7" t="s">
        <v>2479</v>
      </c>
      <c r="F25" s="13" t="n">
        <v>1</v>
      </c>
      <c r="G25" s="7" t="s">
        <v>2542</v>
      </c>
      <c r="H25" s="7" t="s">
        <v>2543</v>
      </c>
      <c r="I25" s="13" t="s">
        <v>1878</v>
      </c>
      <c r="J25" s="7" t="s">
        <v>2473</v>
      </c>
    </row>
    <row r="26" customFormat="false" ht="23.85" hidden="false" customHeight="false" outlineLevel="0" collapsed="false">
      <c r="A26" s="13" t="n">
        <v>20</v>
      </c>
      <c r="B26" s="10" t="s">
        <v>2544</v>
      </c>
      <c r="C26" s="7" t="s">
        <v>2545</v>
      </c>
      <c r="D26" s="13" t="n">
        <v>1</v>
      </c>
      <c r="E26" s="7" t="s">
        <v>2471</v>
      </c>
      <c r="F26" s="13" t="n">
        <v>1</v>
      </c>
      <c r="G26" s="7" t="s">
        <v>2546</v>
      </c>
      <c r="H26" s="7" t="s">
        <v>2547</v>
      </c>
      <c r="I26" s="13" t="s">
        <v>1869</v>
      </c>
      <c r="J26" s="7" t="s">
        <v>2548</v>
      </c>
    </row>
    <row r="27" customFormat="false" ht="15" hidden="false" customHeight="false" outlineLevel="0" collapsed="false">
      <c r="A27" s="13" t="n">
        <v>21</v>
      </c>
      <c r="B27" s="10" t="s">
        <v>2549</v>
      </c>
      <c r="C27" s="7" t="s">
        <v>2550</v>
      </c>
      <c r="D27" s="13" t="n">
        <v>1</v>
      </c>
      <c r="E27" s="7" t="s">
        <v>2471</v>
      </c>
      <c r="F27" s="13" t="n">
        <v>2</v>
      </c>
      <c r="G27" s="7" t="s">
        <v>2551</v>
      </c>
      <c r="H27" s="7" t="s">
        <v>2552</v>
      </c>
      <c r="I27" s="13" t="s">
        <v>1869</v>
      </c>
      <c r="J27" s="7" t="s">
        <v>2473</v>
      </c>
    </row>
    <row r="28" customFormat="false" ht="15" hidden="false" customHeight="false" outlineLevel="0" collapsed="false">
      <c r="A28" s="13" t="n">
        <v>22</v>
      </c>
      <c r="B28" s="10" t="s">
        <v>2553</v>
      </c>
      <c r="C28" s="7" t="s">
        <v>2554</v>
      </c>
      <c r="D28" s="13" t="n">
        <v>1</v>
      </c>
      <c r="E28" s="7" t="s">
        <v>2471</v>
      </c>
      <c r="F28" s="13" t="n">
        <v>1</v>
      </c>
      <c r="G28" s="7" t="s">
        <v>2555</v>
      </c>
      <c r="H28" s="7" t="s">
        <v>2556</v>
      </c>
      <c r="I28" s="13" t="s">
        <v>1869</v>
      </c>
      <c r="J28" s="7" t="s">
        <v>2473</v>
      </c>
    </row>
    <row r="29" customFormat="false" ht="15" hidden="false" customHeight="false" outlineLevel="0" collapsed="false">
      <c r="A29" s="13" t="n">
        <v>23</v>
      </c>
      <c r="B29" s="10" t="s">
        <v>2557</v>
      </c>
      <c r="C29" s="7" t="s">
        <v>2558</v>
      </c>
      <c r="D29" s="13" t="n">
        <v>1</v>
      </c>
      <c r="E29" s="7" t="s">
        <v>2479</v>
      </c>
      <c r="F29" s="13" t="n">
        <v>1</v>
      </c>
      <c r="G29" s="7" t="s">
        <v>2559</v>
      </c>
      <c r="H29" s="7" t="s">
        <v>2560</v>
      </c>
      <c r="I29" s="13" t="s">
        <v>1878</v>
      </c>
      <c r="J29" s="7" t="s">
        <v>2473</v>
      </c>
    </row>
    <row r="30" customFormat="false" ht="15" hidden="false" customHeight="false" outlineLevel="0" collapsed="false">
      <c r="A30" s="13" t="n">
        <v>24</v>
      </c>
      <c r="B30" s="10" t="s">
        <v>2561</v>
      </c>
      <c r="C30" s="7" t="s">
        <v>2562</v>
      </c>
      <c r="D30" s="13" t="n">
        <v>1</v>
      </c>
      <c r="E30" s="7" t="s">
        <v>2471</v>
      </c>
      <c r="F30" s="13" t="n">
        <v>1</v>
      </c>
      <c r="G30" s="7" t="s">
        <v>2563</v>
      </c>
      <c r="H30" s="7" t="s">
        <v>2564</v>
      </c>
      <c r="I30" s="13" t="s">
        <v>1869</v>
      </c>
      <c r="J30" s="7" t="s">
        <v>2473</v>
      </c>
    </row>
    <row r="31" customFormat="false" ht="15" hidden="false" customHeight="false" outlineLevel="0" collapsed="false">
      <c r="A31" s="13" t="n">
        <v>25</v>
      </c>
      <c r="B31" s="10" t="s">
        <v>2565</v>
      </c>
      <c r="C31" s="7" t="s">
        <v>2566</v>
      </c>
      <c r="D31" s="13" t="n">
        <v>1</v>
      </c>
      <c r="E31" s="7" t="s">
        <v>2471</v>
      </c>
      <c r="F31" s="13" t="n">
        <v>1</v>
      </c>
      <c r="G31" s="7" t="s">
        <v>2567</v>
      </c>
      <c r="H31" s="7" t="s">
        <v>2568</v>
      </c>
      <c r="I31" s="13" t="s">
        <v>1869</v>
      </c>
      <c r="J31" s="7" t="s">
        <v>2473</v>
      </c>
    </row>
    <row r="32" customFormat="false" ht="15" hidden="false" customHeight="false" outlineLevel="0" collapsed="false">
      <c r="A32" s="13" t="n">
        <v>26</v>
      </c>
      <c r="B32" s="10" t="s">
        <v>2569</v>
      </c>
      <c r="C32" s="7" t="s">
        <v>2570</v>
      </c>
      <c r="D32" s="13" t="n">
        <v>1</v>
      </c>
      <c r="E32" s="7" t="s">
        <v>2471</v>
      </c>
      <c r="F32" s="13" t="n">
        <v>2</v>
      </c>
      <c r="G32" s="7" t="s">
        <v>2571</v>
      </c>
      <c r="H32" s="7" t="s">
        <v>2572</v>
      </c>
      <c r="I32" s="13" t="s">
        <v>1869</v>
      </c>
      <c r="J32" s="7" t="s">
        <v>2573</v>
      </c>
    </row>
    <row r="34" customFormat="false" ht="31.5" hidden="false" customHeight="true" outlineLevel="0" collapsed="false">
      <c r="A34" s="8" t="s">
        <v>229</v>
      </c>
      <c r="B34" s="8" t="s">
        <v>2574</v>
      </c>
      <c r="C34" s="8" t="s">
        <v>2575</v>
      </c>
      <c r="D34" s="8" t="s">
        <v>2576</v>
      </c>
      <c r="E34" s="8" t="s">
        <v>2577</v>
      </c>
      <c r="F34" s="8" t="s">
        <v>2466</v>
      </c>
      <c r="G34" s="8" t="s">
        <v>2578</v>
      </c>
      <c r="H34" s="8" t="s">
        <v>2579</v>
      </c>
      <c r="I34" s="8" t="s">
        <v>2580</v>
      </c>
      <c r="J34" s="8" t="s">
        <v>123</v>
      </c>
    </row>
    <row r="35" customFormat="false" ht="23.85" hidden="false" customHeight="false" outlineLevel="0" collapsed="false">
      <c r="A35" s="13" t="n">
        <v>1</v>
      </c>
      <c r="B35" s="10" t="s">
        <v>2581</v>
      </c>
      <c r="C35" s="31" t="s">
        <v>2582</v>
      </c>
      <c r="D35" s="32" t="s">
        <v>2583</v>
      </c>
      <c r="E35" s="33" t="s">
        <v>2584</v>
      </c>
      <c r="F35" s="34" t="s">
        <v>2585</v>
      </c>
      <c r="G35" s="26" t="n">
        <v>8.8</v>
      </c>
      <c r="H35" s="26" t="n">
        <v>6.6</v>
      </c>
      <c r="I35" s="13" t="s">
        <v>213</v>
      </c>
      <c r="J35" s="7" t="s">
        <v>2586</v>
      </c>
    </row>
    <row r="36" customFormat="false" ht="23.85" hidden="false" customHeight="false" outlineLevel="0" collapsed="false">
      <c r="A36" s="13" t="n">
        <v>2</v>
      </c>
      <c r="B36" s="10" t="s">
        <v>2587</v>
      </c>
      <c r="C36" s="35" t="s">
        <v>2588</v>
      </c>
      <c r="D36" s="36" t="s">
        <v>2589</v>
      </c>
      <c r="E36" s="37" t="s">
        <v>2590</v>
      </c>
      <c r="F36" s="13" t="s">
        <v>196</v>
      </c>
      <c r="G36" s="26" t="n">
        <v>7.7</v>
      </c>
      <c r="H36" s="26" t="n">
        <v>5.2</v>
      </c>
      <c r="I36" s="13" t="s">
        <v>213</v>
      </c>
      <c r="J36" s="7" t="s">
        <v>2586</v>
      </c>
    </row>
    <row r="37" customFormat="false" ht="23.85" hidden="false" customHeight="false" outlineLevel="0" collapsed="false">
      <c r="A37" s="13" t="n">
        <v>3</v>
      </c>
      <c r="B37" s="10" t="s">
        <v>2591</v>
      </c>
      <c r="C37" s="34" t="s">
        <v>2585</v>
      </c>
      <c r="D37" s="38" t="s">
        <v>2592</v>
      </c>
      <c r="E37" s="39" t="s">
        <v>2593</v>
      </c>
      <c r="F37" s="31" t="s">
        <v>2582</v>
      </c>
      <c r="G37" s="26" t="n">
        <v>8.7</v>
      </c>
      <c r="H37" s="26" t="n">
        <v>1.5</v>
      </c>
      <c r="I37" s="13" t="s">
        <v>2594</v>
      </c>
      <c r="J37" s="7" t="s">
        <v>2586</v>
      </c>
    </row>
    <row r="38" customFormat="false" ht="23.85" hidden="false" customHeight="false" outlineLevel="0" collapsed="false">
      <c r="A38" s="13" t="n">
        <v>4</v>
      </c>
      <c r="B38" s="10" t="s">
        <v>2595</v>
      </c>
      <c r="C38" s="40" t="s">
        <v>2596</v>
      </c>
      <c r="D38" s="41" t="s">
        <v>2597</v>
      </c>
      <c r="E38" s="42" t="s">
        <v>2598</v>
      </c>
      <c r="F38" s="13" t="s">
        <v>196</v>
      </c>
      <c r="G38" s="26" t="n">
        <v>11</v>
      </c>
      <c r="H38" s="26" t="n">
        <v>6.5</v>
      </c>
      <c r="I38" s="13" t="s">
        <v>213</v>
      </c>
      <c r="J38" s="7" t="s">
        <v>2586</v>
      </c>
    </row>
    <row r="39" customFormat="false" ht="23.85" hidden="false" customHeight="false" outlineLevel="0" collapsed="false">
      <c r="A39" s="13" t="n">
        <v>5</v>
      </c>
      <c r="B39" s="10" t="s">
        <v>2599</v>
      </c>
      <c r="C39" s="43" t="s">
        <v>2600</v>
      </c>
      <c r="D39" s="44" t="s">
        <v>2601</v>
      </c>
      <c r="E39" s="45" t="s">
        <v>2602</v>
      </c>
      <c r="F39" s="13" t="s">
        <v>196</v>
      </c>
      <c r="G39" s="26" t="n">
        <v>8.9</v>
      </c>
      <c r="H39" s="26" t="n">
        <v>6.7</v>
      </c>
      <c r="I39" s="13" t="s">
        <v>213</v>
      </c>
      <c r="J39" s="7" t="s">
        <v>2586</v>
      </c>
    </row>
    <row r="40" customFormat="false" ht="23.85" hidden="false" customHeight="false" outlineLevel="0" collapsed="false">
      <c r="A40" s="13" t="n">
        <v>6</v>
      </c>
      <c r="B40" s="10" t="s">
        <v>2603</v>
      </c>
      <c r="C40" s="46" t="s">
        <v>2604</v>
      </c>
      <c r="D40" s="47" t="s">
        <v>2605</v>
      </c>
      <c r="E40" s="48" t="s">
        <v>2606</v>
      </c>
      <c r="F40" s="13" t="s">
        <v>196</v>
      </c>
      <c r="G40" s="26" t="n">
        <v>9.3</v>
      </c>
      <c r="H40" s="26" t="n">
        <v>7.1</v>
      </c>
      <c r="I40" s="13" t="s">
        <v>213</v>
      </c>
      <c r="J40" s="7" t="s">
        <v>2586</v>
      </c>
    </row>
    <row r="41" customFormat="false" ht="23.85" hidden="false" customHeight="false" outlineLevel="0" collapsed="false">
      <c r="A41" s="13" t="n">
        <v>7</v>
      </c>
      <c r="B41" s="10" t="s">
        <v>2607</v>
      </c>
      <c r="C41" s="49" t="s">
        <v>2608</v>
      </c>
      <c r="D41" s="50" t="s">
        <v>2609</v>
      </c>
      <c r="E41" s="51" t="s">
        <v>2610</v>
      </c>
      <c r="F41" s="13" t="s">
        <v>196</v>
      </c>
      <c r="G41" s="26" t="n">
        <v>11.1</v>
      </c>
      <c r="H41" s="26" t="n">
        <v>7.3</v>
      </c>
      <c r="I41" s="13" t="s">
        <v>213</v>
      </c>
      <c r="J41" s="7" t="s">
        <v>2586</v>
      </c>
    </row>
    <row r="42" customFormat="false" ht="23.85" hidden="false" customHeight="false" outlineLevel="0" collapsed="false">
      <c r="A42" s="13" t="n">
        <v>8</v>
      </c>
      <c r="B42" s="10" t="s">
        <v>2611</v>
      </c>
      <c r="C42" s="52" t="s">
        <v>2612</v>
      </c>
      <c r="D42" s="53" t="s">
        <v>2613</v>
      </c>
      <c r="E42" s="54" t="s">
        <v>2614</v>
      </c>
      <c r="F42" s="13" t="s">
        <v>196</v>
      </c>
      <c r="G42" s="26" t="n">
        <v>8.2</v>
      </c>
      <c r="H42" s="26" t="n">
        <v>6</v>
      </c>
      <c r="I42" s="13" t="s">
        <v>213</v>
      </c>
      <c r="J42" s="7" t="s">
        <v>2586</v>
      </c>
    </row>
    <row r="43" customFormat="false" ht="23.85" hidden="false" customHeight="false" outlineLevel="0" collapsed="false">
      <c r="A43" s="13" t="n">
        <v>9</v>
      </c>
      <c r="B43" s="10" t="s">
        <v>2615</v>
      </c>
      <c r="C43" s="55" t="s">
        <v>2616</v>
      </c>
      <c r="D43" s="56" t="s">
        <v>2617</v>
      </c>
      <c r="E43" s="57" t="s">
        <v>2618</v>
      </c>
      <c r="F43" s="13" t="s">
        <v>196</v>
      </c>
      <c r="G43" s="26" t="n">
        <v>15.5</v>
      </c>
      <c r="H43" s="26" t="n">
        <v>14.7</v>
      </c>
      <c r="I43" s="13" t="s">
        <v>213</v>
      </c>
      <c r="J43" s="7" t="s">
        <v>2586</v>
      </c>
    </row>
    <row r="44" customFormat="false" ht="68.65" hidden="false" customHeight="false" outlineLevel="0" collapsed="false">
      <c r="B44" s="22" t="s">
        <v>2619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C3AED"/>
    <pageSetUpPr fitToPage="true"/>
  </sheetPr>
  <dimension ref="A1:J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8"/>
    <col collapsed="false" customWidth="true" hidden="false" outlineLevel="0" max="3" min="3" style="0" width="48"/>
    <col collapsed="false" customWidth="true" hidden="false" outlineLevel="0" max="4" min="4" style="0" width="11"/>
    <col collapsed="false" customWidth="true" hidden="false" outlineLevel="0" max="5" min="5" style="0" width="14"/>
    <col collapsed="false" customWidth="true" hidden="false" outlineLevel="0" max="6" min="6" style="0" width="9"/>
    <col collapsed="false" customWidth="true" hidden="false" outlineLevel="0" max="7" min="7" style="0" width="46"/>
    <col collapsed="false" customWidth="true" hidden="false" outlineLevel="0" max="8" min="8" style="0" width="3"/>
    <col collapsed="false" customWidth="true" hidden="false" outlineLevel="0" max="9" min="9" style="0" width="20"/>
    <col collapsed="false" customWidth="true" hidden="false" outlineLevel="0" max="10" min="10" style="0" width="14"/>
  </cols>
  <sheetData>
    <row r="1" customFormat="false" ht="17.35" hidden="false" customHeight="false" outlineLevel="0" collapsed="false">
      <c r="A1" s="1" t="s">
        <v>2620</v>
      </c>
    </row>
    <row r="2" customFormat="false" ht="15" hidden="false" customHeight="false" outlineLevel="0" collapsed="false">
      <c r="A2" s="2" t="s">
        <v>2621</v>
      </c>
    </row>
    <row r="3" customFormat="false" ht="370.85" hidden="false" customHeight="false" outlineLevel="0" collapsed="false">
      <c r="A3" s="22" t="s">
        <v>2622</v>
      </c>
    </row>
    <row r="6" customFormat="false" ht="31.5" hidden="false" customHeight="true" outlineLevel="0" collapsed="false">
      <c r="A6" s="8" t="s">
        <v>229</v>
      </c>
      <c r="B6" s="8" t="s">
        <v>2623</v>
      </c>
      <c r="C6" s="8" t="s">
        <v>2624</v>
      </c>
      <c r="D6" s="8" t="s">
        <v>2625</v>
      </c>
      <c r="E6" s="8" t="s">
        <v>2626</v>
      </c>
      <c r="F6" s="8" t="s">
        <v>2040</v>
      </c>
      <c r="G6" s="8" t="s">
        <v>2627</v>
      </c>
      <c r="I6" s="8" t="s">
        <v>2623</v>
      </c>
      <c r="J6" s="8" t="s">
        <v>2628</v>
      </c>
    </row>
    <row r="7" customFormat="false" ht="15" hidden="false" customHeight="false" outlineLevel="0" collapsed="false">
      <c r="A7" s="13" t="n">
        <v>1</v>
      </c>
      <c r="B7" s="7" t="s">
        <v>2629</v>
      </c>
      <c r="C7" s="7" t="s">
        <v>2630</v>
      </c>
      <c r="D7" s="7" t="s">
        <v>2631</v>
      </c>
      <c r="E7" s="12"/>
      <c r="F7" s="13" t="str">
        <f aca="false">IF(E7="","",IF(D7="Invertido",6-E7,E7))</f>
        <v/>
      </c>
      <c r="G7" s="58" t="s">
        <v>2632</v>
      </c>
      <c r="I7" s="10" t="s">
        <v>2629</v>
      </c>
      <c r="J7" s="26" t="str">
        <f aca="false">IFERROR(AVERAGEIF($B$7:$B$31,I7,$F$7:$F$31),"")</f>
        <v/>
      </c>
    </row>
    <row r="8" customFormat="false" ht="15" hidden="false" customHeight="false" outlineLevel="0" collapsed="false">
      <c r="A8" s="13" t="n">
        <v>2</v>
      </c>
      <c r="B8" s="7" t="s">
        <v>2629</v>
      </c>
      <c r="C8" s="7" t="s">
        <v>2633</v>
      </c>
      <c r="D8" s="7" t="s">
        <v>2631</v>
      </c>
      <c r="E8" s="12"/>
      <c r="F8" s="13" t="str">
        <f aca="false">IF(E8="","",IF(D8="Invertido",6-E8,E8))</f>
        <v/>
      </c>
      <c r="G8" s="58" t="s">
        <v>2634</v>
      </c>
      <c r="I8" s="10" t="s">
        <v>2635</v>
      </c>
      <c r="J8" s="26" t="str">
        <f aca="false">IFERROR(AVERAGEIF($B$7:$B$31,I8,$F$7:$F$31),"")</f>
        <v/>
      </c>
    </row>
    <row r="9" customFormat="false" ht="15" hidden="false" customHeight="false" outlineLevel="0" collapsed="false">
      <c r="A9" s="13" t="n">
        <v>3</v>
      </c>
      <c r="B9" s="7" t="s">
        <v>2629</v>
      </c>
      <c r="C9" s="7" t="s">
        <v>2636</v>
      </c>
      <c r="D9" s="7" t="s">
        <v>2637</v>
      </c>
      <c r="E9" s="12"/>
      <c r="F9" s="13" t="str">
        <f aca="false">IF(E9="","",IF(D9="Invertido",6-E9,E9))</f>
        <v/>
      </c>
      <c r="G9" s="58" t="s">
        <v>2638</v>
      </c>
      <c r="I9" s="10" t="s">
        <v>2639</v>
      </c>
      <c r="J9" s="26" t="str">
        <f aca="false">IFERROR(AVERAGEIF($B$7:$B$31,I9,$F$7:$F$31),"")</f>
        <v/>
      </c>
    </row>
    <row r="10" customFormat="false" ht="15" hidden="false" customHeight="false" outlineLevel="0" collapsed="false">
      <c r="A10" s="13" t="n">
        <v>4</v>
      </c>
      <c r="B10" s="7" t="s">
        <v>2629</v>
      </c>
      <c r="C10" s="7" t="s">
        <v>2640</v>
      </c>
      <c r="D10" s="7" t="s">
        <v>2637</v>
      </c>
      <c r="E10" s="12"/>
      <c r="F10" s="13" t="str">
        <f aca="false">IF(E10="","",IF(D10="Invertido",6-E10,E10))</f>
        <v/>
      </c>
      <c r="G10" s="58" t="s">
        <v>2641</v>
      </c>
      <c r="I10" s="10" t="s">
        <v>2642</v>
      </c>
      <c r="J10" s="26" t="str">
        <f aca="false">IFERROR(AVERAGEIF($B$7:$B$31,I10,$F$7:$F$31),"")</f>
        <v/>
      </c>
    </row>
    <row r="11" customFormat="false" ht="15" hidden="false" customHeight="false" outlineLevel="0" collapsed="false">
      <c r="A11" s="13" t="n">
        <v>5</v>
      </c>
      <c r="B11" s="7" t="s">
        <v>2629</v>
      </c>
      <c r="C11" s="7" t="s">
        <v>2643</v>
      </c>
      <c r="D11" s="7" t="s">
        <v>2631</v>
      </c>
      <c r="E11" s="12"/>
      <c r="F11" s="13" t="str">
        <f aca="false">IF(E11="","",IF(D11="Invertido",6-E11,E11))</f>
        <v/>
      </c>
      <c r="G11" s="58" t="s">
        <v>2644</v>
      </c>
      <c r="I11" s="10" t="s">
        <v>2645</v>
      </c>
      <c r="J11" s="26" t="str">
        <f aca="false">IFERROR(AVERAGEIF($B$7:$B$31,I11,$F$7:$F$31),"")</f>
        <v/>
      </c>
    </row>
    <row r="12" customFormat="false" ht="15" hidden="false" customHeight="false" outlineLevel="0" collapsed="false">
      <c r="A12" s="13" t="n">
        <v>6</v>
      </c>
      <c r="B12" s="7" t="s">
        <v>2635</v>
      </c>
      <c r="C12" s="7" t="s">
        <v>2646</v>
      </c>
      <c r="D12" s="7" t="s">
        <v>2631</v>
      </c>
      <c r="E12" s="12"/>
      <c r="F12" s="13" t="str">
        <f aca="false">IF(E12="","",IF(D12="Invertido",6-E12,E12))</f>
        <v/>
      </c>
      <c r="G12" s="58" t="s">
        <v>2647</v>
      </c>
    </row>
    <row r="13" customFormat="false" ht="46.25" hidden="false" customHeight="false" outlineLevel="0" collapsed="false">
      <c r="A13" s="13" t="n">
        <v>7</v>
      </c>
      <c r="B13" s="7" t="s">
        <v>2635</v>
      </c>
      <c r="C13" s="7" t="s">
        <v>2648</v>
      </c>
      <c r="D13" s="7" t="s">
        <v>2631</v>
      </c>
      <c r="E13" s="12"/>
      <c r="F13" s="13" t="str">
        <f aca="false">IF(E13="","",IF(D13="Invertido",6-E13,E13))</f>
        <v/>
      </c>
      <c r="G13" s="58" t="s">
        <v>2649</v>
      </c>
      <c r="I13" s="22" t="s">
        <v>2650</v>
      </c>
    </row>
    <row r="14" customFormat="false" ht="46.25" hidden="false" customHeight="false" outlineLevel="0" collapsed="false">
      <c r="A14" s="13" t="n">
        <v>8</v>
      </c>
      <c r="B14" s="7" t="s">
        <v>2635</v>
      </c>
      <c r="C14" s="7" t="s">
        <v>2651</v>
      </c>
      <c r="D14" s="7" t="s">
        <v>2637</v>
      </c>
      <c r="E14" s="12"/>
      <c r="F14" s="13" t="str">
        <f aca="false">IF(E14="","",IF(D14="Invertido",6-E14,E14))</f>
        <v/>
      </c>
      <c r="G14" s="58" t="s">
        <v>2652</v>
      </c>
      <c r="I14" s="22" t="s">
        <v>2653</v>
      </c>
    </row>
    <row r="15" customFormat="false" ht="15" hidden="false" customHeight="false" outlineLevel="0" collapsed="false">
      <c r="A15" s="13" t="n">
        <v>9</v>
      </c>
      <c r="B15" s="7" t="s">
        <v>2635</v>
      </c>
      <c r="C15" s="7" t="s">
        <v>2654</v>
      </c>
      <c r="D15" s="7" t="s">
        <v>2631</v>
      </c>
      <c r="E15" s="12"/>
      <c r="F15" s="13" t="str">
        <f aca="false">IF(E15="","",IF(D15="Invertido",6-E15,E15))</f>
        <v/>
      </c>
      <c r="G15" s="58" t="s">
        <v>2655</v>
      </c>
    </row>
    <row r="16" customFormat="false" ht="15" hidden="false" customHeight="false" outlineLevel="0" collapsed="false">
      <c r="A16" s="13" t="n">
        <v>10</v>
      </c>
      <c r="B16" s="7" t="s">
        <v>2635</v>
      </c>
      <c r="C16" s="7" t="s">
        <v>2656</v>
      </c>
      <c r="D16" s="7" t="s">
        <v>2637</v>
      </c>
      <c r="E16" s="12"/>
      <c r="F16" s="13" t="str">
        <f aca="false">IF(E16="","",IF(D16="Invertido",6-E16,E16))</f>
        <v/>
      </c>
      <c r="G16" s="58" t="s">
        <v>2657</v>
      </c>
    </row>
    <row r="17" customFormat="false" ht="15" hidden="false" customHeight="false" outlineLevel="0" collapsed="false">
      <c r="A17" s="13" t="n">
        <v>11</v>
      </c>
      <c r="B17" s="7" t="s">
        <v>2639</v>
      </c>
      <c r="C17" s="7" t="s">
        <v>2658</v>
      </c>
      <c r="D17" s="7" t="s">
        <v>2631</v>
      </c>
      <c r="E17" s="12"/>
      <c r="F17" s="13" t="str">
        <f aca="false">IF(E17="","",IF(D17="Invertido",6-E17,E17))</f>
        <v/>
      </c>
      <c r="G17" s="58" t="s">
        <v>2659</v>
      </c>
    </row>
    <row r="18" customFormat="false" ht="15" hidden="false" customHeight="false" outlineLevel="0" collapsed="false">
      <c r="A18" s="13" t="n">
        <v>12</v>
      </c>
      <c r="B18" s="7" t="s">
        <v>2639</v>
      </c>
      <c r="C18" s="7" t="s">
        <v>2660</v>
      </c>
      <c r="D18" s="7" t="s">
        <v>2631</v>
      </c>
      <c r="E18" s="12"/>
      <c r="F18" s="13" t="str">
        <f aca="false">IF(E18="","",IF(D18="Invertido",6-E18,E18))</f>
        <v/>
      </c>
      <c r="G18" s="58" t="s">
        <v>2661</v>
      </c>
    </row>
    <row r="19" customFormat="false" ht="15" hidden="false" customHeight="false" outlineLevel="0" collapsed="false">
      <c r="A19" s="13" t="n">
        <v>13</v>
      </c>
      <c r="B19" s="7" t="s">
        <v>2639</v>
      </c>
      <c r="C19" s="7" t="s">
        <v>2662</v>
      </c>
      <c r="D19" s="7" t="s">
        <v>2631</v>
      </c>
      <c r="E19" s="12"/>
      <c r="F19" s="13" t="str">
        <f aca="false">IF(E19="","",IF(D19="Invertido",6-E19,E19))</f>
        <v/>
      </c>
      <c r="G19" s="58" t="s">
        <v>2663</v>
      </c>
    </row>
    <row r="20" customFormat="false" ht="15" hidden="false" customHeight="false" outlineLevel="0" collapsed="false">
      <c r="A20" s="13" t="n">
        <v>14</v>
      </c>
      <c r="B20" s="7" t="s">
        <v>2639</v>
      </c>
      <c r="C20" s="7" t="s">
        <v>2664</v>
      </c>
      <c r="D20" s="7" t="s">
        <v>2631</v>
      </c>
      <c r="E20" s="12"/>
      <c r="F20" s="13" t="str">
        <f aca="false">IF(E20="","",IF(D20="Invertido",6-E20,E20))</f>
        <v/>
      </c>
      <c r="G20" s="58" t="s">
        <v>2665</v>
      </c>
    </row>
    <row r="21" customFormat="false" ht="15" hidden="false" customHeight="false" outlineLevel="0" collapsed="false">
      <c r="A21" s="13" t="n">
        <v>15</v>
      </c>
      <c r="B21" s="7" t="s">
        <v>2639</v>
      </c>
      <c r="C21" s="7" t="s">
        <v>2666</v>
      </c>
      <c r="D21" s="7" t="s">
        <v>2637</v>
      </c>
      <c r="E21" s="12"/>
      <c r="F21" s="13" t="str">
        <f aca="false">IF(E21="","",IF(D21="Invertido",6-E21,E21))</f>
        <v/>
      </c>
      <c r="G21" s="58" t="s">
        <v>2667</v>
      </c>
    </row>
    <row r="22" customFormat="false" ht="15" hidden="false" customHeight="false" outlineLevel="0" collapsed="false">
      <c r="A22" s="13" t="n">
        <v>16</v>
      </c>
      <c r="B22" s="7" t="s">
        <v>2642</v>
      </c>
      <c r="C22" s="7" t="s">
        <v>2668</v>
      </c>
      <c r="D22" s="7" t="s">
        <v>2631</v>
      </c>
      <c r="E22" s="12"/>
      <c r="F22" s="13" t="str">
        <f aca="false">IF(E22="","",IF(D22="Invertido",6-E22,E22))</f>
        <v/>
      </c>
      <c r="G22" s="58" t="s">
        <v>2669</v>
      </c>
    </row>
    <row r="23" customFormat="false" ht="15" hidden="false" customHeight="false" outlineLevel="0" collapsed="false">
      <c r="A23" s="13" t="n">
        <v>17</v>
      </c>
      <c r="B23" s="7" t="s">
        <v>2642</v>
      </c>
      <c r="C23" s="7" t="s">
        <v>2670</v>
      </c>
      <c r="D23" s="7" t="s">
        <v>2637</v>
      </c>
      <c r="E23" s="12"/>
      <c r="F23" s="13" t="str">
        <f aca="false">IF(E23="","",IF(D23="Invertido",6-E23,E23))</f>
        <v/>
      </c>
      <c r="G23" s="58" t="s">
        <v>2671</v>
      </c>
    </row>
    <row r="24" customFormat="false" ht="15" hidden="false" customHeight="false" outlineLevel="0" collapsed="false">
      <c r="A24" s="13" t="n">
        <v>18</v>
      </c>
      <c r="B24" s="7" t="s">
        <v>2642</v>
      </c>
      <c r="C24" s="7" t="s">
        <v>2672</v>
      </c>
      <c r="D24" s="7" t="s">
        <v>2637</v>
      </c>
      <c r="E24" s="12"/>
      <c r="F24" s="13" t="str">
        <f aca="false">IF(E24="","",IF(D24="Invertido",6-E24,E24))</f>
        <v/>
      </c>
      <c r="G24" s="58" t="s">
        <v>2673</v>
      </c>
    </row>
    <row r="25" customFormat="false" ht="15" hidden="false" customHeight="false" outlineLevel="0" collapsed="false">
      <c r="A25" s="13" t="n">
        <v>19</v>
      </c>
      <c r="B25" s="7" t="s">
        <v>2642</v>
      </c>
      <c r="C25" s="7" t="s">
        <v>2674</v>
      </c>
      <c r="D25" s="7" t="s">
        <v>2631</v>
      </c>
      <c r="E25" s="12"/>
      <c r="F25" s="13" t="str">
        <f aca="false">IF(E25="","",IF(D25="Invertido",6-E25,E25))</f>
        <v/>
      </c>
      <c r="G25" s="58" t="s">
        <v>2675</v>
      </c>
    </row>
    <row r="26" customFormat="false" ht="15" hidden="false" customHeight="false" outlineLevel="0" collapsed="false">
      <c r="A26" s="13" t="n">
        <v>20</v>
      </c>
      <c r="B26" s="7" t="s">
        <v>2642</v>
      </c>
      <c r="C26" s="7" t="s">
        <v>2676</v>
      </c>
      <c r="D26" s="7" t="s">
        <v>2637</v>
      </c>
      <c r="E26" s="12"/>
      <c r="F26" s="13" t="str">
        <f aca="false">IF(E26="","",IF(D26="Invertido",6-E26,E26))</f>
        <v/>
      </c>
      <c r="G26" s="58" t="s">
        <v>2677</v>
      </c>
    </row>
    <row r="27" customFormat="false" ht="15" hidden="false" customHeight="false" outlineLevel="0" collapsed="false">
      <c r="A27" s="13" t="n">
        <v>21</v>
      </c>
      <c r="B27" s="7" t="s">
        <v>2645</v>
      </c>
      <c r="C27" s="7" t="s">
        <v>2678</v>
      </c>
      <c r="D27" s="7" t="s">
        <v>2631</v>
      </c>
      <c r="E27" s="12"/>
      <c r="F27" s="13" t="str">
        <f aca="false">IF(E27="","",IF(D27="Invertido",6-E27,E27))</f>
        <v/>
      </c>
      <c r="G27" s="58" t="s">
        <v>2679</v>
      </c>
    </row>
    <row r="28" customFormat="false" ht="15" hidden="false" customHeight="false" outlineLevel="0" collapsed="false">
      <c r="A28" s="13" t="n">
        <v>22</v>
      </c>
      <c r="B28" s="7" t="s">
        <v>2645</v>
      </c>
      <c r="C28" s="7" t="s">
        <v>2680</v>
      </c>
      <c r="D28" s="7" t="s">
        <v>2631</v>
      </c>
      <c r="E28" s="12"/>
      <c r="F28" s="13" t="str">
        <f aca="false">IF(E28="","",IF(D28="Invertido",6-E28,E28))</f>
        <v/>
      </c>
      <c r="G28" s="58" t="s">
        <v>2681</v>
      </c>
    </row>
    <row r="29" customFormat="false" ht="15" hidden="false" customHeight="false" outlineLevel="0" collapsed="false">
      <c r="A29" s="13" t="n">
        <v>23</v>
      </c>
      <c r="B29" s="7" t="s">
        <v>2645</v>
      </c>
      <c r="C29" s="7" t="s">
        <v>2682</v>
      </c>
      <c r="D29" s="7" t="s">
        <v>2637</v>
      </c>
      <c r="E29" s="12"/>
      <c r="F29" s="13" t="str">
        <f aca="false">IF(E29="","",IF(D29="Invertido",6-E29,E29))</f>
        <v/>
      </c>
      <c r="G29" s="58" t="s">
        <v>2683</v>
      </c>
    </row>
    <row r="30" customFormat="false" ht="15" hidden="false" customHeight="false" outlineLevel="0" collapsed="false">
      <c r="A30" s="13" t="n">
        <v>24</v>
      </c>
      <c r="B30" s="7" t="s">
        <v>2645</v>
      </c>
      <c r="C30" s="7" t="s">
        <v>2684</v>
      </c>
      <c r="D30" s="7" t="s">
        <v>2631</v>
      </c>
      <c r="E30" s="12"/>
      <c r="F30" s="13" t="str">
        <f aca="false">IF(E30="","",IF(D30="Invertido",6-E30,E30))</f>
        <v/>
      </c>
      <c r="G30" s="58" t="s">
        <v>2685</v>
      </c>
    </row>
    <row r="31" customFormat="false" ht="15" hidden="false" customHeight="false" outlineLevel="0" collapsed="false">
      <c r="A31" s="13" t="n">
        <v>25</v>
      </c>
      <c r="B31" s="7" t="s">
        <v>2645</v>
      </c>
      <c r="C31" s="7" t="s">
        <v>2686</v>
      </c>
      <c r="D31" s="7" t="s">
        <v>2631</v>
      </c>
      <c r="E31" s="12"/>
      <c r="F31" s="13" t="str">
        <f aca="false">IF(E31="","",IF(D31="Invertido",6-E31,E31))</f>
        <v/>
      </c>
      <c r="G31" s="58" t="s">
        <v>2687</v>
      </c>
    </row>
  </sheetData>
  <dataValidations count="1">
    <dataValidation allowBlank="true" errorStyle="stop" operator="between" showDropDown="false" showErrorMessage="false" showInputMessage="false" sqref="E7:E31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C3AED"/>
    <pageSetUpPr fitToPage="true"/>
  </sheetPr>
  <dimension ref="A1:H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6"/>
    <col collapsed="false" customWidth="true" hidden="false" outlineLevel="0" max="3" min="3" style="0" width="56"/>
    <col collapsed="false" customWidth="true" hidden="false" outlineLevel="0" max="4" min="4" style="0" width="14"/>
    <col collapsed="false" customWidth="true" hidden="false" outlineLevel="0" max="5" min="5" style="0" width="3"/>
    <col collapsed="false" customWidth="true" hidden="false" outlineLevel="0" max="6" min="6" style="0" width="38"/>
    <col collapsed="false" customWidth="true" hidden="false" outlineLevel="0" max="7" min="7" style="0" width="12"/>
    <col collapsed="false" customWidth="true" hidden="false" outlineLevel="0" max="8" min="8" style="0" width="44"/>
  </cols>
  <sheetData>
    <row r="1" customFormat="false" ht="17.35" hidden="false" customHeight="false" outlineLevel="0" collapsed="false">
      <c r="A1" s="1" t="s">
        <v>2688</v>
      </c>
    </row>
    <row r="2" customFormat="false" ht="15" hidden="false" customHeight="false" outlineLevel="0" collapsed="false">
      <c r="A2" s="2" t="s">
        <v>2689</v>
      </c>
    </row>
    <row r="3" customFormat="false" ht="236.55" hidden="false" customHeight="false" outlineLevel="0" collapsed="false">
      <c r="A3" s="22" t="s">
        <v>2690</v>
      </c>
    </row>
    <row r="6" customFormat="false" ht="31.5" hidden="false" customHeight="true" outlineLevel="0" collapsed="false">
      <c r="A6" s="8" t="s">
        <v>229</v>
      </c>
      <c r="B6" s="8" t="s">
        <v>231</v>
      </c>
      <c r="C6" s="8" t="s">
        <v>2624</v>
      </c>
      <c r="D6" s="8" t="s">
        <v>2691</v>
      </c>
      <c r="F6" s="8" t="s">
        <v>231</v>
      </c>
      <c r="G6" s="8" t="s">
        <v>2692</v>
      </c>
      <c r="H6" s="8" t="s">
        <v>2693</v>
      </c>
    </row>
    <row r="7" customFormat="false" ht="15" hidden="false" customHeight="false" outlineLevel="0" collapsed="false">
      <c r="A7" s="13" t="n">
        <v>1</v>
      </c>
      <c r="B7" s="7" t="s">
        <v>2694</v>
      </c>
      <c r="C7" s="7" t="s">
        <v>2695</v>
      </c>
      <c r="D7" s="12"/>
      <c r="F7" s="10" t="s">
        <v>2694</v>
      </c>
      <c r="G7" s="13" t="n">
        <f aca="false">SUMIF($B$7:$B$24,F7,$D$7:$D$24)</f>
        <v>0</v>
      </c>
      <c r="H7" s="7" t="s">
        <v>2696</v>
      </c>
    </row>
    <row r="8" customFormat="false" ht="15" hidden="false" customHeight="false" outlineLevel="0" collapsed="false">
      <c r="A8" s="13" t="n">
        <v>2</v>
      </c>
      <c r="B8" s="7" t="s">
        <v>2694</v>
      </c>
      <c r="C8" s="7" t="s">
        <v>2697</v>
      </c>
      <c r="D8" s="12"/>
      <c r="F8" s="10" t="s">
        <v>2698</v>
      </c>
      <c r="G8" s="13" t="n">
        <f aca="false">SUMIF($B$7:$B$24,F8,$D$7:$D$24)</f>
        <v>0</v>
      </c>
      <c r="H8" s="7" t="s">
        <v>2699</v>
      </c>
    </row>
    <row r="9" customFormat="false" ht="15" hidden="false" customHeight="false" outlineLevel="0" collapsed="false">
      <c r="A9" s="13" t="n">
        <v>3</v>
      </c>
      <c r="B9" s="7" t="s">
        <v>2694</v>
      </c>
      <c r="C9" s="7" t="s">
        <v>2700</v>
      </c>
      <c r="D9" s="12"/>
      <c r="F9" s="10" t="s">
        <v>2701</v>
      </c>
      <c r="G9" s="13" t="n">
        <f aca="false">SUMIF($B$7:$B$24,F9,$D$7:$D$24)</f>
        <v>0</v>
      </c>
      <c r="H9" s="7" t="s">
        <v>2702</v>
      </c>
    </row>
    <row r="10" customFormat="false" ht="15" hidden="false" customHeight="false" outlineLevel="0" collapsed="false">
      <c r="A10" s="13" t="n">
        <v>4</v>
      </c>
      <c r="B10" s="7" t="s">
        <v>2698</v>
      </c>
      <c r="C10" s="7" t="s">
        <v>2703</v>
      </c>
      <c r="D10" s="12"/>
      <c r="F10" s="10" t="s">
        <v>2704</v>
      </c>
      <c r="G10" s="13" t="n">
        <f aca="false">SUMIF($B$7:$B$24,F10,$D$7:$D$24)</f>
        <v>0</v>
      </c>
      <c r="H10" s="7" t="s">
        <v>2705</v>
      </c>
    </row>
    <row r="11" customFormat="false" ht="15" hidden="false" customHeight="false" outlineLevel="0" collapsed="false">
      <c r="A11" s="13" t="n">
        <v>5</v>
      </c>
      <c r="B11" s="7" t="s">
        <v>2698</v>
      </c>
      <c r="C11" s="7" t="s">
        <v>2706</v>
      </c>
      <c r="D11" s="12"/>
      <c r="F11" s="10" t="s">
        <v>2707</v>
      </c>
      <c r="G11" s="13" t="n">
        <f aca="false">SUMIF($B$7:$B$24,F11,$D$7:$D$24)</f>
        <v>0</v>
      </c>
      <c r="H11" s="7" t="s">
        <v>2708</v>
      </c>
    </row>
    <row r="12" customFormat="false" ht="15" hidden="false" customHeight="false" outlineLevel="0" collapsed="false">
      <c r="A12" s="13" t="n">
        <v>6</v>
      </c>
      <c r="B12" s="7" t="s">
        <v>2698</v>
      </c>
      <c r="C12" s="7" t="s">
        <v>2709</v>
      </c>
      <c r="D12" s="12"/>
      <c r="F12" s="10" t="s">
        <v>2710</v>
      </c>
      <c r="G12" s="13" t="n">
        <f aca="false">SUMIF($B$7:$B$24,F12,$D$7:$D$24)</f>
        <v>0</v>
      </c>
      <c r="H12" s="7" t="s">
        <v>2711</v>
      </c>
    </row>
    <row r="13" customFormat="false" ht="15" hidden="false" customHeight="false" outlineLevel="0" collapsed="false">
      <c r="A13" s="13" t="n">
        <v>7</v>
      </c>
      <c r="B13" s="7" t="s">
        <v>2701</v>
      </c>
      <c r="C13" s="7" t="s">
        <v>2712</v>
      </c>
      <c r="D13" s="12"/>
    </row>
    <row r="14" customFormat="false" ht="15" hidden="false" customHeight="false" outlineLevel="0" collapsed="false">
      <c r="A14" s="13" t="n">
        <v>8</v>
      </c>
      <c r="B14" s="7" t="s">
        <v>2701</v>
      </c>
      <c r="C14" s="7" t="s">
        <v>2713</v>
      </c>
      <c r="D14" s="12"/>
      <c r="F14" s="10" t="s">
        <v>2714</v>
      </c>
      <c r="G14" s="7" t="str">
        <f aca="false">IF(MAX(G7:G12)=0,"",INDEX(F7:F12,MATCH(MAX(G7:G12),G7:G12,0)))</f>
        <v/>
      </c>
      <c r="H14" s="7"/>
    </row>
    <row r="15" customFormat="false" ht="15" hidden="false" customHeight="false" outlineLevel="0" collapsed="false">
      <c r="A15" s="13" t="n">
        <v>9</v>
      </c>
      <c r="B15" s="7" t="s">
        <v>2701</v>
      </c>
      <c r="C15" s="7" t="s">
        <v>2715</v>
      </c>
      <c r="D15" s="12"/>
    </row>
    <row r="16" customFormat="false" ht="15" hidden="false" customHeight="false" outlineLevel="0" collapsed="false">
      <c r="A16" s="13" t="n">
        <v>10</v>
      </c>
      <c r="B16" s="7" t="s">
        <v>2704</v>
      </c>
      <c r="C16" s="7" t="s">
        <v>2716</v>
      </c>
      <c r="D16" s="12"/>
    </row>
    <row r="17" customFormat="false" ht="15" hidden="false" customHeight="false" outlineLevel="0" collapsed="false">
      <c r="A17" s="13" t="n">
        <v>11</v>
      </c>
      <c r="B17" s="7" t="s">
        <v>2704</v>
      </c>
      <c r="C17" s="7" t="s">
        <v>2717</v>
      </c>
      <c r="D17" s="12"/>
    </row>
    <row r="18" customFormat="false" ht="15" hidden="false" customHeight="false" outlineLevel="0" collapsed="false">
      <c r="A18" s="13" t="n">
        <v>12</v>
      </c>
      <c r="B18" s="7" t="s">
        <v>2704</v>
      </c>
      <c r="C18" s="7" t="s">
        <v>2718</v>
      </c>
      <c r="D18" s="12"/>
    </row>
    <row r="19" customFormat="false" ht="15" hidden="false" customHeight="false" outlineLevel="0" collapsed="false">
      <c r="A19" s="13" t="n">
        <v>13</v>
      </c>
      <c r="B19" s="7" t="s">
        <v>2707</v>
      </c>
      <c r="C19" s="7" t="s">
        <v>2719</v>
      </c>
      <c r="D19" s="12"/>
    </row>
    <row r="20" customFormat="false" ht="15" hidden="false" customHeight="false" outlineLevel="0" collapsed="false">
      <c r="A20" s="13" t="n">
        <v>14</v>
      </c>
      <c r="B20" s="7" t="s">
        <v>2707</v>
      </c>
      <c r="C20" s="7" t="s">
        <v>2720</v>
      </c>
      <c r="D20" s="12"/>
    </row>
    <row r="21" customFormat="false" ht="15" hidden="false" customHeight="false" outlineLevel="0" collapsed="false">
      <c r="A21" s="13" t="n">
        <v>15</v>
      </c>
      <c r="B21" s="7" t="s">
        <v>2707</v>
      </c>
      <c r="C21" s="7" t="s">
        <v>2721</v>
      </c>
      <c r="D21" s="12"/>
    </row>
    <row r="22" customFormat="false" ht="15" hidden="false" customHeight="false" outlineLevel="0" collapsed="false">
      <c r="A22" s="13" t="n">
        <v>16</v>
      </c>
      <c r="B22" s="7" t="s">
        <v>2710</v>
      </c>
      <c r="C22" s="7" t="s">
        <v>2722</v>
      </c>
      <c r="D22" s="12"/>
    </row>
    <row r="23" customFormat="false" ht="15" hidden="false" customHeight="false" outlineLevel="0" collapsed="false">
      <c r="A23" s="13" t="n">
        <v>17</v>
      </c>
      <c r="B23" s="7" t="s">
        <v>2710</v>
      </c>
      <c r="C23" s="7" t="s">
        <v>2723</v>
      </c>
      <c r="D23" s="12"/>
    </row>
    <row r="24" customFormat="false" ht="15" hidden="false" customHeight="false" outlineLevel="0" collapsed="false">
      <c r="A24" s="13" t="n">
        <v>18</v>
      </c>
      <c r="B24" s="7" t="s">
        <v>2710</v>
      </c>
      <c r="C24" s="7" t="s">
        <v>2724</v>
      </c>
      <c r="D24" s="12"/>
    </row>
  </sheetData>
  <mergeCells count="1">
    <mergeCell ref="G14:H14"/>
  </mergeCells>
  <dataValidations count="1">
    <dataValidation allowBlank="true" errorStyle="stop" operator="between" showDropDown="false" showErrorMessage="false" showInputMessage="false" sqref="D7:D24" type="whole">
      <formula1>1</formula1>
      <formula2>3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C3AED"/>
    <pageSetUpPr fitToPage="true"/>
  </sheetPr>
  <dimension ref="A1:J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58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3"/>
    <col collapsed="false" customWidth="true" hidden="false" outlineLevel="0" max="7" min="7" style="0" width="26"/>
    <col collapsed="false" customWidth="true" hidden="false" outlineLevel="0" max="9" min="8" style="0" width="10"/>
    <col collapsed="false" customWidth="true" hidden="false" outlineLevel="0" max="10" min="10" style="0" width="12"/>
    <col collapsed="false" customWidth="true" hidden="false" outlineLevel="0" max="11" min="11" style="0" width="40"/>
  </cols>
  <sheetData>
    <row r="1" customFormat="false" ht="17.35" hidden="false" customHeight="false" outlineLevel="0" collapsed="false">
      <c r="A1" s="1" t="s">
        <v>2725</v>
      </c>
    </row>
    <row r="2" customFormat="false" ht="15" hidden="false" customHeight="false" outlineLevel="0" collapsed="false">
      <c r="A2" s="2" t="s">
        <v>2726</v>
      </c>
    </row>
    <row r="3" customFormat="false" ht="348.5" hidden="false" customHeight="false" outlineLevel="0" collapsed="false">
      <c r="A3" s="22" t="s">
        <v>2727</v>
      </c>
    </row>
    <row r="6" customFormat="false" ht="31.5" hidden="false" customHeight="true" outlineLevel="0" collapsed="false">
      <c r="A6" s="8" t="s">
        <v>229</v>
      </c>
      <c r="B6" s="8" t="s">
        <v>2728</v>
      </c>
      <c r="C6" s="8" t="s">
        <v>2624</v>
      </c>
      <c r="D6" s="8" t="s">
        <v>2729</v>
      </c>
      <c r="E6" s="8" t="s">
        <v>2730</v>
      </c>
      <c r="G6" s="8" t="s">
        <v>2728</v>
      </c>
      <c r="H6" s="8" t="s">
        <v>2731</v>
      </c>
      <c r="I6" s="8" t="s">
        <v>2732</v>
      </c>
      <c r="J6" s="8" t="s">
        <v>2733</v>
      </c>
    </row>
    <row r="7" customFormat="false" ht="15" hidden="false" customHeight="false" outlineLevel="0" collapsed="false">
      <c r="A7" s="13" t="n">
        <v>1</v>
      </c>
      <c r="B7" s="7" t="s">
        <v>2734</v>
      </c>
      <c r="C7" s="7" t="s">
        <v>2735</v>
      </c>
      <c r="D7" s="12"/>
      <c r="E7" s="12"/>
      <c r="G7" s="10" t="s">
        <v>2734</v>
      </c>
      <c r="H7" s="26" t="str">
        <f aca="false">IFERROR(AVERAGEIF($B$7:$B$22,G7,$D$7:$D$22),"")</f>
        <v/>
      </c>
      <c r="I7" s="26" t="str">
        <f aca="false">IFERROR(AVERAGEIF($B$7:$B$22,G7,$E$7:$E$22),"")</f>
        <v/>
      </c>
      <c r="J7" s="59" t="str">
        <f aca="false">IF(OR(H7="",I7=""),"",I7-H7)</f>
        <v/>
      </c>
    </row>
    <row r="8" customFormat="false" ht="15" hidden="false" customHeight="false" outlineLevel="0" collapsed="false">
      <c r="A8" s="13" t="n">
        <v>2</v>
      </c>
      <c r="B8" s="7" t="s">
        <v>2734</v>
      </c>
      <c r="C8" s="7" t="s">
        <v>2736</v>
      </c>
      <c r="D8" s="12"/>
      <c r="E8" s="12"/>
      <c r="G8" s="10" t="s">
        <v>2737</v>
      </c>
      <c r="H8" s="26" t="str">
        <f aca="false">IFERROR(AVERAGEIF($B$7:$B$22,G8,$D$7:$D$22),"")</f>
        <v/>
      </c>
      <c r="I8" s="26" t="str">
        <f aca="false">IFERROR(AVERAGEIF($B$7:$B$22,G8,$E$7:$E$22),"")</f>
        <v/>
      </c>
      <c r="J8" s="59" t="str">
        <f aca="false">IF(OR(H8="",I8=""),"",I8-H8)</f>
        <v/>
      </c>
    </row>
    <row r="9" customFormat="false" ht="15" hidden="false" customHeight="false" outlineLevel="0" collapsed="false">
      <c r="A9" s="13" t="n">
        <v>3</v>
      </c>
      <c r="B9" s="7" t="s">
        <v>2737</v>
      </c>
      <c r="C9" s="7" t="s">
        <v>2738</v>
      </c>
      <c r="D9" s="12"/>
      <c r="E9" s="12"/>
      <c r="G9" s="10" t="s">
        <v>349</v>
      </c>
      <c r="H9" s="26" t="str">
        <f aca="false">IFERROR(AVERAGEIF($B$7:$B$22,G9,$D$7:$D$22),"")</f>
        <v/>
      </c>
      <c r="I9" s="26" t="str">
        <f aca="false">IFERROR(AVERAGEIF($B$7:$B$22,G9,$E$7:$E$22),"")</f>
        <v/>
      </c>
      <c r="J9" s="59" t="str">
        <f aca="false">IF(OR(H9="",I9=""),"",I9-H9)</f>
        <v/>
      </c>
    </row>
    <row r="10" customFormat="false" ht="15" hidden="false" customHeight="false" outlineLevel="0" collapsed="false">
      <c r="A10" s="13" t="n">
        <v>4</v>
      </c>
      <c r="B10" s="7" t="s">
        <v>2737</v>
      </c>
      <c r="C10" s="7" t="s">
        <v>2739</v>
      </c>
      <c r="D10" s="12"/>
      <c r="E10" s="12"/>
      <c r="G10" s="10" t="s">
        <v>2740</v>
      </c>
      <c r="H10" s="26" t="str">
        <f aca="false">IFERROR(AVERAGEIF($B$7:$B$22,G10,$D$7:$D$22),"")</f>
        <v/>
      </c>
      <c r="I10" s="26" t="str">
        <f aca="false">IFERROR(AVERAGEIF($B$7:$B$22,G10,$E$7:$E$22),"")</f>
        <v/>
      </c>
      <c r="J10" s="59" t="str">
        <f aca="false">IF(OR(H10="",I10=""),"",I10-H10)</f>
        <v/>
      </c>
    </row>
    <row r="11" customFormat="false" ht="15" hidden="false" customHeight="false" outlineLevel="0" collapsed="false">
      <c r="A11" s="13" t="n">
        <v>5</v>
      </c>
      <c r="B11" s="7" t="s">
        <v>349</v>
      </c>
      <c r="C11" s="7" t="s">
        <v>2741</v>
      </c>
      <c r="D11" s="12"/>
      <c r="E11" s="12"/>
      <c r="G11" s="10" t="s">
        <v>2742</v>
      </c>
      <c r="H11" s="26" t="str">
        <f aca="false">IFERROR(AVERAGEIF($B$7:$B$22,G11,$D$7:$D$22),"")</f>
        <v/>
      </c>
      <c r="I11" s="26" t="str">
        <f aca="false">IFERROR(AVERAGEIF($B$7:$B$22,G11,$E$7:$E$22),"")</f>
        <v/>
      </c>
      <c r="J11" s="59" t="str">
        <f aca="false">IF(OR(H11="",I11=""),"",I11-H11)</f>
        <v/>
      </c>
    </row>
    <row r="12" customFormat="false" ht="15" hidden="false" customHeight="false" outlineLevel="0" collapsed="false">
      <c r="A12" s="13" t="n">
        <v>6</v>
      </c>
      <c r="B12" s="7" t="s">
        <v>349</v>
      </c>
      <c r="C12" s="7" t="s">
        <v>2743</v>
      </c>
      <c r="D12" s="12"/>
      <c r="E12" s="12"/>
      <c r="G12" s="10" t="s">
        <v>2744</v>
      </c>
      <c r="H12" s="26" t="str">
        <f aca="false">IFERROR(AVERAGEIF($B$7:$B$22,G12,$D$7:$D$22),"")</f>
        <v/>
      </c>
      <c r="I12" s="26" t="str">
        <f aca="false">IFERROR(AVERAGEIF($B$7:$B$22,G12,$E$7:$E$22),"")</f>
        <v/>
      </c>
      <c r="J12" s="59" t="str">
        <f aca="false">IF(OR(H12="",I12=""),"",I12-H12)</f>
        <v/>
      </c>
    </row>
    <row r="13" customFormat="false" ht="15" hidden="false" customHeight="false" outlineLevel="0" collapsed="false">
      <c r="A13" s="13" t="n">
        <v>7</v>
      </c>
      <c r="B13" s="7" t="s">
        <v>2740</v>
      </c>
      <c r="C13" s="7" t="s">
        <v>2745</v>
      </c>
      <c r="D13" s="12"/>
      <c r="E13" s="12"/>
      <c r="G13" s="10" t="s">
        <v>1678</v>
      </c>
      <c r="H13" s="26" t="str">
        <f aca="false">IFERROR(AVERAGEIF($B$7:$B$22,G13,$D$7:$D$22),"")</f>
        <v/>
      </c>
      <c r="I13" s="26" t="str">
        <f aca="false">IFERROR(AVERAGEIF($B$7:$B$22,G13,$E$7:$E$22),"")</f>
        <v/>
      </c>
      <c r="J13" s="59" t="str">
        <f aca="false">IF(OR(H13="",I13=""),"",I13-H13)</f>
        <v/>
      </c>
    </row>
    <row r="14" customFormat="false" ht="15" hidden="false" customHeight="false" outlineLevel="0" collapsed="false">
      <c r="A14" s="13" t="n">
        <v>8</v>
      </c>
      <c r="B14" s="7" t="s">
        <v>2740</v>
      </c>
      <c r="C14" s="7" t="s">
        <v>2746</v>
      </c>
      <c r="D14" s="12"/>
      <c r="E14" s="12"/>
      <c r="G14" s="10" t="s">
        <v>2747</v>
      </c>
      <c r="H14" s="26" t="str">
        <f aca="false">IFERROR(AVERAGEIF($B$7:$B$22,G14,$D$7:$D$22),"")</f>
        <v/>
      </c>
      <c r="I14" s="26" t="str">
        <f aca="false">IFERROR(AVERAGEIF($B$7:$B$22,G14,$E$7:$E$22),"")</f>
        <v/>
      </c>
      <c r="J14" s="59" t="str">
        <f aca="false">IF(OR(H14="",I14=""),"",I14-H14)</f>
        <v/>
      </c>
    </row>
    <row r="15" customFormat="false" ht="15" hidden="false" customHeight="false" outlineLevel="0" collapsed="false">
      <c r="A15" s="13" t="n">
        <v>9</v>
      </c>
      <c r="B15" s="7" t="s">
        <v>2742</v>
      </c>
      <c r="C15" s="7" t="s">
        <v>2748</v>
      </c>
      <c r="D15" s="12"/>
      <c r="E15" s="12"/>
    </row>
    <row r="16" customFormat="false" ht="68.65" hidden="false" customHeight="false" outlineLevel="0" collapsed="false">
      <c r="A16" s="13" t="n">
        <v>10</v>
      </c>
      <c r="B16" s="7" t="s">
        <v>2742</v>
      </c>
      <c r="C16" s="7" t="s">
        <v>2749</v>
      </c>
      <c r="D16" s="12"/>
      <c r="E16" s="12"/>
      <c r="G16" s="22" t="s">
        <v>2750</v>
      </c>
    </row>
    <row r="17" customFormat="false" ht="15" hidden="false" customHeight="false" outlineLevel="0" collapsed="false">
      <c r="A17" s="13" t="n">
        <v>11</v>
      </c>
      <c r="B17" s="7" t="s">
        <v>2744</v>
      </c>
      <c r="C17" s="7" t="s">
        <v>2751</v>
      </c>
      <c r="D17" s="12"/>
      <c r="E17" s="12"/>
    </row>
    <row r="18" customFormat="false" ht="15" hidden="false" customHeight="false" outlineLevel="0" collapsed="false">
      <c r="A18" s="13" t="n">
        <v>12</v>
      </c>
      <c r="B18" s="7" t="s">
        <v>2744</v>
      </c>
      <c r="C18" s="7" t="s">
        <v>2752</v>
      </c>
      <c r="D18" s="12"/>
      <c r="E18" s="12"/>
    </row>
    <row r="19" customFormat="false" ht="15" hidden="false" customHeight="false" outlineLevel="0" collapsed="false">
      <c r="A19" s="13" t="n">
        <v>13</v>
      </c>
      <c r="B19" s="7" t="s">
        <v>1678</v>
      </c>
      <c r="C19" s="7" t="s">
        <v>2753</v>
      </c>
      <c r="D19" s="12"/>
      <c r="E19" s="12"/>
    </row>
    <row r="20" customFormat="false" ht="15" hidden="false" customHeight="false" outlineLevel="0" collapsed="false">
      <c r="A20" s="13" t="n">
        <v>14</v>
      </c>
      <c r="B20" s="7" t="s">
        <v>1678</v>
      </c>
      <c r="C20" s="7" t="s">
        <v>2754</v>
      </c>
      <c r="D20" s="12"/>
      <c r="E20" s="12"/>
    </row>
    <row r="21" customFormat="false" ht="15" hidden="false" customHeight="false" outlineLevel="0" collapsed="false">
      <c r="A21" s="13" t="n">
        <v>15</v>
      </c>
      <c r="B21" s="7" t="s">
        <v>2747</v>
      </c>
      <c r="C21" s="7" t="s">
        <v>2755</v>
      </c>
      <c r="D21" s="12"/>
      <c r="E21" s="12"/>
    </row>
    <row r="22" customFormat="false" ht="15" hidden="false" customHeight="false" outlineLevel="0" collapsed="false">
      <c r="A22" s="13" t="n">
        <v>16</v>
      </c>
      <c r="B22" s="7" t="s">
        <v>2747</v>
      </c>
      <c r="C22" s="7" t="s">
        <v>2756</v>
      </c>
      <c r="D22" s="12"/>
      <c r="E22" s="12"/>
    </row>
  </sheetData>
  <dataValidations count="1">
    <dataValidation allowBlank="true" errorStyle="stop" operator="between" showDropDown="false" showErrorMessage="false" showInputMessage="false" sqref="D7:E22" type="whole">
      <formula1>1</formula1>
      <formula2>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C3AED"/>
    <pageSetUpPr fitToPage="true"/>
  </sheetPr>
  <dimension ref="A1:F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52"/>
    <col collapsed="false" customWidth="true" hidden="false" outlineLevel="0" max="3" min="3" style="0" width="34"/>
    <col collapsed="false" customWidth="true" hidden="false" outlineLevel="0" max="4" min="4" style="0" width="30"/>
    <col collapsed="false" customWidth="true" hidden="false" outlineLevel="0" max="5" min="5" style="0" width="16"/>
    <col collapsed="false" customWidth="true" hidden="false" outlineLevel="0" max="6" min="6" style="0" width="20"/>
  </cols>
  <sheetData>
    <row r="1" customFormat="false" ht="17.35" hidden="false" customHeight="false" outlineLevel="0" collapsed="false">
      <c r="A1" s="1" t="s">
        <v>2757</v>
      </c>
    </row>
    <row r="2" customFormat="false" ht="15" hidden="false" customHeight="false" outlineLevel="0" collapsed="false">
      <c r="A2" s="2" t="s">
        <v>2758</v>
      </c>
    </row>
    <row r="3" customFormat="false" ht="15" hidden="false" customHeight="false" outlineLevel="0" collapsed="false">
      <c r="A3" s="3" t="s">
        <v>2759</v>
      </c>
      <c r="B3" s="4"/>
      <c r="C3" s="4"/>
      <c r="D3" s="4"/>
      <c r="E3" s="4"/>
      <c r="F3" s="4"/>
    </row>
    <row r="4" customFormat="false" ht="27.75" hidden="false" customHeight="true" outlineLevel="0" collapsed="false">
      <c r="A4" s="10" t="s">
        <v>2760</v>
      </c>
      <c r="B4" s="7" t="s">
        <v>2761</v>
      </c>
      <c r="C4" s="7"/>
      <c r="D4" s="7"/>
      <c r="E4" s="7"/>
      <c r="F4" s="7"/>
    </row>
    <row r="5" customFormat="false" ht="27.75" hidden="false" customHeight="true" outlineLevel="0" collapsed="false">
      <c r="A5" s="10" t="s">
        <v>2762</v>
      </c>
      <c r="B5" s="7" t="s">
        <v>2763</v>
      </c>
      <c r="C5" s="7"/>
      <c r="D5" s="7"/>
      <c r="E5" s="7"/>
      <c r="F5" s="7"/>
    </row>
    <row r="6" customFormat="false" ht="27.75" hidden="false" customHeight="true" outlineLevel="0" collapsed="false">
      <c r="A6" s="10" t="s">
        <v>2251</v>
      </c>
      <c r="B6" s="7" t="s">
        <v>2764</v>
      </c>
      <c r="C6" s="7"/>
      <c r="D6" s="7"/>
      <c r="E6" s="7"/>
      <c r="F6" s="7"/>
    </row>
    <row r="8" customFormat="false" ht="15" hidden="false" customHeight="false" outlineLevel="0" collapsed="false">
      <c r="A8" s="3" t="s">
        <v>2765</v>
      </c>
      <c r="B8" s="4"/>
      <c r="C8" s="4"/>
      <c r="D8" s="4"/>
      <c r="E8" s="4"/>
      <c r="F8" s="4"/>
    </row>
    <row r="9" customFormat="false" ht="31.5" hidden="false" customHeight="true" outlineLevel="0" collapsed="false">
      <c r="A9" s="8" t="s">
        <v>2183</v>
      </c>
      <c r="B9" s="8" t="s">
        <v>2766</v>
      </c>
      <c r="C9" s="8" t="s">
        <v>230</v>
      </c>
      <c r="D9" s="8" t="s">
        <v>2767</v>
      </c>
      <c r="E9" s="8" t="s">
        <v>2732</v>
      </c>
      <c r="F9" s="8" t="s">
        <v>2768</v>
      </c>
    </row>
    <row r="10" customFormat="false" ht="15" hidden="false" customHeight="false" outlineLevel="0" collapsed="false">
      <c r="A10" s="16" t="s">
        <v>2769</v>
      </c>
      <c r="B10" s="16" t="s">
        <v>293</v>
      </c>
      <c r="C10" s="16" t="s">
        <v>2770</v>
      </c>
      <c r="D10" s="16" t="s">
        <v>2771</v>
      </c>
      <c r="E10" s="16" t="s">
        <v>2772</v>
      </c>
      <c r="F10" s="16" t="s">
        <v>2773</v>
      </c>
    </row>
    <row r="11" customFormat="false" ht="15" hidden="false" customHeight="false" outlineLevel="0" collapsed="false">
      <c r="A11" s="16" t="s">
        <v>2774</v>
      </c>
      <c r="B11" s="16" t="s">
        <v>1775</v>
      </c>
      <c r="C11" s="16" t="s">
        <v>2775</v>
      </c>
      <c r="D11" s="16" t="s">
        <v>2776</v>
      </c>
      <c r="E11" s="16" t="s">
        <v>2772</v>
      </c>
      <c r="F11" s="16"/>
    </row>
    <row r="12" customFormat="false" ht="15" hidden="false" customHeight="false" outlineLevel="0" collapsed="false">
      <c r="A12" s="16" t="s">
        <v>2777</v>
      </c>
      <c r="B12" s="16" t="s">
        <v>241</v>
      </c>
      <c r="C12" s="16" t="s">
        <v>1783</v>
      </c>
      <c r="D12" s="16" t="s">
        <v>2778</v>
      </c>
      <c r="E12" s="16" t="s">
        <v>2779</v>
      </c>
      <c r="F12" s="16"/>
    </row>
    <row r="13" customFormat="false" ht="15" hidden="false" customHeight="true" outlineLevel="0" collapsed="false">
      <c r="A13" s="9" t="s">
        <v>2780</v>
      </c>
      <c r="B13" s="9"/>
      <c r="C13" s="9"/>
      <c r="D13" s="9"/>
      <c r="E13" s="9"/>
      <c r="F13" s="9"/>
    </row>
    <row r="15" customFormat="false" ht="15" hidden="false" customHeight="false" outlineLevel="0" collapsed="false">
      <c r="A15" s="3" t="s">
        <v>2781</v>
      </c>
      <c r="B15" s="4"/>
      <c r="C15" s="4"/>
      <c r="D15" s="4"/>
      <c r="E15" s="4"/>
      <c r="F15" s="4"/>
    </row>
    <row r="16" customFormat="false" ht="31.5" hidden="false" customHeight="true" outlineLevel="0" collapsed="false">
      <c r="A16" s="8" t="s">
        <v>2766</v>
      </c>
      <c r="B16" s="8" t="s">
        <v>2782</v>
      </c>
      <c r="C16" s="8" t="s">
        <v>2783</v>
      </c>
      <c r="D16" s="8" t="s">
        <v>2784</v>
      </c>
      <c r="E16" s="8"/>
      <c r="F16" s="8"/>
    </row>
    <row r="17" customFormat="false" ht="39.75" hidden="false" customHeight="true" outlineLevel="0" collapsed="false">
      <c r="A17" s="10" t="s">
        <v>293</v>
      </c>
      <c r="B17" s="7" t="s">
        <v>2785</v>
      </c>
      <c r="C17" s="7" t="s">
        <v>2786</v>
      </c>
      <c r="D17" s="7" t="s">
        <v>2787</v>
      </c>
      <c r="E17" s="7"/>
      <c r="F17" s="7"/>
    </row>
    <row r="18" customFormat="false" ht="39.75" hidden="false" customHeight="true" outlineLevel="0" collapsed="false">
      <c r="A18" s="10" t="s">
        <v>1775</v>
      </c>
      <c r="B18" s="7" t="s">
        <v>2788</v>
      </c>
      <c r="C18" s="7" t="s">
        <v>2789</v>
      </c>
      <c r="D18" s="7" t="s">
        <v>2790</v>
      </c>
      <c r="E18" s="7"/>
      <c r="F18" s="7"/>
    </row>
    <row r="19" customFormat="false" ht="39.75" hidden="false" customHeight="true" outlineLevel="0" collapsed="false">
      <c r="A19" s="10" t="s">
        <v>241</v>
      </c>
      <c r="B19" s="7" t="s">
        <v>2791</v>
      </c>
      <c r="C19" s="7" t="s">
        <v>2792</v>
      </c>
      <c r="D19" s="7" t="s">
        <v>2793</v>
      </c>
      <c r="E19" s="7"/>
      <c r="F19" s="7"/>
    </row>
    <row r="20" customFormat="false" ht="39.75" hidden="false" customHeight="true" outlineLevel="0" collapsed="false">
      <c r="A20" s="10" t="s">
        <v>2794</v>
      </c>
      <c r="B20" s="7" t="s">
        <v>2795</v>
      </c>
      <c r="C20" s="7" t="s">
        <v>2796</v>
      </c>
      <c r="D20" s="7" t="s">
        <v>2400</v>
      </c>
      <c r="E20" s="7"/>
      <c r="F20" s="7"/>
    </row>
    <row r="21" customFormat="false" ht="39.75" hidden="false" customHeight="true" outlineLevel="0" collapsed="false">
      <c r="A21" s="10" t="s">
        <v>2797</v>
      </c>
      <c r="B21" s="7" t="s">
        <v>2798</v>
      </c>
      <c r="C21" s="7" t="s">
        <v>2799</v>
      </c>
      <c r="D21" s="7" t="s">
        <v>2800</v>
      </c>
      <c r="E21" s="7"/>
      <c r="F21" s="7"/>
    </row>
    <row r="22" customFormat="false" ht="39.75" hidden="false" customHeight="true" outlineLevel="0" collapsed="false">
      <c r="A22" s="10" t="s">
        <v>2801</v>
      </c>
      <c r="B22" s="7" t="s">
        <v>2802</v>
      </c>
      <c r="C22" s="7" t="s">
        <v>2803</v>
      </c>
      <c r="D22" s="7" t="s">
        <v>2804</v>
      </c>
      <c r="E22" s="7"/>
      <c r="F22" s="7"/>
    </row>
    <row r="23" customFormat="false" ht="39.75" hidden="false" customHeight="true" outlineLevel="0" collapsed="false">
      <c r="A23" s="10" t="s">
        <v>2805</v>
      </c>
      <c r="B23" s="7" t="s">
        <v>2806</v>
      </c>
      <c r="C23" s="7" t="s">
        <v>2807</v>
      </c>
      <c r="D23" s="7" t="s">
        <v>2808</v>
      </c>
      <c r="E23" s="7"/>
      <c r="F23" s="7"/>
    </row>
    <row r="24" customFormat="false" ht="39.75" hidden="false" customHeight="true" outlineLevel="0" collapsed="false">
      <c r="A24" s="10" t="s">
        <v>2809</v>
      </c>
      <c r="B24" s="7" t="s">
        <v>2810</v>
      </c>
      <c r="C24" s="7" t="s">
        <v>2811</v>
      </c>
      <c r="D24" s="7" t="s">
        <v>2812</v>
      </c>
      <c r="E24" s="7"/>
      <c r="F24" s="7"/>
    </row>
    <row r="26" customFormat="false" ht="15" hidden="false" customHeight="false" outlineLevel="0" collapsed="false">
      <c r="A26" s="3" t="s">
        <v>2813</v>
      </c>
      <c r="B26" s="4"/>
      <c r="C26" s="4"/>
      <c r="D26" s="4"/>
      <c r="E26" s="4"/>
      <c r="F26" s="4"/>
    </row>
    <row r="27" customFormat="false" ht="15" hidden="false" customHeight="true" outlineLevel="0" collapsed="false">
      <c r="A27" s="5" t="s">
        <v>2814</v>
      </c>
      <c r="B27" s="5"/>
      <c r="C27" s="5"/>
      <c r="D27" s="5"/>
      <c r="E27" s="5"/>
      <c r="F27" s="5"/>
    </row>
    <row r="28" customFormat="false" ht="15" hidden="false" customHeight="true" outlineLevel="0" collapsed="false">
      <c r="A28" s="5" t="s">
        <v>2815</v>
      </c>
      <c r="B28" s="5"/>
      <c r="C28" s="5"/>
      <c r="D28" s="5"/>
      <c r="E28" s="5"/>
      <c r="F28" s="5"/>
    </row>
    <row r="29" customFormat="false" ht="15" hidden="false" customHeight="true" outlineLevel="0" collapsed="false">
      <c r="A29" s="5" t="s">
        <v>2816</v>
      </c>
      <c r="B29" s="5"/>
      <c r="C29" s="5"/>
      <c r="D29" s="5"/>
      <c r="E29" s="5"/>
      <c r="F29" s="5"/>
    </row>
    <row r="30" customFormat="false" ht="15" hidden="false" customHeight="true" outlineLevel="0" collapsed="false">
      <c r="A30" s="5" t="s">
        <v>2817</v>
      </c>
      <c r="B30" s="5"/>
      <c r="C30" s="5"/>
      <c r="D30" s="5"/>
      <c r="E30" s="5"/>
      <c r="F30" s="5"/>
    </row>
    <row r="31" customFormat="false" ht="15" hidden="false" customHeight="true" outlineLevel="0" collapsed="false">
      <c r="A31" s="5" t="s">
        <v>2818</v>
      </c>
      <c r="B31" s="5"/>
      <c r="C31" s="5"/>
      <c r="D31" s="5"/>
      <c r="E31" s="5"/>
      <c r="F31" s="5"/>
    </row>
    <row r="32" customFormat="false" ht="15" hidden="false" customHeight="true" outlineLevel="0" collapsed="false">
      <c r="A32" s="5" t="s">
        <v>2819</v>
      </c>
      <c r="B32" s="5"/>
      <c r="C32" s="5"/>
      <c r="D32" s="5"/>
      <c r="E32" s="5"/>
      <c r="F32" s="5"/>
    </row>
  </sheetData>
  <mergeCells count="19">
    <mergeCell ref="B4:F4"/>
    <mergeCell ref="B5:F5"/>
    <mergeCell ref="B6:F6"/>
    <mergeCell ref="A13:F13"/>
    <mergeCell ref="D16:F16"/>
    <mergeCell ref="D17:F17"/>
    <mergeCell ref="D18:F18"/>
    <mergeCell ref="D19:F19"/>
    <mergeCell ref="D20:F20"/>
    <mergeCell ref="D21:F21"/>
    <mergeCell ref="D22:F22"/>
    <mergeCell ref="D23:F23"/>
    <mergeCell ref="D24:F24"/>
    <mergeCell ref="A27:F27"/>
    <mergeCell ref="A28:F28"/>
    <mergeCell ref="A29:F29"/>
    <mergeCell ref="A30:F30"/>
    <mergeCell ref="A31:F31"/>
    <mergeCell ref="A32:F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5309"/>
    <pageSetUpPr fitToPage="true"/>
  </sheetPr>
  <dimension ref="A1:C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8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2820</v>
      </c>
    </row>
    <row r="2" customFormat="false" ht="15" hidden="false" customHeight="false" outlineLevel="0" collapsed="false">
      <c r="A2" s="2" t="s">
        <v>2821</v>
      </c>
    </row>
    <row r="4" customFormat="false" ht="31.5" hidden="false" customHeight="true" outlineLevel="0" collapsed="false">
      <c r="A4" s="8" t="s">
        <v>121</v>
      </c>
      <c r="B4" s="8" t="s">
        <v>122</v>
      </c>
      <c r="C4" s="8" t="s">
        <v>123</v>
      </c>
    </row>
    <row r="5" customFormat="false" ht="15" hidden="false" customHeight="false" outlineLevel="0" collapsed="false">
      <c r="A5" s="10" t="s">
        <v>2822</v>
      </c>
      <c r="B5" s="60" t="n">
        <v>200</v>
      </c>
      <c r="C5" s="7" t="s">
        <v>2823</v>
      </c>
    </row>
    <row r="6" customFormat="false" ht="15" hidden="false" customHeight="false" outlineLevel="0" collapsed="false">
      <c r="A6" s="10" t="s">
        <v>2824</v>
      </c>
      <c r="B6" s="11" t="n">
        <v>0.3</v>
      </c>
      <c r="C6" s="7" t="s">
        <v>2825</v>
      </c>
    </row>
    <row r="7" customFormat="false" ht="15" hidden="false" customHeight="false" outlineLevel="0" collapsed="false">
      <c r="A7" s="10" t="s">
        <v>2826</v>
      </c>
      <c r="B7" s="60" t="n">
        <v>150</v>
      </c>
      <c r="C7" s="7" t="s">
        <v>2827</v>
      </c>
    </row>
    <row r="8" customFormat="false" ht="15" hidden="false" customHeight="false" outlineLevel="0" collapsed="false">
      <c r="A8" s="10" t="s">
        <v>2828</v>
      </c>
      <c r="B8" s="12" t="n">
        <v>20</v>
      </c>
    </row>
    <row r="9" customFormat="false" ht="15" hidden="false" customHeight="false" outlineLevel="0" collapsed="false">
      <c r="A9" s="10" t="s">
        <v>2829</v>
      </c>
      <c r="B9" s="12" t="n">
        <v>50</v>
      </c>
    </row>
    <row r="11" customFormat="false" ht="31.5" hidden="false" customHeight="true" outlineLevel="0" collapsed="false">
      <c r="A11" s="8" t="s">
        <v>2830</v>
      </c>
      <c r="B11" s="8" t="s">
        <v>122</v>
      </c>
      <c r="C11" s="8" t="s">
        <v>134</v>
      </c>
    </row>
    <row r="12" customFormat="false" ht="15" hidden="false" customHeight="false" outlineLevel="0" collapsed="false">
      <c r="A12" s="10" t="s">
        <v>2831</v>
      </c>
      <c r="B12" s="61" t="n">
        <f aca="false">B7*B6</f>
        <v>45</v>
      </c>
      <c r="C12" s="7" t="s">
        <v>2832</v>
      </c>
    </row>
    <row r="13" customFormat="false" ht="15" hidden="false" customHeight="false" outlineLevel="0" collapsed="false">
      <c r="A13" s="10" t="s">
        <v>2833</v>
      </c>
      <c r="B13" s="61" t="n">
        <f aca="false">B7-B12</f>
        <v>105</v>
      </c>
      <c r="C13" s="7" t="s">
        <v>2834</v>
      </c>
    </row>
    <row r="14" customFormat="false" ht="15" hidden="false" customHeight="false" outlineLevel="0" collapsed="false">
      <c r="A14" s="10" t="s">
        <v>2835</v>
      </c>
      <c r="B14" s="19" t="n">
        <f aca="false">B8*B9</f>
        <v>1000</v>
      </c>
      <c r="C14" s="7" t="s">
        <v>2836</v>
      </c>
    </row>
    <row r="15" customFormat="false" ht="15" hidden="false" customHeight="false" outlineLevel="0" collapsed="false">
      <c r="A15" s="10" t="s">
        <v>2837</v>
      </c>
      <c r="B15" s="62" t="n">
        <f aca="false">B12*B14</f>
        <v>45000</v>
      </c>
      <c r="C15" s="7" t="s">
        <v>2838</v>
      </c>
    </row>
    <row r="16" customFormat="false" ht="15" hidden="false" customHeight="false" outlineLevel="0" collapsed="false">
      <c r="A16" s="10" t="s">
        <v>2839</v>
      </c>
      <c r="B16" s="62" t="n">
        <f aca="false">B5*B9</f>
        <v>10000</v>
      </c>
      <c r="C16" s="7" t="s">
        <v>2840</v>
      </c>
    </row>
    <row r="18" customFormat="false" ht="15" hidden="false" customHeight="false" outlineLevel="0" collapsed="false">
      <c r="A18" s="3" t="s">
        <v>2841</v>
      </c>
      <c r="B18" s="4"/>
      <c r="C18" s="4"/>
    </row>
    <row r="19" customFormat="false" ht="25.5" hidden="false" customHeight="true" outlineLevel="0" collapsed="false">
      <c r="A19" s="5" t="s">
        <v>2842</v>
      </c>
      <c r="B19" s="5"/>
      <c r="C19" s="5"/>
    </row>
    <row r="20" customFormat="false" ht="25.5" hidden="false" customHeight="true" outlineLevel="0" collapsed="false">
      <c r="A20" s="5" t="s">
        <v>2843</v>
      </c>
      <c r="B20" s="5"/>
      <c r="C20" s="5"/>
    </row>
    <row r="21" customFormat="false" ht="25.5" hidden="false" customHeight="true" outlineLevel="0" collapsed="false">
      <c r="A21" s="5" t="s">
        <v>2844</v>
      </c>
      <c r="B21" s="5"/>
      <c r="C21" s="5"/>
    </row>
    <row r="22" customFormat="false" ht="25.5" hidden="false" customHeight="true" outlineLevel="0" collapsed="false">
      <c r="A22" s="5" t="s">
        <v>2845</v>
      </c>
      <c r="B22" s="5"/>
      <c r="C22" s="5"/>
    </row>
    <row r="23" customFormat="false" ht="25.5" hidden="false" customHeight="true" outlineLevel="0" collapsed="false">
      <c r="A23" s="5" t="s">
        <v>2846</v>
      </c>
      <c r="B23" s="5"/>
      <c r="C23" s="5"/>
    </row>
    <row r="24" customFormat="false" ht="25.5" hidden="false" customHeight="true" outlineLevel="0" collapsed="false">
      <c r="A24" s="5" t="s">
        <v>2847</v>
      </c>
      <c r="B24" s="5"/>
      <c r="C24" s="5"/>
    </row>
    <row r="25" customFormat="false" ht="25.5" hidden="false" customHeight="true" outlineLevel="0" collapsed="false">
      <c r="A25" s="5" t="s">
        <v>2848</v>
      </c>
      <c r="B25" s="5"/>
      <c r="C25" s="5"/>
    </row>
    <row r="26" customFormat="false" ht="25.5" hidden="false" customHeight="true" outlineLevel="0" collapsed="false">
      <c r="A26" s="5" t="s">
        <v>2849</v>
      </c>
      <c r="B26" s="5"/>
      <c r="C26" s="5"/>
    </row>
    <row r="27" customFormat="false" ht="25.5" hidden="false" customHeight="true" outlineLevel="0" collapsed="false">
      <c r="A27" s="5" t="s">
        <v>2850</v>
      </c>
      <c r="B27" s="5"/>
      <c r="C27" s="5"/>
    </row>
    <row r="28" customFormat="false" ht="25.5" hidden="false" customHeight="true" outlineLevel="0" collapsed="false">
      <c r="A28" s="5" t="s">
        <v>2851</v>
      </c>
      <c r="B28" s="5"/>
      <c r="C28" s="5"/>
    </row>
    <row r="30" customFormat="false" ht="15" hidden="false" customHeight="false" outlineLevel="0" collapsed="false">
      <c r="A30" s="3" t="s">
        <v>2852</v>
      </c>
      <c r="B30" s="4"/>
      <c r="C30" s="4"/>
    </row>
    <row r="31" customFormat="false" ht="31.5" hidden="false" customHeight="true" outlineLevel="0" collapsed="false">
      <c r="A31" s="8" t="s">
        <v>2853</v>
      </c>
      <c r="B31" s="8" t="s">
        <v>510</v>
      </c>
      <c r="C31" s="8" t="s">
        <v>2854</v>
      </c>
    </row>
    <row r="32" customFormat="false" ht="23.85" hidden="false" customHeight="false" outlineLevel="0" collapsed="false">
      <c r="A32" s="7" t="s">
        <v>2855</v>
      </c>
      <c r="B32" s="13" t="s">
        <v>2856</v>
      </c>
      <c r="C32" s="7" t="s">
        <v>2857</v>
      </c>
    </row>
    <row r="33" customFormat="false" ht="23.85" hidden="false" customHeight="false" outlineLevel="0" collapsed="false">
      <c r="A33" s="7" t="s">
        <v>2858</v>
      </c>
      <c r="B33" s="13" t="s">
        <v>2856</v>
      </c>
      <c r="C33" s="7" t="s">
        <v>2859</v>
      </c>
    </row>
    <row r="34" customFormat="false" ht="15" hidden="false" customHeight="false" outlineLevel="0" collapsed="false">
      <c r="A34" s="7" t="s">
        <v>2860</v>
      </c>
      <c r="B34" s="13" t="s">
        <v>2856</v>
      </c>
      <c r="C34" s="7" t="s">
        <v>2861</v>
      </c>
    </row>
    <row r="35" customFormat="false" ht="15" hidden="false" customHeight="false" outlineLevel="0" collapsed="false">
      <c r="A35" s="7" t="s">
        <v>2862</v>
      </c>
      <c r="B35" s="13" t="s">
        <v>2856</v>
      </c>
      <c r="C35" s="7" t="s">
        <v>1678</v>
      </c>
    </row>
    <row r="36" customFormat="false" ht="15" hidden="false" customHeight="false" outlineLevel="0" collapsed="false">
      <c r="A36" s="7" t="s">
        <v>2863</v>
      </c>
      <c r="B36" s="13" t="s">
        <v>2856</v>
      </c>
      <c r="C36" s="7" t="s">
        <v>349</v>
      </c>
    </row>
    <row r="37" customFormat="false" ht="23.85" hidden="false" customHeight="false" outlineLevel="0" collapsed="false">
      <c r="A37" s="7" t="s">
        <v>2864</v>
      </c>
      <c r="B37" s="13" t="s">
        <v>2865</v>
      </c>
      <c r="C37" s="7" t="s">
        <v>2866</v>
      </c>
    </row>
    <row r="38" customFormat="false" ht="23.85" hidden="false" customHeight="false" outlineLevel="0" collapsed="false">
      <c r="A38" s="7" t="s">
        <v>2867</v>
      </c>
      <c r="B38" s="13" t="s">
        <v>2865</v>
      </c>
      <c r="C38" s="7" t="s">
        <v>2868</v>
      </c>
    </row>
    <row r="39" customFormat="false" ht="23.85" hidden="false" customHeight="false" outlineLevel="0" collapsed="false">
      <c r="A39" s="7" t="s">
        <v>2869</v>
      </c>
      <c r="B39" s="13" t="s">
        <v>2865</v>
      </c>
      <c r="C39" s="7" t="s">
        <v>2376</v>
      </c>
    </row>
    <row r="40" customFormat="false" ht="23.85" hidden="false" customHeight="false" outlineLevel="0" collapsed="false">
      <c r="A40" s="7" t="s">
        <v>2870</v>
      </c>
      <c r="B40" s="13" t="s">
        <v>2865</v>
      </c>
      <c r="C40" s="7" t="s">
        <v>2742</v>
      </c>
    </row>
    <row r="41" customFormat="false" ht="23.85" hidden="false" customHeight="false" outlineLevel="0" collapsed="false">
      <c r="A41" s="7" t="s">
        <v>2871</v>
      </c>
      <c r="B41" s="13" t="s">
        <v>2865</v>
      </c>
      <c r="C41" s="7" t="s">
        <v>2872</v>
      </c>
    </row>
    <row r="42" customFormat="false" ht="15" hidden="false" customHeight="false" outlineLevel="0" collapsed="false">
      <c r="A42" s="7" t="s">
        <v>2873</v>
      </c>
      <c r="B42" s="13" t="s">
        <v>2874</v>
      </c>
      <c r="C42" s="7" t="s">
        <v>1678</v>
      </c>
    </row>
    <row r="43" customFormat="false" ht="15" hidden="false" customHeight="false" outlineLevel="0" collapsed="false">
      <c r="A43" s="7" t="s">
        <v>2875</v>
      </c>
      <c r="B43" s="13" t="s">
        <v>2874</v>
      </c>
      <c r="C43" s="7" t="s">
        <v>2876</v>
      </c>
    </row>
    <row r="44" customFormat="false" ht="15" hidden="false" customHeight="false" outlineLevel="0" collapsed="false">
      <c r="A44" s="7" t="s">
        <v>2877</v>
      </c>
      <c r="B44" s="13" t="s">
        <v>2874</v>
      </c>
      <c r="C44" s="7" t="s">
        <v>2878</v>
      </c>
    </row>
    <row r="45" customFormat="false" ht="15" hidden="false" customHeight="false" outlineLevel="0" collapsed="false">
      <c r="A45" s="7" t="s">
        <v>2879</v>
      </c>
      <c r="B45" s="13" t="s">
        <v>2874</v>
      </c>
      <c r="C45" s="7" t="s">
        <v>2880</v>
      </c>
    </row>
    <row r="46" customFormat="false" ht="15" hidden="false" customHeight="false" outlineLevel="0" collapsed="false">
      <c r="A46" s="7" t="s">
        <v>2881</v>
      </c>
      <c r="B46" s="13" t="s">
        <v>2874</v>
      </c>
      <c r="C46" s="7" t="s">
        <v>2882</v>
      </c>
    </row>
    <row r="47" customFormat="false" ht="23.85" hidden="false" customHeight="false" outlineLevel="0" collapsed="false">
      <c r="A47" s="7" t="s">
        <v>2883</v>
      </c>
      <c r="B47" s="13" t="s">
        <v>2884</v>
      </c>
      <c r="C47" s="7" t="s">
        <v>361</v>
      </c>
    </row>
    <row r="48" customFormat="false" ht="15" hidden="false" customHeight="false" outlineLevel="0" collapsed="false">
      <c r="A48" s="7" t="s">
        <v>2885</v>
      </c>
      <c r="B48" s="13" t="s">
        <v>2884</v>
      </c>
      <c r="C48" s="7" t="s">
        <v>2886</v>
      </c>
    </row>
    <row r="49" customFormat="false" ht="23.85" hidden="false" customHeight="false" outlineLevel="0" collapsed="false">
      <c r="A49" s="7" t="s">
        <v>2887</v>
      </c>
      <c r="B49" s="13" t="s">
        <v>2884</v>
      </c>
      <c r="C49" s="7" t="s">
        <v>2888</v>
      </c>
    </row>
    <row r="50" customFormat="false" ht="15" hidden="false" customHeight="false" outlineLevel="0" collapsed="false">
      <c r="A50" s="7" t="s">
        <v>2889</v>
      </c>
      <c r="B50" s="13" t="s">
        <v>2884</v>
      </c>
      <c r="C50" s="7" t="s">
        <v>2890</v>
      </c>
    </row>
    <row r="51" customFormat="false" ht="15" hidden="false" customHeight="false" outlineLevel="0" collapsed="false">
      <c r="A51" s="7" t="s">
        <v>2891</v>
      </c>
      <c r="B51" s="13" t="s">
        <v>2884</v>
      </c>
      <c r="C51" s="7" t="s">
        <v>2892</v>
      </c>
    </row>
    <row r="53" customFormat="false" ht="15" hidden="false" customHeight="false" outlineLevel="0" collapsed="false">
      <c r="A53" s="3" t="s">
        <v>2893</v>
      </c>
      <c r="B53" s="4"/>
      <c r="C53" s="4"/>
    </row>
    <row r="54" customFormat="false" ht="15" hidden="false" customHeight="true" outlineLevel="0" collapsed="false">
      <c r="A54" s="5" t="s">
        <v>2894</v>
      </c>
      <c r="B54" s="5"/>
      <c r="C54" s="5"/>
    </row>
    <row r="55" customFormat="false" ht="15" hidden="false" customHeight="true" outlineLevel="0" collapsed="false">
      <c r="A55" s="5" t="s">
        <v>2895</v>
      </c>
      <c r="B55" s="5"/>
      <c r="C55" s="5"/>
    </row>
    <row r="56" customFormat="false" ht="15" hidden="false" customHeight="true" outlineLevel="0" collapsed="false">
      <c r="A56" s="5" t="s">
        <v>2896</v>
      </c>
      <c r="B56" s="5"/>
      <c r="C56" s="5"/>
    </row>
    <row r="57" customFormat="false" ht="15" hidden="false" customHeight="true" outlineLevel="0" collapsed="false">
      <c r="A57" s="5" t="s">
        <v>2897</v>
      </c>
      <c r="B57" s="5"/>
      <c r="C57" s="5"/>
    </row>
    <row r="58" customFormat="false" ht="15" hidden="false" customHeight="true" outlineLevel="0" collapsed="false">
      <c r="A58" s="5" t="s">
        <v>2898</v>
      </c>
      <c r="B58" s="5"/>
      <c r="C58" s="5"/>
    </row>
    <row r="60" customFormat="false" ht="15" hidden="false" customHeight="false" outlineLevel="0" collapsed="false">
      <c r="A60" s="3" t="s">
        <v>2899</v>
      </c>
      <c r="B60" s="4"/>
      <c r="C60" s="4"/>
    </row>
    <row r="61" customFormat="false" ht="25.5" hidden="false" customHeight="true" outlineLevel="0" collapsed="false">
      <c r="A61" s="5" t="s">
        <v>2900</v>
      </c>
      <c r="B61" s="5"/>
      <c r="C61" s="5"/>
    </row>
    <row r="62" customFormat="false" ht="25.5" hidden="false" customHeight="true" outlineLevel="0" collapsed="false">
      <c r="A62" s="5" t="s">
        <v>2901</v>
      </c>
      <c r="B62" s="5"/>
      <c r="C62" s="5"/>
    </row>
    <row r="63" customFormat="false" ht="25.5" hidden="false" customHeight="true" outlineLevel="0" collapsed="false">
      <c r="A63" s="5" t="s">
        <v>2902</v>
      </c>
      <c r="B63" s="5"/>
      <c r="C63" s="5"/>
    </row>
    <row r="64" customFormat="false" ht="25.5" hidden="false" customHeight="true" outlineLevel="0" collapsed="false">
      <c r="A64" s="5" t="s">
        <v>2903</v>
      </c>
      <c r="B64" s="5"/>
      <c r="C64" s="5"/>
    </row>
    <row r="65" customFormat="false" ht="25.5" hidden="false" customHeight="true" outlineLevel="0" collapsed="false">
      <c r="A65" s="5" t="s">
        <v>2904</v>
      </c>
      <c r="B65" s="5"/>
      <c r="C65" s="5"/>
    </row>
  </sheetData>
  <mergeCells count="20">
    <mergeCell ref="A19:C19"/>
    <mergeCell ref="A20:C20"/>
    <mergeCell ref="A21:C21"/>
    <mergeCell ref="A22:C22"/>
    <mergeCell ref="A23:C23"/>
    <mergeCell ref="A24:C24"/>
    <mergeCell ref="A25:C25"/>
    <mergeCell ref="A26:C26"/>
    <mergeCell ref="A27:C27"/>
    <mergeCell ref="A28:C28"/>
    <mergeCell ref="A54:C54"/>
    <mergeCell ref="A55:C55"/>
    <mergeCell ref="A56:C56"/>
    <mergeCell ref="A57:C57"/>
    <mergeCell ref="A58:C58"/>
    <mergeCell ref="A61:C61"/>
    <mergeCell ref="A62:C62"/>
    <mergeCell ref="A63:C63"/>
    <mergeCell ref="A64:C64"/>
    <mergeCell ref="A65:C6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B7280"/>
    <pageSetUpPr fitToPage="true"/>
  </sheetPr>
  <dimension ref="A1:E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4"/>
    <col collapsed="false" customWidth="true" hidden="false" outlineLevel="0" max="3" min="3" style="0" width="70"/>
    <col collapsed="false" customWidth="true" hidden="false" outlineLevel="0" max="4" min="4" style="0" width="60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1" t="s">
        <v>63</v>
      </c>
    </row>
    <row r="2" customFormat="false" ht="15" hidden="false" customHeight="false" outlineLevel="0" collapsed="false">
      <c r="A2" s="2" t="s">
        <v>2905</v>
      </c>
    </row>
    <row r="4" customFormat="false" ht="31.5" hidden="false" customHeight="true" outlineLevel="0" collapsed="false">
      <c r="A4" s="8" t="s">
        <v>229</v>
      </c>
      <c r="B4" s="8" t="s">
        <v>2906</v>
      </c>
      <c r="C4" s="8" t="s">
        <v>2907</v>
      </c>
      <c r="D4" s="8" t="s">
        <v>2908</v>
      </c>
      <c r="E4" s="8" t="s">
        <v>2909</v>
      </c>
    </row>
    <row r="5" customFormat="false" ht="23.85" hidden="false" customHeight="false" outlineLevel="0" collapsed="false">
      <c r="A5" s="13" t="n">
        <v>1</v>
      </c>
      <c r="B5" s="7" t="s">
        <v>2910</v>
      </c>
      <c r="C5" s="6" t="s">
        <v>2911</v>
      </c>
      <c r="D5" s="7" t="s">
        <v>2912</v>
      </c>
      <c r="E5" s="7" t="s">
        <v>2913</v>
      </c>
    </row>
    <row r="6" customFormat="false" ht="15" hidden="false" customHeight="false" outlineLevel="0" collapsed="false">
      <c r="A6" s="13" t="n">
        <v>2</v>
      </c>
      <c r="B6" s="7" t="s">
        <v>2914</v>
      </c>
      <c r="C6" s="6" t="s">
        <v>2915</v>
      </c>
      <c r="D6" s="7" t="s">
        <v>2916</v>
      </c>
      <c r="E6" s="7" t="s">
        <v>2913</v>
      </c>
    </row>
    <row r="7" customFormat="false" ht="23.85" hidden="false" customHeight="false" outlineLevel="0" collapsed="false">
      <c r="A7" s="13" t="n">
        <v>3</v>
      </c>
      <c r="B7" s="7" t="s">
        <v>2917</v>
      </c>
      <c r="C7" s="6" t="s">
        <v>2918</v>
      </c>
      <c r="D7" s="7" t="s">
        <v>2919</v>
      </c>
      <c r="E7" s="7" t="s">
        <v>2913</v>
      </c>
    </row>
  </sheetData>
  <hyperlinks>
    <hyperlink ref="C5" r:id="rId1" display="https://ipip.ori.org/"/>
    <hyperlink ref="C6" r:id="rId2" display="https://ipip.ori.org/newBigFive5broadKey.htm"/>
    <hyperlink ref="C7" r:id="rId3" display="https://www.onetcenter.org/IP.htm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2026-10-06T23:15:58Z</dcterms:created>
  <dc:creator>openpyxl</dc:creator>
  <dc:description/>
  <dc:language>en-US</dc:language>
  <cp:lastModifiedBy/>
  <dcterms:modified xsi:type="dcterms:W3CDTF">2026-10-06T23:15:59Z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