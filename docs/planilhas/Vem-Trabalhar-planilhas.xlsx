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 primeiro" sheetId="1" state="visible" r:id="rId3"/>
    <sheet name="Cobertura" sheetId="2" state="visible" r:id="rId4"/>
    <sheet name="Cursos" sheetId="3" state="visible" r:id="rId5"/>
    <sheet name="Regiões" sheetId="4" state="visible" r:id="rId6"/>
    <sheet name="Prioridade" sheetId="5" state="visible" r:id="rId7"/>
    <sheet name="Matching" sheetId="6" state="visible" r:id="rId8"/>
    <sheet name="Matching exemplo" sheetId="7" state="visible" r:id="rId9"/>
    <sheet name="Geografia" sheetId="8" state="visible" r:id="rId10"/>
    <sheet name="Cadastro" sheetId="9" state="visible" r:id="rId11"/>
    <sheet name="Perfil" sheetId="10" state="visible" r:id="rId12"/>
    <sheet name="Interesses" sheetId="11" state="visible" r:id="rId13"/>
    <sheet name="Desempenho" sheetId="12" state="visible" r:id="rId14"/>
    <sheet name="Currículos" sheetId="13" state="visible" r:id="rId15"/>
    <sheet name="Cursos próprios" sheetId="14" state="visible" r:id="rId16"/>
    <sheet name="Ideias de cursos" sheetId="15" state="visible" r:id="rId17"/>
    <sheet name="Instituições" sheetId="16" state="visible" r:id="rId18"/>
    <sheet name="Fontes" sheetId="17" state="visible" r:id="rId19"/>
  </sheets>
  <definedNames>
    <definedName function="false" hidden="true" localSheetId="2" name="_xlnm._FilterDatabase" vbProcedure="false">Cursos!$A$4:$P$193</definedName>
    <definedName function="false" hidden="true" localSheetId="14" name="_xlnm._FilterDatabase" vbProcedure="false">'Ideias de cursos'!$A$4:$L$106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<sst xmlns="http://schemas.openxmlformats.org/spreadsheetml/2006/main" count="4557" uniqueCount="1347">
  <si>
    <t xml:space="preserve">Planilhas do Vem Trabalhar e do Vem Comer</t>
  </si>
  <si>
    <t xml:space="preserve">Feitas em 06/10/2026 para o GD. Tudo que é pergunta é de tocar; nada exige digitar. Células amarelas com letra azul são suas: pode mudar.</t>
  </si>
  <si>
    <t xml:space="preserve">Em uma frase</t>
  </si>
  <si>
    <t xml:space="preserve">Um método só, do trabalhador autônomo até a empresa de mil funcionários: a mesma pessoa se cadastra, aprende, é avaliada com transparência e é encontrada pela vaga certa.</t>
  </si>
  <si>
    <t xml:space="preserve">O que tem em cada aba (toque no nome para ir)</t>
  </si>
  <si>
    <t xml:space="preserve">Cobertura</t>
  </si>
  <si>
    <t xml:space="preserve">Quantos cursos temos por setor e por região, o que falta para a meta e de onde veio cada um.</t>
  </si>
  <si>
    <t xml:space="preserve">Cursos</t>
  </si>
  <si>
    <t xml:space="preserve">Catálogo de fontes oficiais: 137 cursos com nome e 52 programas (áreas do SENAR Play e do Senac). Cada linha diz se eu abri a página ou só vi em reportagem.</t>
  </si>
  <si>
    <t xml:space="preserve">Regiões</t>
  </si>
  <si>
    <t xml:space="preserve">As 5 regiões: participação no PIB de 2023 (IBGE) e o perfil de cada uma.</t>
  </si>
  <si>
    <t xml:space="preserve">Prioridade</t>
  </si>
  <si>
    <t xml:space="preserve">Para cada região, quais setores pedem mais curso (Alta, Média). Você pode mudar tocando na célula.</t>
  </si>
  <si>
    <t xml:space="preserve">Matching</t>
  </si>
  <si>
    <t xml:space="preserve">As 20 perguntas ao candidato e as 20 correspondentes na vaga, com regra de comparação e peso.</t>
  </si>
  <si>
    <t xml:space="preserve">Matching exemplo</t>
  </si>
  <si>
    <t xml:space="preserve">Um candidato inventado contra uma vaga inventada, para ver como a nota sai.</t>
  </si>
  <si>
    <t xml:space="preserve">Geografia</t>
  </si>
  <si>
    <t xml:space="preserve">Casa, trabalho e local de estudo: distância, tempo de deslocamento, estudo a distância ou presencial.</t>
  </si>
  <si>
    <t xml:space="preserve">Cadastro</t>
  </si>
  <si>
    <t xml:space="preserve">As telas de entrada do candidato, do funcionário e da empresa: tudo de tocar, com a base legal de cada dado.</t>
  </si>
  <si>
    <t xml:space="preserve">Perfil</t>
  </si>
  <si>
    <t xml:space="preserve">Teste de jeito de ser (Big Five do IPIP, domínio público): 25 frases.</t>
  </si>
  <si>
    <t xml:space="preserve">Interesses</t>
  </si>
  <si>
    <t xml:space="preserve">Teste de interesses de carreira (modelo RIASEC): 18 frases nossas.</t>
  </si>
  <si>
    <t xml:space="preserve">Desempenho</t>
  </si>
  <si>
    <t xml:space="preserve">Avaliação de competências do funcionário: 16 frases, uma versão para ele e outra para o gestor.</t>
  </si>
  <si>
    <t xml:space="preserve">Currículos</t>
  </si>
  <si>
    <t xml:space="preserve">26 modelos de currículo e 9 paletas de cor.</t>
  </si>
  <si>
    <t xml:space="preserve">Cursos próprios</t>
  </si>
  <si>
    <t xml:space="preserve">Como é um curso do Vem Trabalhar: lições curtas, atividade de toque, reteste, prova final, certificado.</t>
  </si>
  <si>
    <t xml:space="preserve">Ideias de cursos</t>
  </si>
  <si>
    <t xml:space="preserve">Mais de 100 cursos para fazermos ou ligarmos a escolas parceiras (livres, técnicos, mistos).</t>
  </si>
  <si>
    <t xml:space="preserve">Instituições</t>
  </si>
  <si>
    <t xml:space="preserve">Quem são as escolas e os sistemas de ensino, o que vi de cada uma e como ligar ao app.</t>
  </si>
  <si>
    <t xml:space="preserve">Fontes</t>
  </si>
  <si>
    <t xml:space="preserve">Todo endereço que consultei, para que serviu e se consegui abrir.</t>
  </si>
  <si>
    <t xml:space="preserve">Como ler as cores da coluna Situação</t>
  </si>
  <si>
    <t xml:space="preserve">Verificado (abri a página oficial)</t>
  </si>
  <si>
    <t xml:space="preserve">Eu abri a página oficial e li o curso ali.</t>
  </si>
  <si>
    <t xml:space="preserve">Visto em reportagem (confirmar no site)</t>
  </si>
  <si>
    <t xml:space="preserve">O nome apareceu numa reportagem. Falta conferir no site oficial.</t>
  </si>
  <si>
    <t xml:space="preserve">Programa oficial (cursos não listados aqui)</t>
  </si>
  <si>
    <t xml:space="preserve">É uma área ou cadeia do catálogo oficial; os cursos dentro dela não consegui listar.</t>
  </si>
  <si>
    <t xml:space="preserve">Mesmo método, qualquer tamanho de empresa</t>
  </si>
  <si>
    <t xml:space="preserve">Quem é</t>
  </si>
  <si>
    <t xml:space="preserve">O que vê na tela (proposta nossa)</t>
  </si>
  <si>
    <t xml:space="preserve">Plano por vagas por mês (decisão do GD, 06/10/2026)</t>
  </si>
  <si>
    <t xml:space="preserve">Quem trabalha sozinho (MEI, autônomo)</t>
  </si>
  <si>
    <t xml:space="preserve">Uma vaga de 1 toque, perfil pronto, cursos de gestão do pequeno negócio.</t>
  </si>
  <si>
    <t xml:space="preserve">0 a 10 vagas: R$ 300</t>
  </si>
  <si>
    <t xml:space="preserve">Empresa com 2 a 50 funcionários</t>
  </si>
  <si>
    <t xml:space="preserve">As mesmas telas, com a vaga montada em 20 respostas de toque e a lista de candidatos já ordenada.</t>
  </si>
  <si>
    <t xml:space="preserve">0 a 10 vagas: R$ 300; 11 a 500: R$ 500</t>
  </si>
  <si>
    <t xml:space="preserve">Empresa com 51 a 500 funcionários</t>
  </si>
  <si>
    <t xml:space="preserve">Acrescenta a avaliação de desempenho dos funcionários e os relatórios por setor.</t>
  </si>
  <si>
    <t xml:space="preserve">11 a 500 vagas: R$ 500</t>
  </si>
  <si>
    <t xml:space="preserve">Empresa com 501 a 1.000 funcionários</t>
  </si>
  <si>
    <t xml:space="preserve">Acrescenta vários gestores, vários locais e relatórios por região.</t>
  </si>
  <si>
    <t xml:space="preserve">501 a 1.000 vagas: R$ 1.000</t>
  </si>
  <si>
    <t xml:space="preserve">Mais de 1.000</t>
  </si>
  <si>
    <t xml:space="preserve">Mesmo método, com contrato sob medida.</t>
  </si>
  <si>
    <t xml:space="preserve">Acima de 1.000 vagas: negociado</t>
  </si>
  <si>
    <t xml:space="preserve">Observação: o GD disse '11 a 50 = R$ 500' e '51 a 500 = R$ 500'; tratei como uma faixa só, de 11 a 500. O candidato paga R$ 80 (mensal ou uma vez: pergunta aberta). Semana de teste grátis, sem baixar nada.</t>
  </si>
  <si>
    <t xml:space="preserve">Regras que valem em tudo</t>
  </si>
  <si>
    <t xml:space="preserve">Ninguém é eliminado por nota ou por prova. A prova final de um curso só dá o certificado; quem não passa refaz com perguntas novas.</t>
  </si>
  <si>
    <t xml:space="preserve">A pessoa vê o que a empresa vê sobre ela e vê por que a nota deu aquele valor, com o curso que a faria subir.</t>
  </si>
  <si>
    <t xml:space="preserve">Dados sensíveis não entram no match: raça ou cor, religião, estado civil, filhos, gravidez, idade como filtro, saúde, orientação sexual, opinião política.</t>
  </si>
  <si>
    <t xml:space="preserve">Aviso de vaga, de curso e uso das respostas para estudo ou marketing só com consentimento separado, desmarcado de início e revogável.</t>
  </si>
  <si>
    <t xml:space="preserve">Funcionário sabe que está sendo avaliado e vê o próprio resultado. Avaliação serve para desenvolver, não para demitir de forma automática.</t>
  </si>
  <si>
    <t xml:space="preserve">Teste de jeito de ser e de interesses é para a pessoa se conhecer. Só vai para a empresa se ela autorizar, e nunca elimina.</t>
  </si>
  <si>
    <t xml:space="preserve">Certificado do Vem Trabalhar é de curso livre. Diploma técnico só escola credenciada emite.</t>
  </si>
  <si>
    <t xml:space="preserve">Antes de abrir o cadastro: revisão de advogado (LGPD, Lei 9.029/1995, testes na seleção, avaliação de funcionários).</t>
  </si>
  <si>
    <t xml:space="preserve">Limites desta primeira versão (para ninguém se enganar)</t>
  </si>
  <si>
    <t xml:space="preserve">Tenho 137 cursos com nome e 52 programas; a meta de 200 por região ainda não foi atingida (veja a aba Cobertura). Do total, 69 cursos eu abri no site oficial e 68 só vi em reportagem.</t>
  </si>
  <si>
    <t xml:space="preserve">Não consegui ler: a lista em PDF do SENAR Play, o site nacional do SENAI e do Senac e a página do SEST SENAT no gov.br. Não contornei nenhum bloqueio.</t>
  </si>
  <si>
    <t xml:space="preserve">As frases do teste de jeito de ser são do IPIP (domínio público), traduzidas por nós. Precisam de revisão de um psicólogo antes de uso real em seleção.</t>
  </si>
  <si>
    <t xml:space="preserve">Os pesos do matching e as velocidades de deslocamento são ponto de partida (premissas nossas). Serão calibrados com contratações reais.</t>
  </si>
  <si>
    <t xml:space="preserve">Os modelos de currículo e as notas de leitura automática (ATS) são avaliação nossa. Ainda não foram testados em programas de empresas.</t>
  </si>
  <si>
    <t xml:space="preserve">As prioridades por região de Saúde, Construção, Transporte e Comércio são avaliação nossa, sem fonte aberta.</t>
  </si>
  <si>
    <t xml:space="preserve">O que preciso de você (nada trava o trabalho)</t>
  </si>
  <si>
    <t xml:space="preserve">1. A meta de 200 cursos é no total ou por região? Montei a aba Cobertura com 200 por região (célula amarela, dá para mudar).</t>
  </si>
  <si>
    <t xml:space="preserve">2. O currículo básico por voz fica de graça e os R$ 80 são o pacote completo? Recomendo isso para o informal entrar sem barreira.</t>
  </si>
  <si>
    <t xml:space="preserve">3. Os R$ 80 do candidato são por mês ou pagamento único?</t>
  </si>
  <si>
    <t xml:space="preserve">4. Quais escolas técnicas, faculdades e parceiros você já fala? A aba Instituições está esperando os nomes.</t>
  </si>
  <si>
    <t xml:space="preserve">5. Conte, por voz, a sua metodologia de gestão comercial dos 25 anos, do trabalhador sozinho à empresa grande. O app deve nascer dela, e esta planilha vira o esqueleto.</t>
  </si>
  <si>
    <t xml:space="preserve">6. Aprovar que um advogado revise termos, testes e avaliação antes de abrir o cadastro.</t>
  </si>
  <si>
    <t xml:space="preserve">Cobertura de cursos por setor e por região</t>
  </si>
  <si>
    <t xml:space="preserve">Tudo aqui é fórmula: muda sozinho quando a aba Cursos muda. O curso online vale para todas as regiões; a diferença vem dos presenciais e das cadeias do SENAR.</t>
  </si>
  <si>
    <t xml:space="preserve">Meta de cursos por região</t>
  </si>
  <si>
    <t xml:space="preserve">Premissa: GD falou 'mais de 200 cursos por região'. Se for 200 no total, troque aqui.</t>
  </si>
  <si>
    <t xml:space="preserve">Setor</t>
  </si>
  <si>
    <t xml:space="preserve">Norte</t>
  </si>
  <si>
    <t xml:space="preserve">Nordeste</t>
  </si>
  <si>
    <t xml:space="preserve">Centro-Oeste</t>
  </si>
  <si>
    <t xml:space="preserve">Sudeste</t>
  </si>
  <si>
    <t xml:space="preserve">Sul</t>
  </si>
  <si>
    <t xml:space="preserve">Cursos nomeados (total)</t>
  </si>
  <si>
    <t xml:space="preserve">Indústria</t>
  </si>
  <si>
    <t xml:space="preserve">Agro</t>
  </si>
  <si>
    <t xml:space="preserve">Técnico e tecnologia</t>
  </si>
  <si>
    <t xml:space="preserve">Turismo e gastronomia</t>
  </si>
  <si>
    <t xml:space="preserve">Comércio e serviços</t>
  </si>
  <si>
    <t xml:space="preserve">Gestão e carreira</t>
  </si>
  <si>
    <t xml:space="preserve">Transporte e logística</t>
  </si>
  <si>
    <t xml:space="preserve">Saúde e cuidados</t>
  </si>
  <si>
    <t xml:space="preserve">Construção</t>
  </si>
  <si>
    <t xml:space="preserve">Total</t>
  </si>
  <si>
    <t xml:space="preserve">Meta</t>
  </si>
  <si>
    <t xml:space="preserve">Falta para a meta</t>
  </si>
  <si>
    <t xml:space="preserve">Cobertura da meta</t>
  </si>
  <si>
    <t xml:space="preserve">Programas oficiais (cada área ou cadeia tem vários cursos dentro; não entram na conta acima)</t>
  </si>
  <si>
    <t xml:space="preserve">Programas (total)</t>
  </si>
  <si>
    <t xml:space="preserve">O SENAR Play informa +250 cursos dentro das suas cadeias e áreas; por isso o Agro aparece fraco na primeira tabela.</t>
  </si>
  <si>
    <t xml:space="preserve">De onde vêm os cursos</t>
  </si>
  <si>
    <t xml:space="preserve">Cursos nomeados</t>
  </si>
  <si>
    <t xml:space="preserve">Programas</t>
  </si>
  <si>
    <t xml:space="preserve">Ideias de cursos próprios e de parceiros</t>
  </si>
  <si>
    <t xml:space="preserve">Quantidade</t>
  </si>
  <si>
    <t xml:space="preserve">Livre próprio</t>
  </si>
  <si>
    <t xml:space="preserve">Misto (teoria nossa, prática com parceiro)</t>
  </si>
  <si>
    <t xml:space="preserve">Técnico (escola parceira)</t>
  </si>
  <si>
    <t xml:space="preserve">Total de ideias</t>
  </si>
  <si>
    <t xml:space="preserve">Ideias de prioridade Alta na região</t>
  </si>
  <si>
    <t xml:space="preserve">Catálogo de cursos de fontes oficiais</t>
  </si>
  <si>
    <t xml:space="preserve">Cada linha: de onde veio e se eu abri a página. 'x' nas colunas das regiões = o curso serve àquela região. Dá para filtrar pelos cabeçalhos.</t>
  </si>
  <si>
    <t xml:space="preserve">Nº</t>
  </si>
  <si>
    <t xml:space="preserve">Tipo</t>
  </si>
  <si>
    <t xml:space="preserve">Curso ou programa</t>
  </si>
  <si>
    <t xml:space="preserve">Instituição</t>
  </si>
  <si>
    <t xml:space="preserve">Duração (h)</t>
  </si>
  <si>
    <t xml:space="preserve">Modalidade</t>
  </si>
  <si>
    <t xml:space="preserve">Custo</t>
  </si>
  <si>
    <t xml:space="preserve">Situação</t>
  </si>
  <si>
    <t xml:space="preserve">Link oficial</t>
  </si>
  <si>
    <t xml:space="preserve">Observação</t>
  </si>
  <si>
    <t xml:space="preserve">Curso</t>
  </si>
  <si>
    <t xml:space="preserve">Gestão financeira</t>
  </si>
  <si>
    <t xml:space="preserve">Sebrae</t>
  </si>
  <si>
    <t xml:space="preserve">EAD</t>
  </si>
  <si>
    <t xml:space="preserve">Gratuito (página oficial)</t>
  </si>
  <si>
    <t xml:space="preserve">x</t>
  </si>
  <si>
    <t xml:space="preserve">https://loja.sebrae.com.br/cursos/cursos-online</t>
  </si>
  <si>
    <t xml:space="preserve">Marketing digital e redes sociais</t>
  </si>
  <si>
    <t xml:space="preserve">Gestão de pessoas</t>
  </si>
  <si>
    <t xml:space="preserve">Marketing digital para sua empresa: primeiros passos</t>
  </si>
  <si>
    <t xml:space="preserve">Atendimento ao cliente</t>
  </si>
  <si>
    <t xml:space="preserve">Como definir o preço de venda</t>
  </si>
  <si>
    <t xml:space="preserve">Aprender a empreender</t>
  </si>
  <si>
    <t xml:space="preserve">Inteligência emocional</t>
  </si>
  <si>
    <t xml:space="preserve">Como controlar o fluxo de caixa</t>
  </si>
  <si>
    <t xml:space="preserve">Marketing digital: estratégias e práticas para conquistar clientes</t>
  </si>
  <si>
    <t xml:space="preserve">Exportação</t>
  </si>
  <si>
    <t xml:space="preserve">Dropshipping</t>
  </si>
  <si>
    <t xml:space="preserve">Atendimento inclusivo: PCD e neurodiversidade</t>
  </si>
  <si>
    <t xml:space="preserve">Análise de resultados em marketing digital</t>
  </si>
  <si>
    <t xml:space="preserve">Marketing digital para sua empresa: equipe comercial</t>
  </si>
  <si>
    <t xml:space="preserve">O que fazer para começar a vender online?</t>
  </si>
  <si>
    <t xml:space="preserve">Marketing digital para sua empresa: reforçando sua presença</t>
  </si>
  <si>
    <t xml:space="preserve">a confirmar</t>
  </si>
  <si>
    <t xml:space="preserve">A página mostra 0 h; duração a confirmar.</t>
  </si>
  <si>
    <t xml:space="preserve">Customer success: como conquistar e manter clientes</t>
  </si>
  <si>
    <t xml:space="preserve">Passo a passo para alcançar o sucesso financeiro</t>
  </si>
  <si>
    <t xml:space="preserve">Faça suas redes bombarem com o Canva</t>
  </si>
  <si>
    <t xml:space="preserve">Neuromarketing</t>
  </si>
  <si>
    <t xml:space="preserve">Marketing nas mídias sociais</t>
  </si>
  <si>
    <t xml:space="preserve">Marketing e negociação internacional</t>
  </si>
  <si>
    <t xml:space="preserve">Arquétipos de marca</t>
  </si>
  <si>
    <t xml:space="preserve">Avaliando as vendas do seu negócio</t>
  </si>
  <si>
    <t xml:space="preserve">Comunicação no processo de vendas para pequenos negócios</t>
  </si>
  <si>
    <t xml:space="preserve">Gestão estratégica para comércio eletrônico</t>
  </si>
  <si>
    <t xml:space="preserve">Reforma tributária</t>
  </si>
  <si>
    <t xml:space="preserve">Planejamento financeiro para acesso ao crédito</t>
  </si>
  <si>
    <t xml:space="preserve">Para onde vai meu dinheiro?</t>
  </si>
  <si>
    <t xml:space="preserve">Gestão financeira: parceria BNB</t>
  </si>
  <si>
    <t xml:space="preserve">Estratégia financeira para o crescimento</t>
  </si>
  <si>
    <t xml:space="preserve">Modelagem financeira para startups</t>
  </si>
  <si>
    <t xml:space="preserve">Captação de recursos: Descomplica</t>
  </si>
  <si>
    <t xml:space="preserve">Controle da movimentação financeira</t>
  </si>
  <si>
    <t xml:space="preserve">Fluxo de caixa como ferramenta de gestão para o seu negócio</t>
  </si>
  <si>
    <t xml:space="preserve">Renegociação de dívidas</t>
  </si>
  <si>
    <t xml:space="preserve">Fluxo de caixa para beleza</t>
  </si>
  <si>
    <t xml:space="preserve">Fluxo de caixa para moda</t>
  </si>
  <si>
    <t xml:space="preserve">Preço de vendas para beleza</t>
  </si>
  <si>
    <t xml:space="preserve">Preço de vendas para alimentação fora do lar</t>
  </si>
  <si>
    <t xml:space="preserve">Preço de vendas para moda</t>
  </si>
  <si>
    <t xml:space="preserve">Custos para produzir no campo</t>
  </si>
  <si>
    <t xml:space="preserve">Educação financeira empresarial</t>
  </si>
  <si>
    <t xml:space="preserve">Microcrédito consciente</t>
  </si>
  <si>
    <t xml:space="preserve">Iniciando um pequeno grande negócio</t>
  </si>
  <si>
    <t xml:space="preserve">Gratuito (reportagem)</t>
  </si>
  <si>
    <t xml:space="preserve">Nome visto em reportagem (catracalivre.com.br; data não conferida); pode ter mudado.</t>
  </si>
  <si>
    <t xml:space="preserve">Identidade empreendedora</t>
  </si>
  <si>
    <t xml:space="preserve">Transforme sua ideia em modelo de negócio</t>
  </si>
  <si>
    <t xml:space="preserve">Como validar o seu modelo de negócio</t>
  </si>
  <si>
    <t xml:space="preserve">Como elaborar um plano de negócio</t>
  </si>
  <si>
    <t xml:space="preserve">Viabilidade de negócios</t>
  </si>
  <si>
    <t xml:space="preserve">Como captar recursos para o seu negócio</t>
  </si>
  <si>
    <t xml:space="preserve">Como analisar o mercado</t>
  </si>
  <si>
    <t xml:space="preserve">Nome visto em reportagem de 2023 (concursosnobrasil.com); pode ter mudado.</t>
  </si>
  <si>
    <t xml:space="preserve">Como divulgar sua empresa</t>
  </si>
  <si>
    <t xml:space="preserve">Sua empresa nas redes sociais</t>
  </si>
  <si>
    <t xml:space="preserve">Formação de uma equipe de sucesso</t>
  </si>
  <si>
    <t xml:space="preserve">Recrutamento e seleção: como formar um time vencedor</t>
  </si>
  <si>
    <t xml:space="preserve">Atualização em empreendedorismo</t>
  </si>
  <si>
    <t xml:space="preserve">Como vender mais e melhor</t>
  </si>
  <si>
    <t xml:space="preserve">Análise de negócio: pesquisa de mercado</t>
  </si>
  <si>
    <t xml:space="preserve">O futuro das profissões</t>
  </si>
  <si>
    <t xml:space="preserve">Contrato de trabalho</t>
  </si>
  <si>
    <t xml:space="preserve">Empreendedorismo como opção de carreira</t>
  </si>
  <si>
    <t xml:space="preserve">Como agir de maneira empreendedora</t>
  </si>
  <si>
    <t xml:space="preserve">O mundo da educação no pós-pandemia</t>
  </si>
  <si>
    <t xml:space="preserve">Professor do futuro</t>
  </si>
  <si>
    <t xml:space="preserve">Design na empresa</t>
  </si>
  <si>
    <t xml:space="preserve">Professor empreendedor</t>
  </si>
  <si>
    <t xml:space="preserve">Pilares da gestão escolar: gestão pedagógica</t>
  </si>
  <si>
    <t xml:space="preserve">Plano de vida e carreira</t>
  </si>
  <si>
    <t xml:space="preserve">Economia criativa</t>
  </si>
  <si>
    <t xml:space="preserve">Planejamento: meu futuro profissional</t>
  </si>
  <si>
    <t xml:space="preserve">Como criar um site para sua empresa</t>
  </si>
  <si>
    <t xml:space="preserve">Como construir uma loja virtual</t>
  </si>
  <si>
    <t xml:space="preserve">Marketing digital para o empreendedor</t>
  </si>
  <si>
    <t xml:space="preserve">Administrando Banco de Dados</t>
  </si>
  <si>
    <t xml:space="preserve">Fundação Bradesco (Escola Virtual)</t>
  </si>
  <si>
    <t xml:space="preserve">Gratuito com certificado (página oficial)</t>
  </si>
  <si>
    <t xml:space="preserve">https://www.ev.org.br/cursos</t>
  </si>
  <si>
    <t xml:space="preserve">A página informa 61 cursos no total; só estes 12 apareceram para mim.</t>
  </si>
  <si>
    <t xml:space="preserve">AI-900: Fundamentos de IA no Azure</t>
  </si>
  <si>
    <t xml:space="preserve">Análise de Balanços</t>
  </si>
  <si>
    <t xml:space="preserve">Análise de Dados no Power BI</t>
  </si>
  <si>
    <t xml:space="preserve">Atendimento ao Público</t>
  </si>
  <si>
    <t xml:space="preserve">Como Conseguir um Novo Emprego</t>
  </si>
  <si>
    <t xml:space="preserve">Comunicação e Mobilização com IA</t>
  </si>
  <si>
    <t xml:space="preserve">Comunicação Empresarial</t>
  </si>
  <si>
    <t xml:space="preserve">Comunicação Escrita: Ortografia, Gramática e Texto</t>
  </si>
  <si>
    <t xml:space="preserve">Conceitos de Aprendizagem Criativa</t>
  </si>
  <si>
    <t xml:space="preserve">Construindo minha Proteção Financeira</t>
  </si>
  <si>
    <t xml:space="preserve">Contabilidade Empresarial</t>
  </si>
  <si>
    <t xml:space="preserve">Alimentos Funcionais</t>
  </si>
  <si>
    <t xml:space="preserve">SENAI-SP</t>
  </si>
  <si>
    <t xml:space="preserve">Confirmar no site</t>
  </si>
  <si>
    <t xml:space="preserve">https://www.sp.senai.br/cursos</t>
  </si>
  <si>
    <t xml:space="preserve">Página lista como EAD; se é gratuito, confirmar.</t>
  </si>
  <si>
    <t xml:space="preserve">Acelerando a transição para a economia circular</t>
  </si>
  <si>
    <t xml:space="preserve">Alinhamento Estratégico Aplicado à Gestão</t>
  </si>
  <si>
    <t xml:space="preserve">5S</t>
  </si>
  <si>
    <t xml:space="preserve">Presencial (São Paulo)</t>
  </si>
  <si>
    <t xml:space="preserve">Confirmar no site (curso livre pode ser pago)</t>
  </si>
  <si>
    <t xml:space="preserve">Unidade de São Paulo: vale para quem está no Sudeste.</t>
  </si>
  <si>
    <t xml:space="preserve">Acionamento Eletrônico de Máquinas Elétricas</t>
  </si>
  <si>
    <t xml:space="preserve">Adaptação de Moldes Industriais de Calças</t>
  </si>
  <si>
    <t xml:space="preserve">Adobe Photoshop</t>
  </si>
  <si>
    <t xml:space="preserve">Adaptação de Moldes Industriais de Blusas</t>
  </si>
  <si>
    <t xml:space="preserve">Administração de Sistemas ServiceNow (CSA)</t>
  </si>
  <si>
    <t xml:space="preserve">Ajustador mecânico</t>
  </si>
  <si>
    <t xml:space="preserve">Características Técnicas de Motores à Combustão Interna</t>
  </si>
  <si>
    <t xml:space="preserve">SENAI</t>
  </si>
  <si>
    <t xml:space="preserve">https://concursosnobrasil.com/educacao/2023/05/25/senai-oferece-mais-de-200-cursos-on-line-e-gratuitos-a-distancia/</t>
  </si>
  <si>
    <t xml:space="preserve">Nome visto em reportagem de 2023; carga horária não informada.</t>
  </si>
  <si>
    <t xml:space="preserve">Competência Transversal: Consumo Consciente de Energia</t>
  </si>
  <si>
    <t xml:space="preserve">Competência Transversal: Educação Ambiental</t>
  </si>
  <si>
    <t xml:space="preserve">Desvendando a Blockchain</t>
  </si>
  <si>
    <t xml:space="preserve">Desvendando a Indústria 4.0</t>
  </si>
  <si>
    <t xml:space="preserve">Economia Circular</t>
  </si>
  <si>
    <t xml:space="preserve">Empreender SENAI</t>
  </si>
  <si>
    <t xml:space="preserve">Excel Básico</t>
  </si>
  <si>
    <t xml:space="preserve">Metrologia Aplicada a Motores de Combustão Interna</t>
  </si>
  <si>
    <t xml:space="preserve">Preparação para o Mundo de Trabalho</t>
  </si>
  <si>
    <t xml:space="preserve">Privacidade e Proteção de Dados (LGPD)</t>
  </si>
  <si>
    <t xml:space="preserve">Técnicas de Retífica de Biela de Motores à Combustão Interna</t>
  </si>
  <si>
    <t xml:space="preserve">Técnico</t>
  </si>
  <si>
    <t xml:space="preserve">Técnico em Eletroeletrônica</t>
  </si>
  <si>
    <t xml:space="preserve">Nome visto em reportagem de 2023; carga horária não informada. Curso técnico: confirmar quem emite o diploma.</t>
  </si>
  <si>
    <t xml:space="preserve">Técnico em Logística</t>
  </si>
  <si>
    <t xml:space="preserve">Técnico em Mecânica</t>
  </si>
  <si>
    <t xml:space="preserve">Técnico em Redes de Computadores</t>
  </si>
  <si>
    <t xml:space="preserve">Veículos Elétricos e Híbridos</t>
  </si>
  <si>
    <t xml:space="preserve">A Precificação no Transporte Rodoviário de Cargas</t>
  </si>
  <si>
    <t xml:space="preserve">SEST SENAT</t>
  </si>
  <si>
    <t xml:space="preserve">https://concursosnobrasil.com/educacao/2022/04/28/sest-senat-oferece-160-cursos-online-gratuitos-veja-opcoes/</t>
  </si>
  <si>
    <t xml:space="preserve">Visto em reportagem de 2022; carga horária conforme a reportagem.</t>
  </si>
  <si>
    <t xml:space="preserve">Administração da Frota</t>
  </si>
  <si>
    <t xml:space="preserve">Comunicação Interpessoal e Atendimento ao Cliente</t>
  </si>
  <si>
    <t xml:space="preserve">Desbravando o Excel: passos iniciais</t>
  </si>
  <si>
    <t xml:space="preserve">Desenvolvimento de Lideranças</t>
  </si>
  <si>
    <t xml:space="preserve">Direção Segura</t>
  </si>
  <si>
    <t xml:space="preserve">Economia Criativa</t>
  </si>
  <si>
    <t xml:space="preserve">Educação Ambiental</t>
  </si>
  <si>
    <t xml:space="preserve">Educação Financeira</t>
  </si>
  <si>
    <t xml:space="preserve">eSocial: o que é e como utilizá-lo?</t>
  </si>
  <si>
    <t xml:space="preserve">Ética e Relacionamento no Trabalho</t>
  </si>
  <si>
    <t xml:space="preserve">Fórmulas e Gráficos no Excel</t>
  </si>
  <si>
    <t xml:space="preserve">Gestão de Marketing</t>
  </si>
  <si>
    <t xml:space="preserve">Redação Técnica</t>
  </si>
  <si>
    <t xml:space="preserve">Geografia e turismo</t>
  </si>
  <si>
    <t xml:space="preserve">Ministério do Turismo</t>
  </si>
  <si>
    <t xml:space="preserve">https://brasil61.com/n/mtur-abre-inscricoes-para-mais-de-20-cursos-gratuitos-na-area-do-turismo-bras214762</t>
  </si>
  <si>
    <t xml:space="preserve">Título aproximado (a reportagem foi lida em tradução); confirmar o nome exato no site.</t>
  </si>
  <si>
    <t xml:space="preserve">Turismo do vinho e desenvolvimento regional</t>
  </si>
  <si>
    <t xml:space="preserve">Higiene e controle de qualidade de alimentos</t>
  </si>
  <si>
    <t xml:space="preserve">Higiene e segurança em meios de hospedagem</t>
  </si>
  <si>
    <t xml:space="preserve">Libras</t>
  </si>
  <si>
    <t xml:space="preserve">Inglês</t>
  </si>
  <si>
    <t xml:space="preserve">Espanhol</t>
  </si>
  <si>
    <t xml:space="preserve">IA e Transformação Digital</t>
  </si>
  <si>
    <t xml:space="preserve">Escola Virtual de Governo (parceria Oxford)</t>
  </si>
  <si>
    <t xml:space="preserve">https://www.escolavirtual.gov.br/catalogo</t>
  </si>
  <si>
    <t xml:space="preserve">Plataforma voltada ao serviço público; aberta ao cidadão.</t>
  </si>
  <si>
    <t xml:space="preserve">Licitações e contratos no contexto da LGPD</t>
  </si>
  <si>
    <t xml:space="preserve">Escola Virtual de Governo (SGD)</t>
  </si>
  <si>
    <t xml:space="preserve">Programa</t>
  </si>
  <si>
    <t xml:space="preserve">SENAR Play: Agricultura Anual</t>
  </si>
  <si>
    <t xml:space="preserve">SENAR</t>
  </si>
  <si>
    <t xml:space="preserve">https://ead.senar.org.br/cursos</t>
  </si>
  <si>
    <t xml:space="preserve">Cadeia do filtro do SENAR Play (+250 cursos no total). Regiões marcadas: sugestão nossa, a conferir com dado de produção do IBGE.</t>
  </si>
  <si>
    <t xml:space="preserve">SENAR Play: Apicultura</t>
  </si>
  <si>
    <t xml:space="preserve">Cadeia do filtro do SENAR Play (+250 cursos no total).</t>
  </si>
  <si>
    <t xml:space="preserve">SENAR Play: Avicultura de Corte</t>
  </si>
  <si>
    <t xml:space="preserve">SENAR Play: Avicultura de Postura</t>
  </si>
  <si>
    <t xml:space="preserve">SENAR Play: Bovinocultura de Corte</t>
  </si>
  <si>
    <t xml:space="preserve">SENAR Play: Bovinocultura de Leite</t>
  </si>
  <si>
    <t xml:space="preserve">SENAR Play: Cacauicultura</t>
  </si>
  <si>
    <t xml:space="preserve">SENAR Play: Cafeicultura</t>
  </si>
  <si>
    <t xml:space="preserve">SENAR Play: Caprinocultura de Corte</t>
  </si>
  <si>
    <t xml:space="preserve">SENAR Play: Caprinocultura de Leite</t>
  </si>
  <si>
    <t xml:space="preserve">SENAR Play: Carcinocultura</t>
  </si>
  <si>
    <t xml:space="preserve">SENAR Play: Equideocultura</t>
  </si>
  <si>
    <t xml:space="preserve">SENAR Play: Floricultura</t>
  </si>
  <si>
    <t xml:space="preserve">SENAR Play: Forragicultura</t>
  </si>
  <si>
    <t xml:space="preserve">SENAR Play: Fruticultura</t>
  </si>
  <si>
    <t xml:space="preserve">SENAR Play: Meliponicultura</t>
  </si>
  <si>
    <t xml:space="preserve">SENAR Play: Olericultura</t>
  </si>
  <si>
    <t xml:space="preserve">SENAR Play: Ovinocultura de Corte</t>
  </si>
  <si>
    <t xml:space="preserve">SENAR Play: Ovinocultura de Leite</t>
  </si>
  <si>
    <t xml:space="preserve">SENAR Play: Piscicultura</t>
  </si>
  <si>
    <t xml:space="preserve">SENAR Play: Silvicultura</t>
  </si>
  <si>
    <t xml:space="preserve">SENAR Play: Suinocultura</t>
  </si>
  <si>
    <t xml:space="preserve">SENAR Play: Administração Rural</t>
  </si>
  <si>
    <t xml:space="preserve">Área do filtro do SENAR Play (+250 cursos no total).</t>
  </si>
  <si>
    <t xml:space="preserve">SENAR Play: Agroindústria</t>
  </si>
  <si>
    <t xml:space="preserve">SENAR Play: Aquicultura</t>
  </si>
  <si>
    <t xml:space="preserve">SENAR Play: Cereais, fibras e oleaginosas</t>
  </si>
  <si>
    <t xml:space="preserve">SENAR Play: Construções Rurais</t>
  </si>
  <si>
    <t xml:space="preserve">SENAR Play: Inteligência Artificial</t>
  </si>
  <si>
    <t xml:space="preserve">SENAR Play: Irrigação</t>
  </si>
  <si>
    <t xml:space="preserve">SENAR Play: Manejo e conservação do solo</t>
  </si>
  <si>
    <t xml:space="preserve">SENAR Play: Mecanização</t>
  </si>
  <si>
    <t xml:space="preserve">SENAR Play: Meio Ambiente</t>
  </si>
  <si>
    <t xml:space="preserve">SENAR Play: Produção Animal</t>
  </si>
  <si>
    <t xml:space="preserve">SENAR Play: Produção em Sistemas Agrossilvipastoris</t>
  </si>
  <si>
    <t xml:space="preserve">SENAR Play: Produção Florestal</t>
  </si>
  <si>
    <t xml:space="preserve">SENAR Play: Produção Orgânica</t>
  </si>
  <si>
    <t xml:space="preserve">SENAR Play: Produção Vegetal</t>
  </si>
  <si>
    <t xml:space="preserve">SENAR Play: Promoção Social</t>
  </si>
  <si>
    <t xml:space="preserve">SENAR Play: Saúde e Segurança do Trabalho Rural</t>
  </si>
  <si>
    <t xml:space="preserve">SENAR Play: Seguro Rural</t>
  </si>
  <si>
    <t xml:space="preserve">SENAR Play: Solos</t>
  </si>
  <si>
    <t xml:space="preserve">SENAR Play: Tecnologia e Inovação</t>
  </si>
  <si>
    <t xml:space="preserve">SENAR Play: Turismo Rural</t>
  </si>
  <si>
    <t xml:space="preserve">Senac EAD gratuito: Administração</t>
  </si>
  <si>
    <t xml:space="preserve">Senac</t>
  </si>
  <si>
    <t xml:space="preserve">Gratuito com limite de renda (reportagem)</t>
  </si>
  <si>
    <t xml:space="preserve">https://www.ead.senac.br/gratuito/</t>
  </si>
  <si>
    <t xml:space="preserve">Reportagem diz 64 áreas; renda familiar per capita até 2 salários mínimos. O site do Senac não abriu para mim (bloqueio de leitura automática).</t>
  </si>
  <si>
    <t xml:space="preserve">Senac EAD gratuito: Saúde</t>
  </si>
  <si>
    <t xml:space="preserve">Senac EAD gratuito: Marketing</t>
  </si>
  <si>
    <t xml:space="preserve">Senac EAD gratuito: Gastronomia</t>
  </si>
  <si>
    <t xml:space="preserve">Senac EAD gratuito: Turismo</t>
  </si>
  <si>
    <t xml:space="preserve">Senac EAD gratuito: Vendas</t>
  </si>
  <si>
    <t xml:space="preserve">Senac EAD gratuito: Recursos Humanos</t>
  </si>
  <si>
    <t xml:space="preserve">Senac EAD gratuito: Idiomas</t>
  </si>
  <si>
    <t xml:space="preserve">Senac EAD gratuito: Tecnologia da Informação</t>
  </si>
  <si>
    <t xml:space="preserve">As 5 regiões do Brasil</t>
  </si>
  <si>
    <t xml:space="preserve">Participação no PIB de 2023 do IBGE. O perfil vem das páginas listadas na aba Fontes.</t>
  </si>
  <si>
    <t xml:space="preserve">Região</t>
  </si>
  <si>
    <t xml:space="preserve">Participação no PIB 2023</t>
  </si>
  <si>
    <t xml:space="preserve">Estados que mais pesam</t>
  </si>
  <si>
    <t xml:space="preserve">Perfil econômico</t>
  </si>
  <si>
    <t xml:space="preserve">De onde vem</t>
  </si>
  <si>
    <t xml:space="preserve">Amazonas 1,5% do PIB do país; Amapá 0,3%</t>
  </si>
  <si>
    <t xml:space="preserve">Indústria da Zona Franca de Manaus (eletroeletrônicos, químicos, bens de consumo), extrativismo vegetal e mineral, agropecuária e administração pública.</t>
  </si>
  <si>
    <t xml:space="preserve">IBGE Contas Regionais 2023 (página aberta); perfil: todamateria.com.br e querobolsa.com.br (páginas abertas).</t>
  </si>
  <si>
    <t xml:space="preserve">Bahia, Ceará, Pernambuco (turismo); Pernambuco no refino de petróleo</t>
  </si>
  <si>
    <t xml:space="preserve">Turismo (53% das viagens de verão 2024/25 miravam a região: BA 19%, CE 12%, PE 6%, AL 6%), agricultura (cana, algodão) e pecuária, refino de petróleo, petroquímica em Camaçari, têxtil, geração eólica.</t>
  </si>
  <si>
    <t xml:space="preserve">IBGE 2023 e movimentoeconomico.com.br (páginas abertas); turismo: pesquisa Nexus para o Ministério do Turismo (out/2024); eólica: O Povo (abr/2025).</t>
  </si>
  <si>
    <t xml:space="preserve">Mato Grosso 2,5% e Mato Grosso do Sul 1,7% do PIB do país</t>
  </si>
  <si>
    <t xml:space="preserve">Agropecuária dominante (soja), geração hidrelétrica, agroindústria de alimentos; indústria em expansão.</t>
  </si>
  <si>
    <t xml:space="preserve">IBGE Contas Regionais 2023 (página aberta); agroindústria: todamateria.com.br (página aberta).</t>
  </si>
  <si>
    <t xml:space="preserve">São Paulo 31,5% (serviços financeiros e outros serviços); Rio de Janeiro 10,7% (petróleo e gás)</t>
  </si>
  <si>
    <t xml:space="preserve">Maior economia: serviços e indústria diversificada; a indústria é a atividade que mais emprega; agricultura também desenvolvida.</t>
  </si>
  <si>
    <t xml:space="preserve">IBGE Contas Regionais 2023 (página aberta); emprego industrial: querobolsa.com.br (página escolar, menos forte como fonte).</t>
  </si>
  <si>
    <t xml:space="preserve">Santa Catarina 4,7% do PIB do país</t>
  </si>
  <si>
    <t xml:space="preserve">Três pilares: agropecuária, indústria (transformação) e serviços; polo exportador pela ligação com o Mercosul.</t>
  </si>
  <si>
    <t xml:space="preserve">IBGE Contas Regionais 2023 (página aberta); perfil: querobolsa.com.br e todamateria.com.br (páginas abertas).</t>
  </si>
  <si>
    <t xml:space="preserve">Soma</t>
  </si>
  <si>
    <t xml:space="preserve">Confere com 100%: valores do IBGE (Agência de Notícias, PIB 2023).</t>
  </si>
  <si>
    <t xml:space="preserve">Prioridade de cursos por região e setor</t>
  </si>
  <si>
    <t xml:space="preserve">Alta, Média ou Baixa. É avaliação nossa a partir das fontes da aba Regiões; toque na célula para mudar. As demais abas leem esta tabela.</t>
  </si>
  <si>
    <t xml:space="preserve">Alta</t>
  </si>
  <si>
    <t xml:space="preserve">Média</t>
  </si>
  <si>
    <t xml:space="preserve">De onde vem a avaliação</t>
  </si>
  <si>
    <t xml:space="preserve">Base nas fontes (Manaus; indústria que mais emprega no Sudeste; Sul industrial).</t>
  </si>
  <si>
    <t xml:space="preserve">Base nas fontes (soja no Centro-Oeste; agropecuária no Sul; cana e pecuária no Nordeste).</t>
  </si>
  <si>
    <t xml:space="preserve">Avaliação nossa; no Norte pela eletroeletrônica de Manaus, no Nordeste pela energia eólica.</t>
  </si>
  <si>
    <t xml:space="preserve">Base na fonte só para o Nordeste (pesquisa MTur); nas demais, avaliação nossa.</t>
  </si>
  <si>
    <t xml:space="preserve">Avaliação nossa (serviços pesam em todas as regiões; SP lidera em serviços).</t>
  </si>
  <si>
    <t xml:space="preserve">Transversal: vale para todas as regiões.</t>
  </si>
  <si>
    <t xml:space="preserve">Avaliação nossa, ligada a escoamento da safra e da indústria.</t>
  </si>
  <si>
    <t xml:space="preserve">Avaliação nossa, sem fonte aberta: todas Média até termos dado.</t>
  </si>
  <si>
    <t xml:space="preserve">Matching: 20 perguntas ao candidato e 20 correspondentes na vaga</t>
  </si>
  <si>
    <t xml:space="preserve">Cada pergunta do candidato tem a sua gêmea na vaga. A regra diz como comparar (nota de 0 a 1) e o peso diz quanto vale. Pesos são ponto de partida: letra azul, pode mudar.</t>
  </si>
  <si>
    <t xml:space="preserve">Bloco</t>
  </si>
  <si>
    <t xml:space="preserve">Tema</t>
  </si>
  <si>
    <t xml:space="preserve">Pergunta ao candidato (toque ou voz)</t>
  </si>
  <si>
    <t xml:space="preserve">Respostas do candidato</t>
  </si>
  <si>
    <t xml:space="preserve">Pergunta na vaga (empresa)</t>
  </si>
  <si>
    <t xml:space="preserve">Respostas da empresa</t>
  </si>
  <si>
    <t xml:space="preserve">Como compara (nota de 0 a 1)</t>
  </si>
  <si>
    <t xml:space="preserve">Se não combinar</t>
  </si>
  <si>
    <t xml:space="preserve">Peso (1 a 5)</t>
  </si>
  <si>
    <t xml:space="preserve">A. Logística</t>
  </si>
  <si>
    <t xml:space="preserve">Local e deslocamento</t>
  </si>
  <si>
    <t xml:space="preserve">Onde você mora? E quanto tempo aceita gastar para chegar ao trabalho? Como você vai?</t>
  </si>
  <si>
    <t xml:space="preserve">Localização (CEP ou 'usar onde estou'); tempo: 15 / 30 / 45 / 60 / 90 min ou mais; meio: a pé, bicicleta, moto, ônibus, carro.</t>
  </si>
  <si>
    <t xml:space="preserve">Onde fica o posto de trabalho? A empresa dá transporte ou vale-transporte?</t>
  </si>
  <si>
    <t xml:space="preserve">CEP do local; transporte da empresa: sim / não; vale-transporte: sim / não.</t>
  </si>
  <si>
    <t xml:space="preserve">Tempo estimado de casa ao trabalho no meio escolhido (aba Geografia). Dentro do limite = 1; até 20% acima = 0,5; acima = 0.</t>
  </si>
  <si>
    <t xml:space="preserve">Filtro do candidato</t>
  </si>
  <si>
    <t xml:space="preserve">Onde prefere trabalhar? (pode marcar mais de uma)</t>
  </si>
  <si>
    <t xml:space="preserve">Presencial; híbrido; de casa.</t>
  </si>
  <si>
    <t xml:space="preserve">A vaga é presencial, híbrida ou remota?</t>
  </si>
  <si>
    <t xml:space="preserve">Presencial; híbrida; remota.</t>
  </si>
  <si>
    <t xml:space="preserve">Vaga dentro do que a pessoa aceita = 1; híbrido contra presencial ou remoto = 0,5; fora = 0.</t>
  </si>
  <si>
    <t xml:space="preserve">Turno e escala</t>
  </si>
  <si>
    <t xml:space="preserve">Em quais turnos você pode trabalhar?</t>
  </si>
  <si>
    <t xml:space="preserve">Manhã; tarde; noite; madrugada; fins de semana; feriados; escala 12x36.</t>
  </si>
  <si>
    <t xml:space="preserve">Qual o turno e a escala da vaga?</t>
  </si>
  <si>
    <t xml:space="preserve">Os mesmos turnos, mais escala 12x36 e carga semanal.</t>
  </si>
  <si>
    <t xml:space="preserve">Todos os turnos da vaga cobertos = 1; parte coberta = 0,5; nenhum = 0.</t>
  </si>
  <si>
    <t xml:space="preserve">Tipo de contrato</t>
  </si>
  <si>
    <t xml:space="preserve">Que tipo de contrato você aceita?</t>
  </si>
  <si>
    <t xml:space="preserve">CLT; estágio; jovem aprendiz; temporário; diária ou freelancer; MEI ou PJ.</t>
  </si>
  <si>
    <t xml:space="preserve">Qual o tipo de contrato?</t>
  </si>
  <si>
    <t xml:space="preserve">Contrato aceito pela pessoa = 1; senão 0.</t>
  </si>
  <si>
    <t xml:space="preserve">Salário e benefícios</t>
  </si>
  <si>
    <t xml:space="preserve">Quanto você precisa ganhar por mês?</t>
  </si>
  <si>
    <t xml:space="preserve">Faixas de toque (a combinar, ou escolher a faixa); benefícios que importam: vale-transporte, refeição, plano de saúde.</t>
  </si>
  <si>
    <t xml:space="preserve">Qual a faixa de salário e os benefícios?</t>
  </si>
  <si>
    <t xml:space="preserve">Faixa de salário; benefícios: vale-transporte, refeição, plano, comissão.</t>
  </si>
  <si>
    <t xml:space="preserve">Faixas se encontram = 1; vaga até 10% abaixo do que a pessoa precisa = 0,5; mais que isso = 0.</t>
  </si>
  <si>
    <t xml:space="preserve">Quando começar</t>
  </si>
  <si>
    <t xml:space="preserve">Quando você pode começar?</t>
  </si>
  <si>
    <t xml:space="preserve">Já; em 15 dias; em 30 dias; depois.</t>
  </si>
  <si>
    <t xml:space="preserve">Para quando a vaga precisa de alguém?</t>
  </si>
  <si>
    <t xml:space="preserve">Urgente; em 15 dias; em 30 dias; sem pressa.</t>
  </si>
  <si>
    <t xml:space="preserve">Pessoa começa até a data pedida = 1; atraso de até 15 dias = 0,5; mais = 0.</t>
  </si>
  <si>
    <t xml:space="preserve">Só pontua</t>
  </si>
  <si>
    <t xml:space="preserve">Estudo junto com o trabalho</t>
  </si>
  <si>
    <t xml:space="preserve">Quer estudar junto com o trabalho? Como?</t>
  </si>
  <si>
    <t xml:space="preserve">Não; a distância (EAD); presencial; os dois. Horários livres para estudar.</t>
  </si>
  <si>
    <t xml:space="preserve">A empresa apoia o estudo?</t>
  </si>
  <si>
    <t xml:space="preserve">Não; horário flexível; paga curso ou bolsa; tem curso interno.</t>
  </si>
  <si>
    <t xml:space="preserve">Quer estudar e a empresa apoia = 1; tanto faz = 0,5; querem coisas opostas = 0. Se o curso é presencial, entra a distância casa, estudo e trabalho (aba Geografia).</t>
  </si>
  <si>
    <t xml:space="preserve">B. Função e preparo</t>
  </si>
  <si>
    <t xml:space="preserve">Função desejada</t>
  </si>
  <si>
    <t xml:space="preserve">Que tipo de trabalho você procura? (fale ou escolha até 3)</t>
  </si>
  <si>
    <t xml:space="preserve">Busca por voz ou lista de ocupações, agrupada por área.</t>
  </si>
  <si>
    <t xml:space="preserve">Qual a função da vaga?</t>
  </si>
  <si>
    <t xml:space="preserve">A mesma lista de ocupações.</t>
  </si>
  <si>
    <t xml:space="preserve">Mesma função = 1; função da mesma família = 0,6; mesma área = 0,3; outra = 0.</t>
  </si>
  <si>
    <t xml:space="preserve">Experiência</t>
  </si>
  <si>
    <t xml:space="preserve">Quanto tempo de experiência você tem nessa função?</t>
  </si>
  <si>
    <t xml:space="preserve">Nenhuma; até 1 ano; 1 a 3 anos; 3 a 5 anos; mais de 5 anos.</t>
  </si>
  <si>
    <t xml:space="preserve">Qual experiência a vaga exige? A empresa treina quem não tem?</t>
  </si>
  <si>
    <t xml:space="preserve">Nenhuma; até 1 ano; 1 a 3; 3 a 5; mais de 5. Marcar 'treinamos'.</t>
  </si>
  <si>
    <t xml:space="preserve">Experiência igual ou maior = 1; um nível abaixo = 0,5; mais abaixo = 0. Se a empresa marcou 'treinamos', quem não tem experiência pontua 0,8. Primeiro emprego nunca é penalizado em vaga que aceita sem experiência.</t>
  </si>
  <si>
    <t xml:space="preserve">Obrigatória só se a empresa marcar</t>
  </si>
  <si>
    <t xml:space="preserve">Escolaridade</t>
  </si>
  <si>
    <t xml:space="preserve">Até onde você estudou?</t>
  </si>
  <si>
    <t xml:space="preserve">Fundamental incompleto ou completo; médio incompleto ou completo; técnico; superior cursando ou completo; pós.</t>
  </si>
  <si>
    <t xml:space="preserve">Qual a escolaridade mínima?</t>
  </si>
  <si>
    <t xml:space="preserve">A mesma escala, mais 'aceita quem está cursando'.</t>
  </si>
  <si>
    <t xml:space="preserve">Nível igual ou maior = 1; cursando e a vaga aceita = 0,7; um nível abaixo = 0,4; mais abaixo = 0.</t>
  </si>
  <si>
    <t xml:space="preserve">Habilidades</t>
  </si>
  <si>
    <t xml:space="preserve">Marque até 5 coisas que você faz bem.</t>
  </si>
  <si>
    <t xml:space="preserve">Lista por área (atender, vender, cozinhar, operar caixa, organizar estoque, dirigir, consertar, desenhar, ensinar...).</t>
  </si>
  <si>
    <t xml:space="preserve">Marque até 5 habilidades essenciais para a vaga.</t>
  </si>
  <si>
    <t xml:space="preserve">A mesma lista.</t>
  </si>
  <si>
    <t xml:space="preserve">Quantas das habilidades da vaga a pessoa tem, dividido pelo total da vaga.</t>
  </si>
  <si>
    <t xml:space="preserve">Ferramentas e equipamentos</t>
  </si>
  <si>
    <t xml:space="preserve">Quais máquinas, programas ou equipamentos você sabe usar?</t>
  </si>
  <si>
    <t xml:space="preserve">Lista por área (caixa e maquininha, Excel, empilhadeira, forno, furadeira, WhatsApp comercial...).</t>
  </si>
  <si>
    <t xml:space="preserve">O que a pessoa vai usar no dia a dia?</t>
  </si>
  <si>
    <t xml:space="preserve">Quantas das ferramentas da vaga a pessoa conhece, dividido pelo total.</t>
  </si>
  <si>
    <t xml:space="preserve">Habilitações e certificados</t>
  </si>
  <si>
    <t xml:space="preserve">Você tem CNH, NR, registro profissional ou algum certificado? (inclui os cursos do Vem Trabalhar)</t>
  </si>
  <si>
    <t xml:space="preserve">CNH e categoria; NRs; registro de conselho; certificados do app (com código de conferência).</t>
  </si>
  <si>
    <t xml:space="preserve">A vaga exige alguma habilitação por lei ou por segurança?</t>
  </si>
  <si>
    <t xml:space="preserve">Só o que for exigido por lei ou segurança.</t>
  </si>
  <si>
    <t xml:space="preserve">Tem tudo que é exigido = 1; falta algo = 0 e aparece o curso que resolve.</t>
  </si>
  <si>
    <t xml:space="preserve">Obrigatória (só exigência legal)</t>
  </si>
  <si>
    <t xml:space="preserve">Idiomas</t>
  </si>
  <si>
    <t xml:space="preserve">Você fala outro idioma? Qual o nível?</t>
  </si>
  <si>
    <t xml:space="preserve">Nenhum; básico; médio; fluente (inglês, espanhol, Libras, outro).</t>
  </si>
  <si>
    <t xml:space="preserve">A vaga precisa de algum idioma?</t>
  </si>
  <si>
    <t xml:space="preserve">Idioma e nível.</t>
  </si>
  <si>
    <t xml:space="preserve">Nível igual ou maior = 1; um abaixo = 0,5; mais abaixo = 0.</t>
  </si>
  <si>
    <t xml:space="preserve">C. Jeito de trabalhar</t>
  </si>
  <si>
    <t xml:space="preserve">Ambiente</t>
  </si>
  <si>
    <t xml:space="preserve">Onde você gosta de trabalhar?</t>
  </si>
  <si>
    <t xml:space="preserve">Ao ar livre; balcão ou loja; cozinha; escritório; fábrica; estrada; obra.</t>
  </si>
  <si>
    <t xml:space="preserve">Onde a pessoa vai trabalhar?</t>
  </si>
  <si>
    <t xml:space="preserve">Os mesmos ambientes.</t>
  </si>
  <si>
    <t xml:space="preserve">Mesmo ambiente = 1; ambiente parecido = 0,5; outro = 0.</t>
  </si>
  <si>
    <t xml:space="preserve">Ritmo</t>
  </si>
  <si>
    <t xml:space="preserve">Que ritmo de trabalho você prefere?</t>
  </si>
  <si>
    <t xml:space="preserve">Tranquilo; moderado; acelerado (muito movimento, meta).</t>
  </si>
  <si>
    <t xml:space="preserve">Qual o ritmo da vaga?</t>
  </si>
  <si>
    <t xml:space="preserve">Tranquilo; moderado; acelerado.</t>
  </si>
  <si>
    <t xml:space="preserve">Igual = 1; um nível de diferença = 0,5; dois níveis = 0.</t>
  </si>
  <si>
    <t xml:space="preserve">Equipe</t>
  </si>
  <si>
    <t xml:space="preserve">Como você prefere trabalhar?</t>
  </si>
  <si>
    <t xml:space="preserve">Sozinho; em dupla; em equipe.</t>
  </si>
  <si>
    <t xml:space="preserve">Como é o trabalho na vaga? Com quem a pessoa trabalha?</t>
  </si>
  <si>
    <t xml:space="preserve">Individual; em dupla; em equipe. Tamanho da equipe e quem é o gestor.</t>
  </si>
  <si>
    <t xml:space="preserve">Igual = 1; vizinho = 0,5; oposto = 0.</t>
  </si>
  <si>
    <t xml:space="preserve">Contato com o público</t>
  </si>
  <si>
    <t xml:space="preserve">Você gosta de falar com clientes?</t>
  </si>
  <si>
    <t xml:space="preserve">Gosto muito; tanto faz; prefiro não.</t>
  </si>
  <si>
    <t xml:space="preserve">Quanto contato com cliente a vaga tem?</t>
  </si>
  <si>
    <t xml:space="preserve">Muito; pouco; nenhum.</t>
  </si>
  <si>
    <t xml:space="preserve">Proximidade entre as duas respostas (igual = 1; um nível = 0,5; oposto = 0).</t>
  </si>
  <si>
    <t xml:space="preserve">Esforço físico</t>
  </si>
  <si>
    <t xml:space="preserve">Que tipo de esforço você prefere no dia a dia?</t>
  </si>
  <si>
    <t xml:space="preserve">Mais leve; médio; pesado. É preferência, não pergunta de saúde.</t>
  </si>
  <si>
    <t xml:space="preserve">Qual o esforço físico da vaga? (ficar em pé, carregar peso)</t>
  </si>
  <si>
    <t xml:space="preserve">Leve; médio; pesado.</t>
  </si>
  <si>
    <t xml:space="preserve">Preferência da pessoa igual ou maior que o esforço da vaga = 1; um nível abaixo = 0,5; mais = 0. Pessoa com deficiência é tratada à parte, com consentimento.</t>
  </si>
  <si>
    <t xml:space="preserve">Crescimento</t>
  </si>
  <si>
    <t xml:space="preserve">O que você busca agora?</t>
  </si>
  <si>
    <t xml:space="preserve">Aprender uma profissão; crescer na empresa; estabilidade; renda extra.</t>
  </si>
  <si>
    <t xml:space="preserve">O que a empresa oferece?</t>
  </si>
  <si>
    <t xml:space="preserve">Treinamento; plano de carreira; efetivação; renda extra.</t>
  </si>
  <si>
    <t xml:space="preserve">Igual = 1; parcial = 0,5; sem relação = 0.</t>
  </si>
  <si>
    <t xml:space="preserve">Perguntas</t>
  </si>
  <si>
    <t xml:space="preserve">Soma dos pesos</t>
  </si>
  <si>
    <t xml:space="preserve">Filtro do candidato: a vaga some da lista dele quando contraria um 'não' que ele mesmo marcou. Quem decide é ele, não o sistema.</t>
  </si>
  <si>
    <t xml:space="preserve">Obrigatória só se a empresa marcar: a empresa pode marcar até 3 perguntas como obrigatórias. Quem não atende aparece com o aviso 'não atende' e a empresa decide se abre ou não. Nada é escondido da empresa nem descartado sozinho.</t>
  </si>
  <si>
    <t xml:space="preserve">Dado que a empresa deixa em branco não entra na conta (o peso daquele par sai do total).</t>
  </si>
  <si>
    <t xml:space="preserve">Sinal 21, opcional: o teste de jeito de ser (aba Perfil) só entra se a pessoa autorizar e a empresa pedir. Nunca elimina.</t>
  </si>
  <si>
    <t xml:space="preserve">A pessoa vê a nota, os 3 pares que mais tiraram pontos e o curso que melhoraria cada um.</t>
  </si>
  <si>
    <t xml:space="preserve">Raça, religião, estado civil, filhos, idade, foto e saúde não fazem parte de nenhum par.</t>
  </si>
  <si>
    <t xml:space="preserve">Exemplo de nota do matching (candidato e vaga inventados)</t>
  </si>
  <si>
    <t xml:space="preserve">Candidata de exemplo: procura balcão ou caixa, tem 1 ano de experiência, aceita CLT, pode à tarde e à noite. Vaga: atendente de padaria. Troque os números amarelos para ver a nota mudar.</t>
  </si>
  <si>
    <t xml:space="preserve">Obrigatória não atende abaixo de</t>
  </si>
  <si>
    <t xml:space="preserve">Faixa 'Muito boa' a partir de</t>
  </si>
  <si>
    <t xml:space="preserve">Faixa 'Boa' a partir de</t>
  </si>
  <si>
    <t xml:space="preserve">Faixa 'Possível' a partir de</t>
  </si>
  <si>
    <t xml:space="preserve">Peso</t>
  </si>
  <si>
    <t xml:space="preserve">Aplica?</t>
  </si>
  <si>
    <t xml:space="preserve">Nota (0 a 1)</t>
  </si>
  <si>
    <t xml:space="preserve">Obrigatória?</t>
  </si>
  <si>
    <t xml:space="preserve">Pontos</t>
  </si>
  <si>
    <t xml:space="preserve">Peso usado</t>
  </si>
  <si>
    <t xml:space="preserve">Perda (aux.)</t>
  </si>
  <si>
    <t xml:space="preserve">Alerta</t>
  </si>
  <si>
    <t xml:space="preserve">Sim</t>
  </si>
  <si>
    <t xml:space="preserve">Não</t>
  </si>
  <si>
    <t xml:space="preserve">Nota do match</t>
  </si>
  <si>
    <t xml:space="preserve">Faixa</t>
  </si>
  <si>
    <t xml:space="preserve">Atende todas as obrigatórias?</t>
  </si>
  <si>
    <t xml:space="preserve">Onde mais perdeu pontos (mostrar à pessoa)</t>
  </si>
  <si>
    <t xml:space="preserve">A coluna 'Perda (aux.)' soma uma fração minúscula da linha só para desempatar.</t>
  </si>
  <si>
    <t xml:space="preserve">Geografia: casa, trabalho e local de estudo</t>
  </si>
  <si>
    <t xml:space="preserve">Distância em linha reta, corrigida por um fator de rua, mais a espera do meio de transporte. É estimativa; depois trocamos por rota de verdade.</t>
  </si>
  <si>
    <t xml:space="preserve">Meio de deslocamento</t>
  </si>
  <si>
    <t xml:space="preserve">Velocidade média (km/h)</t>
  </si>
  <si>
    <t xml:space="preserve">Espera e preparo (min)</t>
  </si>
  <si>
    <t xml:space="preserve">A pé</t>
  </si>
  <si>
    <t xml:space="preserve">Bicicleta</t>
  </si>
  <si>
    <t xml:space="preserve">Moto</t>
  </si>
  <si>
    <t xml:space="preserve">Ônibus</t>
  </si>
  <si>
    <t xml:space="preserve">Carro</t>
  </si>
  <si>
    <t xml:space="preserve">Fator de rota (a rua não é linha reta)</t>
  </si>
  <si>
    <t xml:space="preserve">Tempo máximo que a pessoa aceita (min)</t>
  </si>
  <si>
    <t xml:space="preserve">Meio escolhido</t>
  </si>
  <si>
    <t xml:space="preserve">O curso é</t>
  </si>
  <si>
    <t xml:space="preserve">Presencial</t>
  </si>
  <si>
    <t xml:space="preserve">Tempo máximo até o local de estudo (min)</t>
  </si>
  <si>
    <t xml:space="preserve">Ponto (coordenadas de exemplo)</t>
  </si>
  <si>
    <t xml:space="preserve">Latitude</t>
  </si>
  <si>
    <t xml:space="preserve">Longitude</t>
  </si>
  <si>
    <t xml:space="preserve">Casa (bairro, arredondado)</t>
  </si>
  <si>
    <t xml:space="preserve">Trabalho</t>
  </si>
  <si>
    <t xml:space="preserve">Local de estudo</t>
  </si>
  <si>
    <t xml:space="preserve">Trecho</t>
  </si>
  <si>
    <t xml:space="preserve">Distância em linha reta (km)</t>
  </si>
  <si>
    <t xml:space="preserve">Tempo no meio escolhido (min)</t>
  </si>
  <si>
    <t xml:space="preserve">Casa → Trabalho</t>
  </si>
  <si>
    <t xml:space="preserve">Casa → Local de estudo</t>
  </si>
  <si>
    <t xml:space="preserve">Local de estudo → Trabalho</t>
  </si>
  <si>
    <t xml:space="preserve">Nota do estudo (curso perto de casa ou do trabalho)</t>
  </si>
  <si>
    <t xml:space="preserve">Casa → Trabalho em cada meio</t>
  </si>
  <si>
    <t xml:space="preserve">Tempo (min)</t>
  </si>
  <si>
    <t xml:space="preserve">A nota casa → trabalho alimenta o par 1 do Matching; a nota do estudo alimenta o par 7. Se o curso é EAD, a nota do estudo é 1: não importa onde a pessoa mora.</t>
  </si>
  <si>
    <t xml:space="preserve">Privacidade: guardamos a coordenada arredondada (cerca de 500 m), nunca o endereço exato, até a pessoa aceitar mostrar à empresa.</t>
  </si>
  <si>
    <t xml:space="preserve">As coordenadas acima são só um exemplo (Fortaleza, aproximadas). Velocidades e esperas são premissas nossas, a calibrar com dados reais.</t>
  </si>
  <si>
    <t xml:space="preserve">Para virar o CEP em coordenada o app precisa de um serviço de endereços; é a mesma peça que a entrega por CEP do Vem Comer vai usar.</t>
  </si>
  <si>
    <t xml:space="preserve">Telas de entrada: tudo de tocar</t>
  </si>
  <si>
    <t xml:space="preserve">Candidato, funcionário e empresa entram pelo mesmo caminho. A coluna 'Base legal' diz por que cada dado é pedido.</t>
  </si>
  <si>
    <t xml:space="preserve">Ordem</t>
  </si>
  <si>
    <t xml:space="preserve">Tela</t>
  </si>
  <si>
    <t xml:space="preserve">O que a pessoa vê</t>
  </si>
  <si>
    <t xml:space="preserve">Como responde</t>
  </si>
  <si>
    <t xml:space="preserve">Opções</t>
  </si>
  <si>
    <t xml:space="preserve">Obrigatório?</t>
  </si>
  <si>
    <t xml:space="preserve">Para quê</t>
  </si>
  <si>
    <t xml:space="preserve">Base legal (confirmar com advogado)</t>
  </si>
  <si>
    <t xml:space="preserve">Vai para a empresa?</t>
  </si>
  <si>
    <t xml:space="preserve">Entrar</t>
  </si>
  <si>
    <t xml:space="preserve">Qual o seu celular?</t>
  </si>
  <si>
    <t xml:space="preserve">Digitar o número (ou falar). Código por mensagem.</t>
  </si>
  <si>
    <t xml:space="preserve">-</t>
  </si>
  <si>
    <t xml:space="preserve">Criar a conta e avisar de vaga.</t>
  </si>
  <si>
    <t xml:space="preserve">Execução do serviço</t>
  </si>
  <si>
    <t xml:space="preserve">Quem é você</t>
  </si>
  <si>
    <t xml:space="preserve">O que você quer agora?</t>
  </si>
  <si>
    <t xml:space="preserve">Um toque</t>
  </si>
  <si>
    <t xml:space="preserve">Procuro emprego; Quero estágio ou jovem aprendiz; Já trabalho e quero crescer; Sou autônomo ou MEI; Sou empresa</t>
  </si>
  <si>
    <t xml:space="preserve">Abrir o caminho certo (candidato, funcionário ou empresa).</t>
  </si>
  <si>
    <t xml:space="preserve">Onde você está</t>
  </si>
  <si>
    <t xml:space="preserve">Onde você mora?</t>
  </si>
  <si>
    <t xml:space="preserve">Um toque em 'usar onde estou' ou digitar o CEP</t>
  </si>
  <si>
    <t xml:space="preserve">Guardamos só a região do bairro (arredondada)</t>
  </si>
  <si>
    <t xml:space="preserve">Calcular tempo de deslocamento até vagas e cursos.</t>
  </si>
  <si>
    <t xml:space="preserve">Execução do serviço; compartilha só com consentimento</t>
  </si>
  <si>
    <t xml:space="preserve">Só a região, se a pessoa aceitar</t>
  </si>
  <si>
    <t xml:space="preserve">Seu trabalho</t>
  </si>
  <si>
    <t xml:space="preserve">Que trabalho você procura?</t>
  </si>
  <si>
    <t xml:space="preserve">Voz ou lista (até 3 ocupações)</t>
  </si>
  <si>
    <t xml:space="preserve">Lista de ocupações por área</t>
  </si>
  <si>
    <t xml:space="preserve">Match por função.</t>
  </si>
  <si>
    <t xml:space="preserve">Quanto tempo de experiência você tem?</t>
  </si>
  <si>
    <t xml:space="preserve">Nenhuma; até 1 ano; 1 a 3; 3 a 5; mais de 5</t>
  </si>
  <si>
    <t xml:space="preserve">Match por experiência.</t>
  </si>
  <si>
    <t xml:space="preserve">Estudo</t>
  </si>
  <si>
    <t xml:space="preserve">Fundamental; médio; técnico; superior; pós (completo ou cursando)</t>
  </si>
  <si>
    <t xml:space="preserve">Match por escolaridade e sugestão de curso.</t>
  </si>
  <si>
    <t xml:space="preserve">Horário</t>
  </si>
  <si>
    <t xml:space="preserve">Quando você pode trabalhar?</t>
  </si>
  <si>
    <t xml:space="preserve">Toques (pode marcar vários)</t>
  </si>
  <si>
    <t xml:space="preserve">Manhã; tarde; noite; madrugada; fins de semana; escala 12x36</t>
  </si>
  <si>
    <t xml:space="preserve">Match por turno.</t>
  </si>
  <si>
    <t xml:space="preserve">Contrato</t>
  </si>
  <si>
    <t xml:space="preserve">Que tipo de vaga você aceita?</t>
  </si>
  <si>
    <t xml:space="preserve">CLT; estágio; jovem aprendiz; temporário; diária; MEI ou PJ</t>
  </si>
  <si>
    <t xml:space="preserve">Match por contrato.</t>
  </si>
  <si>
    <t xml:space="preserve">Currículo</t>
  </si>
  <si>
    <t xml:space="preserve">Quer montar seu currículo falando?</t>
  </si>
  <si>
    <t xml:space="preserve">Voz, foto de um currículo antigo ou preencher por toque</t>
  </si>
  <si>
    <t xml:space="preserve">Gerar currículo básico</t>
  </si>
  <si>
    <t xml:space="preserve">Criar o currículo sem digitar. O básico fica gratuito? (decisão pendente do GD).</t>
  </si>
  <si>
    <t xml:space="preserve">Só se a pessoa publicar</t>
  </si>
  <si>
    <t xml:space="preserve">Quer ver cursos para melhorar sua nota nas vagas?</t>
  </si>
  <si>
    <t xml:space="preserve">Sim; depois</t>
  </si>
  <si>
    <t xml:space="preserve">Recomendar cursos (nossos ou de parceiros).</t>
  </si>
  <si>
    <t xml:space="preserve">Avisos</t>
  </si>
  <si>
    <t xml:space="preserve">Posso avisar você de vagas e cursos por mensagem?</t>
  </si>
  <si>
    <t xml:space="preserve">Caixa desmarcada: a pessoa precisa tocar</t>
  </si>
  <si>
    <t xml:space="preserve">Sim; não</t>
  </si>
  <si>
    <t xml:space="preserve">Mensagens de marketing do próprio serviço.</t>
  </si>
  <si>
    <t xml:space="preserve">Consentimento (separado, pode ser revogado a qualquer hora)</t>
  </si>
  <si>
    <t xml:space="preserve">Pesquisa</t>
  </si>
  <si>
    <t xml:space="preserve">Posso usar suas respostas, sem mostrar seu nome, em estudos do mercado de trabalho?</t>
  </si>
  <si>
    <t xml:space="preserve">Caixa desmarcada</t>
  </si>
  <si>
    <t xml:space="preserve">Base de dados e marketing durante a semana de teste.</t>
  </si>
  <si>
    <t xml:space="preserve">Não (dados anônimos)</t>
  </si>
  <si>
    <t xml:space="preserve">Empresa</t>
  </si>
  <si>
    <t xml:space="preserve">Quantos funcionários a empresa tem?</t>
  </si>
  <si>
    <t xml:space="preserve">1 a 10; 11 a 50; 51 a 100; 101 a 500; mais de 500</t>
  </si>
  <si>
    <t xml:space="preserve">Dimensionar o plano.</t>
  </si>
  <si>
    <t xml:space="preserve">Execução do contrato</t>
  </si>
  <si>
    <t xml:space="preserve">De que setor é a empresa?</t>
  </si>
  <si>
    <t xml:space="preserve">Indústria; agro; comércio; turismo e gastronomia; saúde; construção; transporte; tecnologia; outro</t>
  </si>
  <si>
    <t xml:space="preserve">Sugerir modelos de vaga e cursos.</t>
  </si>
  <si>
    <t xml:space="preserve">Quantas vagas pretende anunciar por mês?</t>
  </si>
  <si>
    <t xml:space="preserve">0 a 10; 11 a 500; 501 a 1.000; mais de 1.000</t>
  </si>
  <si>
    <t xml:space="preserve">Mostrar o plano certo antes de cobrar.</t>
  </si>
  <si>
    <t xml:space="preserve">Não pedimos: raça ou cor, religião, estado civil, filhos, gravidez, idade como filtro, foto obrigatória, orientação sexual, opinião política, saúde. Esses dados não entram no matching. (Lei 9.029/1995 e LGPD; conferir com advogado.)</t>
  </si>
  <si>
    <t xml:space="preserve">Jeito de ser: 25 frases (Big Five do IPIP)</t>
  </si>
  <si>
    <t xml:space="preserve">Itens do IPIP, de domínio público: podem ser copiados, traduzidos e usados para qualquer fim (ipip.ori.org). A tradução é nossa e precisa de revisão de psicólogo.</t>
  </si>
  <si>
    <t xml:space="preserve">Resposta: 1 discordo muito, 2 discordo, 3 nem um nem outro, 4 concordo, 5 concordo muito. Exemplo: 4. Na tela vira 5 botões; ninguém digita.</t>
  </si>
  <si>
    <t xml:space="preserve">Fator</t>
  </si>
  <si>
    <t xml:space="preserve">Frase</t>
  </si>
  <si>
    <t xml:space="preserve">Sentido</t>
  </si>
  <si>
    <t xml:space="preserve">Resposta (1 a 5)</t>
  </si>
  <si>
    <t xml:space="preserve">Item original (IPIP)</t>
  </si>
  <si>
    <t xml:space="preserve">Média (1 a 5)</t>
  </si>
  <si>
    <t xml:space="preserve">Extroversão</t>
  </si>
  <si>
    <t xml:space="preserve">Sou a alma da festa.</t>
  </si>
  <si>
    <t xml:space="preserve">Normal</t>
  </si>
  <si>
    <t xml:space="preserve">Am the life of the party.</t>
  </si>
  <si>
    <t xml:space="preserve">Sinto-me à vontade perto das pessoas.</t>
  </si>
  <si>
    <t xml:space="preserve">Feel comfortable around people.</t>
  </si>
  <si>
    <t xml:space="preserve">Amabilidade</t>
  </si>
  <si>
    <t xml:space="preserve">Falo pouco.</t>
  </si>
  <si>
    <t xml:space="preserve">Invertido</t>
  </si>
  <si>
    <t xml:space="preserve">Don't talk a lot.</t>
  </si>
  <si>
    <t xml:space="preserve">Responsabilidade</t>
  </si>
  <si>
    <t xml:space="preserve">Fico em segundo plano.</t>
  </si>
  <si>
    <t xml:space="preserve">Keep in the background.</t>
  </si>
  <si>
    <t xml:space="preserve">Calma</t>
  </si>
  <si>
    <t xml:space="preserve">Puxo conversa.</t>
  </si>
  <si>
    <t xml:space="preserve">Start conversations.</t>
  </si>
  <si>
    <t xml:space="preserve">Curiosidade</t>
  </si>
  <si>
    <t xml:space="preserve">Interesso-me pelas pessoas.</t>
  </si>
  <si>
    <t xml:space="preserve">Am interested in people.</t>
  </si>
  <si>
    <t xml:space="preserve">Tenho o coração mole.</t>
  </si>
  <si>
    <t xml:space="preserve">Have a soft heart.</t>
  </si>
  <si>
    <t xml:space="preserve">Média alta (4 a 5), média (3), baixa (1 a 2). Não é nota boa ou ruim: é jeito de ser.</t>
  </si>
  <si>
    <t xml:space="preserve">Não me interesso pelos problemas dos outros.</t>
  </si>
  <si>
    <t xml:space="preserve">Am not interested in other people's problems.</t>
  </si>
  <si>
    <t xml:space="preserve">O fator Calma é o mais sensível: só para a pessoa, nunca aparece para a empresa.</t>
  </si>
  <si>
    <t xml:space="preserve">Reservo tempo para os outros.</t>
  </si>
  <si>
    <t xml:space="preserve">Take time out for others.</t>
  </si>
  <si>
    <t xml:space="preserve">Sinto pouca preocupação com os outros.</t>
  </si>
  <si>
    <t xml:space="preserve">Feel little concern for others.</t>
  </si>
  <si>
    <t xml:space="preserve">Estou sempre preparado.</t>
  </si>
  <si>
    <t xml:space="preserve">Am always prepared.</t>
  </si>
  <si>
    <t xml:space="preserve">Presto atenção aos detalhes.</t>
  </si>
  <si>
    <t xml:space="preserve">Pay attention to details.</t>
  </si>
  <si>
    <t xml:space="preserve">Resolvo as tarefas logo.</t>
  </si>
  <si>
    <t xml:space="preserve">Get chores done right away.</t>
  </si>
  <si>
    <t xml:space="preserve">Sigo um horário.</t>
  </si>
  <si>
    <t xml:space="preserve">Follow a schedule.</t>
  </si>
  <si>
    <t xml:space="preserve">Deixo meus deveres de lado.</t>
  </si>
  <si>
    <t xml:space="preserve">Neglect my duties.</t>
  </si>
  <si>
    <t xml:space="preserve">Fico tranquilo na maior parte do tempo.</t>
  </si>
  <si>
    <t xml:space="preserve">Am relaxed most of the time.</t>
  </si>
  <si>
    <t xml:space="preserve">Estresso-me com facilidade.</t>
  </si>
  <si>
    <t xml:space="preserve">Get stressed out easily.</t>
  </si>
  <si>
    <t xml:space="preserve">Preocupo-me com as coisas.</t>
  </si>
  <si>
    <t xml:space="preserve">Worry about things.</t>
  </si>
  <si>
    <t xml:space="preserve">Raramente me irrito.</t>
  </si>
  <si>
    <t xml:space="preserve">Rarely get irritated.</t>
  </si>
  <si>
    <t xml:space="preserve">Meu humor muda muito.</t>
  </si>
  <si>
    <t xml:space="preserve">Change my mood a lot.</t>
  </si>
  <si>
    <t xml:space="preserve">Tenho muitas ideias boas.</t>
  </si>
  <si>
    <t xml:space="preserve">Have excellent ideas.</t>
  </si>
  <si>
    <t xml:space="preserve">Entendo as coisas rápido.</t>
  </si>
  <si>
    <t xml:space="preserve">Am quick to understand things.</t>
  </si>
  <si>
    <t xml:space="preserve">Tenho dificuldade de entender ideias abstratas.</t>
  </si>
  <si>
    <t xml:space="preserve">Have difficulty understanding abstract ideas.</t>
  </si>
  <si>
    <t xml:space="preserve">Gosto de pensar em jeitos novos de fazer as coisas.</t>
  </si>
  <si>
    <t xml:space="preserve">Love to think up new ways of doing things.</t>
  </si>
  <si>
    <t xml:space="preserve">Tenho vocabulário rico.</t>
  </si>
  <si>
    <t xml:space="preserve">Have a rich vocabulary.</t>
  </si>
  <si>
    <t xml:space="preserve">Interesses de carreira: 18 frases (modelo RIASEC)</t>
  </si>
  <si>
    <t xml:space="preserve">O modelo RIASEC (Holland) é a base do Interest Profiler do O*NET (Creative Commons 4.0, crédito ao Departamento do Trabalho dos EUA). As frases daqui são nossas.</t>
  </si>
  <si>
    <t xml:space="preserve">Resposta: 1 não curto, 2 tanto faz, 3 curto. Exemplo: 3. Na tela vira carinha triste, neutra e feliz.</t>
  </si>
  <si>
    <t xml:space="preserve">Resposta (1 a 3)</t>
  </si>
  <si>
    <t xml:space="preserve">Combina com</t>
  </si>
  <si>
    <t xml:space="preserve">Realista (fazer com as mãos)</t>
  </si>
  <si>
    <t xml:space="preserve">Consertar uma máquina, uma moto ou um aparelho.</t>
  </si>
  <si>
    <t xml:space="preserve">Indústria, agro, construção, mecânica, logística</t>
  </si>
  <si>
    <t xml:space="preserve">Trabalhar ao ar livre, no campo ou numa obra.</t>
  </si>
  <si>
    <t xml:space="preserve">Investigativo (entender e descobrir)</t>
  </si>
  <si>
    <t xml:space="preserve">Tecnologia, saúde, qualidade, laboratório, dados</t>
  </si>
  <si>
    <t xml:space="preserve">Montar, instalar ou operar equipamentos.</t>
  </si>
  <si>
    <t xml:space="preserve">Artístico (criar)</t>
  </si>
  <si>
    <t xml:space="preserve">Moda, design, gastronomia, comunicação, eventos</t>
  </si>
  <si>
    <t xml:space="preserve">Descobrir por que uma coisa deu errado.</t>
  </si>
  <si>
    <t xml:space="preserve">Social (ajudar e ensinar)</t>
  </si>
  <si>
    <t xml:space="preserve">Saúde, educação, atendimento, hotelaria, cuidados</t>
  </si>
  <si>
    <t xml:space="preserve">Ler e pesquisar para aprender um assunto a fundo.</t>
  </si>
  <si>
    <t xml:space="preserve">Empreendedor (vender e liderar)</t>
  </si>
  <si>
    <t xml:space="preserve">Vendas, comércio, gerência, MEI e negócio próprio</t>
  </si>
  <si>
    <t xml:space="preserve">Analisar números ou resultados para tirar conclusões.</t>
  </si>
  <si>
    <t xml:space="preserve">Convencional (organizar)</t>
  </si>
  <si>
    <t xml:space="preserve">Administração, finanças, estoque, escritório, recepção</t>
  </si>
  <si>
    <t xml:space="preserve">Desenhar, fotografar, fazer vídeos ou decorar.</t>
  </si>
  <si>
    <t xml:space="preserve">Inventar receitas, roupas, peças ou textos.</t>
  </si>
  <si>
    <t xml:space="preserve">Tipo mais forte</t>
  </si>
  <si>
    <t xml:space="preserve">Montar uma vitrine, um cardápio ou uma página bonita.</t>
  </si>
  <si>
    <t xml:space="preserve">Atender e ajudar pessoas com problemas.</t>
  </si>
  <si>
    <t xml:space="preserve">Ensinar alguém a fazer uma tarefa.</t>
  </si>
  <si>
    <t xml:space="preserve">Cuidar de pessoas: crianças, idosos, pacientes.</t>
  </si>
  <si>
    <t xml:space="preserve">Convencer alguém a comprar ou a topar uma ideia.</t>
  </si>
  <si>
    <t xml:space="preserve">Liderar um grupo para bater uma meta.</t>
  </si>
  <si>
    <t xml:space="preserve">Abrir ou tocar o meu próprio negócio.</t>
  </si>
  <si>
    <t xml:space="preserve">Organizar documentos, estoque ou agenda.</t>
  </si>
  <si>
    <t xml:space="preserve">Lançar dados e conferir contas com cuidado.</t>
  </si>
  <si>
    <t xml:space="preserve">Seguir um passo a passo sempre do mesmo jeito.</t>
  </si>
  <si>
    <t xml:space="preserve">Desempenho do funcionário: 16 frases</t>
  </si>
  <si>
    <t xml:space="preserve">Uma versão para o próprio funcionário e outra para o gestor (a frase passa de 'eu' para 'essa pessoa'). Serve para desenvolver, com conversa, e não para decidir demissão sozinha.</t>
  </si>
  <si>
    <t xml:space="preserve">Resposta: 1 ainda não, 2 às vezes, 3 quase sempre, 4 sempre. Exemplo: 3. O funcionário sabe que está sendo avaliado e vê o resultado.</t>
  </si>
  <si>
    <t xml:space="preserve">Competência</t>
  </si>
  <si>
    <t xml:space="preserve">Eu (1 a 4)</t>
  </si>
  <si>
    <t xml:space="preserve">Gestor (1 a 4)</t>
  </si>
  <si>
    <t xml:space="preserve">Eu</t>
  </si>
  <si>
    <t xml:space="preserve">Gestor</t>
  </si>
  <si>
    <t xml:space="preserve">Diferença</t>
  </si>
  <si>
    <t xml:space="preserve">Qualidade do trabalho</t>
  </si>
  <si>
    <t xml:space="preserve">Entrego o trabalho como combinado.</t>
  </si>
  <si>
    <t xml:space="preserve">Confiro o meu trabalho antes de entregar.</t>
  </si>
  <si>
    <t xml:space="preserve">Pontualidade e prazos</t>
  </si>
  <si>
    <t xml:space="preserve">Chego no horário e aviso quando não puder vir.</t>
  </si>
  <si>
    <t xml:space="preserve">Trabalho em equipe</t>
  </si>
  <si>
    <t xml:space="preserve">Cumpro os prazos que combinei.</t>
  </si>
  <si>
    <t xml:space="preserve">Atendimento</t>
  </si>
  <si>
    <t xml:space="preserve">Ajudo os colegas quando precisam.</t>
  </si>
  <si>
    <t xml:space="preserve">Iniciativa</t>
  </si>
  <si>
    <t xml:space="preserve">Aceito pedir ajuda e receber orientação.</t>
  </si>
  <si>
    <t xml:space="preserve">Segurança e normas</t>
  </si>
  <si>
    <t xml:space="preserve">Trato bem o cliente mesmo num dia difícil.</t>
  </si>
  <si>
    <t xml:space="preserve">Comunicação</t>
  </si>
  <si>
    <t xml:space="preserve">Resolvo o problema do cliente ou levo a quem resolve.</t>
  </si>
  <si>
    <t xml:space="preserve">Aprendizado</t>
  </si>
  <si>
    <t xml:space="preserve">Vejo o que precisa ser feito sem esperar ordem.</t>
  </si>
  <si>
    <t xml:space="preserve">Sugiro melhorias no meu trabalho.</t>
  </si>
  <si>
    <t xml:space="preserve">Diferença positiva: o gestor vê mais do que a pessoa. Negativa: a pessoa se vê melhor. A conversa começa por aí. Cada competência liga a um curso.</t>
  </si>
  <si>
    <t xml:space="preserve">Uso os equipamentos de proteção e sigo as regras de segurança.</t>
  </si>
  <si>
    <t xml:space="preserve">Mantenho meu posto limpo e organizado.</t>
  </si>
  <si>
    <t xml:space="preserve">Explico com clareza o que preciso ou o que aconteceu.</t>
  </si>
  <si>
    <t xml:space="preserve">Escuto até o fim antes de responder.</t>
  </si>
  <si>
    <t xml:space="preserve">Aprendo com os erros e não repito.</t>
  </si>
  <si>
    <t xml:space="preserve">Procuro aprender coisas novas para o trabalho.</t>
  </si>
  <si>
    <t xml:space="preserve">Modelos de currículo e cores</t>
  </si>
  <si>
    <t xml:space="preserve">26 modelos x 9 paletas. Letra: as do app (Bricolage Grotesque para títulos, Instrument Sans para texto). Leitura automática (ATS) é avaliação nossa.</t>
  </si>
  <si>
    <t xml:space="preserve">Modelos</t>
  </si>
  <si>
    <t xml:space="preserve">Cores</t>
  </si>
  <si>
    <t xml:space="preserve">Combinações</t>
  </si>
  <si>
    <t xml:space="preserve">Modelo</t>
  </si>
  <si>
    <t xml:space="preserve">Estilo</t>
  </si>
  <si>
    <t xml:space="preserve">Colunas</t>
  </si>
  <si>
    <t xml:space="preserve">Foto</t>
  </si>
  <si>
    <t xml:space="preserve">Páginas</t>
  </si>
  <si>
    <t xml:space="preserve">Para quem</t>
  </si>
  <si>
    <t xml:space="preserve">Destaque</t>
  </si>
  <si>
    <t xml:space="preserve">Leitura automática (ATS)</t>
  </si>
  <si>
    <t xml:space="preserve">Letra</t>
  </si>
  <si>
    <t xml:space="preserve">Claro</t>
  </si>
  <si>
    <t xml:space="preserve">Minimalista, nome centralizado</t>
  </si>
  <si>
    <t xml:space="preserve">Sem foto</t>
  </si>
  <si>
    <t xml:space="preserve">Qualquer pessoa</t>
  </si>
  <si>
    <t xml:space="preserve">Equilíbrio entre experiência e formação</t>
  </si>
  <si>
    <t xml:space="preserve">Bricolage Grotesque + Instrument Sans</t>
  </si>
  <si>
    <t xml:space="preserve">Direto</t>
  </si>
  <si>
    <t xml:space="preserve">Nome à esquerda com linha de cor</t>
  </si>
  <si>
    <t xml:space="preserve">Experiência primeiro</t>
  </si>
  <si>
    <t xml:space="preserve">Faixa lateral</t>
  </si>
  <si>
    <t xml:space="preserve">Coluna lateral com contatos e habilidades</t>
  </si>
  <si>
    <t xml:space="preserve">Foto opcional</t>
  </si>
  <si>
    <t xml:space="preserve">Atendimento, vendas, administrativo</t>
  </si>
  <si>
    <t xml:space="preserve">Habilidades à vista</t>
  </si>
  <si>
    <t xml:space="preserve">Linha do tempo</t>
  </si>
  <si>
    <t xml:space="preserve">Linha vertical com as experiências</t>
  </si>
  <si>
    <t xml:space="preserve">Quem tem várias experiências</t>
  </si>
  <si>
    <t xml:space="preserve">Trajetória</t>
  </si>
  <si>
    <t xml:space="preserve">Primeiro emprego</t>
  </si>
  <si>
    <t xml:space="preserve">Objetivo, cursos e habilidades no topo</t>
  </si>
  <si>
    <t xml:space="preserve">Quem nunca trabalhou com carteira</t>
  </si>
  <si>
    <t xml:space="preserve">Cursos, projetos, trabalho voluntário e informal</t>
  </si>
  <si>
    <t xml:space="preserve">Operacional</t>
  </si>
  <si>
    <t xml:space="preserve">Disponibilidade e certificados em destaque</t>
  </si>
  <si>
    <t xml:space="preserve">Fábrica, armazém, obra, produção</t>
  </si>
  <si>
    <t xml:space="preserve">NR, CNH, cursos práticos</t>
  </si>
  <si>
    <t xml:space="preserve">Ferramentas e certificações em quadro</t>
  </si>
  <si>
    <t xml:space="preserve">Eletricista, mecânico, técnico</t>
  </si>
  <si>
    <t xml:space="preserve">Equipamentos e certificações</t>
  </si>
  <si>
    <t xml:space="preserve">Atendimento e vendas</t>
  </si>
  <si>
    <t xml:space="preserve">Resultados e idiomas em destaque</t>
  </si>
  <si>
    <t xml:space="preserve">Balcão, caixa, vendas</t>
  </si>
  <si>
    <t xml:space="preserve">Metas batidas, idiomas</t>
  </si>
  <si>
    <t xml:space="preserve">Saúde</t>
  </si>
  <si>
    <t xml:space="preserve">Registro profissional e plantões</t>
  </si>
  <si>
    <t xml:space="preserve">Enfermagem, farmácia, clínicas</t>
  </si>
  <si>
    <t xml:space="preserve">Registro no conselho, especialidades</t>
  </si>
  <si>
    <t xml:space="preserve">Cozinha e salão</t>
  </si>
  <si>
    <t xml:space="preserve">Praças, turnos e boas práticas</t>
  </si>
  <si>
    <t xml:space="preserve">Gastronomia e hotelaria</t>
  </si>
  <si>
    <t xml:space="preserve">Praças, manipulação de alimentos</t>
  </si>
  <si>
    <t xml:space="preserve">Campo e agro</t>
  </si>
  <si>
    <t xml:space="preserve">Máquinas, cultivos e cursos</t>
  </si>
  <si>
    <t xml:space="preserve">Agro e pecuária</t>
  </si>
  <si>
    <t xml:space="preserve">Máquinas, cadeias, cursos</t>
  </si>
  <si>
    <t xml:space="preserve">Motorista e entregador</t>
  </si>
  <si>
    <t xml:space="preserve">CNH, veículos e rotas</t>
  </si>
  <si>
    <t xml:space="preserve">Motoristas, entregadores</t>
  </si>
  <si>
    <t xml:space="preserve">Categoria da CNH, tipos de veículo</t>
  </si>
  <si>
    <t xml:space="preserve">Administrativo</t>
  </si>
  <si>
    <t xml:space="preserve">Sistemas e rotinas</t>
  </si>
  <si>
    <t xml:space="preserve">Escritório, finanças</t>
  </si>
  <si>
    <t xml:space="preserve">Excel, sistemas, rotinas</t>
  </si>
  <si>
    <t xml:space="preserve">Executivo</t>
  </si>
  <si>
    <t xml:space="preserve">Resumo executivo e resultados</t>
  </si>
  <si>
    <t xml:space="preserve">Gerência e direção</t>
  </si>
  <si>
    <t xml:space="preserve">Resultados e liderança</t>
  </si>
  <si>
    <t xml:space="preserve">Criativo</t>
  </si>
  <si>
    <t xml:space="preserve">Mais cor e portfólio</t>
  </si>
  <si>
    <t xml:space="preserve">Design, marketing, moda</t>
  </si>
  <si>
    <t xml:space="preserve">Link do portfólio</t>
  </si>
  <si>
    <t xml:space="preserve">Baixa</t>
  </si>
  <si>
    <t xml:space="preserve">Compacto</t>
  </si>
  <si>
    <t xml:space="preserve">Tudo em uma página, bem enxuto</t>
  </si>
  <si>
    <t xml:space="preserve">Quem quer só o essencial</t>
  </si>
  <si>
    <t xml:space="preserve">Resumo curto</t>
  </si>
  <si>
    <t xml:space="preserve">Foto redonda</t>
  </si>
  <si>
    <t xml:space="preserve">Foto em círculo no topo</t>
  </si>
  <si>
    <t xml:space="preserve">Atendimento ao público</t>
  </si>
  <si>
    <t xml:space="preserve">Apresentação pessoal</t>
  </si>
  <si>
    <t xml:space="preserve">Dois tons</t>
  </si>
  <si>
    <t xml:space="preserve">Faixa colorida no cabeçalho</t>
  </si>
  <si>
    <t xml:space="preserve">Visual</t>
  </si>
  <si>
    <t xml:space="preserve">Moderno</t>
  </si>
  <si>
    <t xml:space="preserve">Etiquetas de habilidades, sem barras</t>
  </si>
  <si>
    <t xml:space="preserve">Tecnologia, atendimento</t>
  </si>
  <si>
    <t xml:space="preserve">Habilidades em etiquetas</t>
  </si>
  <si>
    <t xml:space="preserve">Clássico</t>
  </si>
  <si>
    <t xml:space="preserve">Letra com serifa, formal</t>
  </si>
  <si>
    <t xml:space="preserve">Concursos, jurídico, bancos</t>
  </si>
  <si>
    <t xml:space="preserve">Formal</t>
  </si>
  <si>
    <t xml:space="preserve">Serifada do aparelho (a fonte do app é sem serifa)</t>
  </si>
  <si>
    <t xml:space="preserve">Acadêmico</t>
  </si>
  <si>
    <t xml:space="preserve">Formação, pesquisa e publicações</t>
  </si>
  <si>
    <t xml:space="preserve">Professores e pesquisadores</t>
  </si>
  <si>
    <t xml:space="preserve">Formação e produção</t>
  </si>
  <si>
    <t xml:space="preserve">Estágio e jovem aprendiz</t>
  </si>
  <si>
    <t xml:space="preserve">Escola, cursos e atividades</t>
  </si>
  <si>
    <t xml:space="preserve">Estudantes</t>
  </si>
  <si>
    <t xml:space="preserve">Escola, cursos, atividades</t>
  </si>
  <si>
    <t xml:space="preserve">Autônomo e MEI</t>
  </si>
  <si>
    <t xml:space="preserve">Serviços, clientes e avaliações</t>
  </si>
  <si>
    <t xml:space="preserve">Quem trabalha por conta</t>
  </si>
  <si>
    <t xml:space="preserve">Serviços e clientes atendidos</t>
  </si>
  <si>
    <t xml:space="preserve">Professor</t>
  </si>
  <si>
    <t xml:space="preserve">Formação, turmas e projetos</t>
  </si>
  <si>
    <t xml:space="preserve">Educação</t>
  </si>
  <si>
    <t xml:space="preserve">Turmas e projetos</t>
  </si>
  <si>
    <t xml:space="preserve">Tecnologia</t>
  </si>
  <si>
    <t xml:space="preserve">Projetos, ferramentas e links</t>
  </si>
  <si>
    <t xml:space="preserve">Programação e suporte</t>
  </si>
  <si>
    <t xml:space="preserve">Projetos e ferramentas</t>
  </si>
  <si>
    <t xml:space="preserve">Letra grande</t>
  </si>
  <si>
    <t xml:space="preserve">Letra maior e contraste alto</t>
  </si>
  <si>
    <t xml:space="preserve">Quem tem baixa visão ou lê no celular</t>
  </si>
  <si>
    <t xml:space="preserve">Leitura fácil</t>
  </si>
  <si>
    <t xml:space="preserve">Instrument Sans, tamanho 20% maior</t>
  </si>
  <si>
    <t xml:space="preserve">Cor</t>
  </si>
  <si>
    <t xml:space="preserve">Principal</t>
  </si>
  <si>
    <t xml:space="preserve">Escura</t>
  </si>
  <si>
    <t xml:space="preserve">Clara</t>
  </si>
  <si>
    <t xml:space="preserve">Escura sobre a clara (contraste)</t>
  </si>
  <si>
    <t xml:space="preserve">Principal sobre branco (contraste)</t>
  </si>
  <si>
    <t xml:space="preserve">Texto na cor principal?</t>
  </si>
  <si>
    <t xml:space="preserve">Vermelho</t>
  </si>
  <si>
    <t xml:space="preserve">#B42318</t>
  </si>
  <si>
    <t xml:space="preserve">#7F1D14</t>
  </si>
  <si>
    <t xml:space="preserve">#FDECEA</t>
  </si>
  <si>
    <t xml:space="preserve">#FFC83A</t>
  </si>
  <si>
    <t xml:space="preserve">Texto sempre em cor escura sobre fundo claro (contraste de 4,5 ou mais).</t>
  </si>
  <si>
    <t xml:space="preserve">Laranja</t>
  </si>
  <si>
    <t xml:space="preserve">#C2410C</t>
  </si>
  <si>
    <t xml:space="preserve">#8A2E08</t>
  </si>
  <si>
    <t xml:space="preserve">#FFF1E6</t>
  </si>
  <si>
    <t xml:space="preserve">Amarelo</t>
  </si>
  <si>
    <t xml:space="preserve">#5C4200</t>
  </si>
  <si>
    <t xml:space="preserve">#FFF6D6</t>
  </si>
  <si>
    <t xml:space="preserve">Não: usar só em faixas e detalhes</t>
  </si>
  <si>
    <t xml:space="preserve">Verde</t>
  </si>
  <si>
    <t xml:space="preserve">#1E6B3C</t>
  </si>
  <si>
    <t xml:space="preserve">#123B2B</t>
  </si>
  <si>
    <t xml:space="preserve">#E6F4EA</t>
  </si>
  <si>
    <t xml:space="preserve">Azul</t>
  </si>
  <si>
    <t xml:space="preserve">#1D4ED8</t>
  </si>
  <si>
    <t xml:space="preserve">#1E3A8A</t>
  </si>
  <si>
    <t xml:space="preserve">#E8EEFF</t>
  </si>
  <si>
    <t xml:space="preserve">Roxo</t>
  </si>
  <si>
    <t xml:space="preserve">#6D28D9</t>
  </si>
  <si>
    <t xml:space="preserve">#4C1D95</t>
  </si>
  <si>
    <t xml:space="preserve">#F1E9FE</t>
  </si>
  <si>
    <t xml:space="preserve">Marrom</t>
  </si>
  <si>
    <t xml:space="preserve">#7C4A24</t>
  </si>
  <si>
    <t xml:space="preserve">#4A2A12</t>
  </si>
  <si>
    <t xml:space="preserve">#F7EDE3</t>
  </si>
  <si>
    <t xml:space="preserve">Rosa</t>
  </si>
  <si>
    <t xml:space="preserve">#BE185D</t>
  </si>
  <si>
    <t xml:space="preserve">#831843</t>
  </si>
  <si>
    <t xml:space="preserve">#FDE7F0</t>
  </si>
  <si>
    <t xml:space="preserve">Grafite</t>
  </si>
  <si>
    <t xml:space="preserve">#1F2937</t>
  </si>
  <si>
    <t xml:space="preserve">#111827</t>
  </si>
  <si>
    <t xml:space="preserve">#EEF0F3</t>
  </si>
  <si>
    <t xml:space="preserve">Mesmas cores das logomarcas do Vem Comer. Contraste calculado pela fórmula WCAG (luminância relativa); 4,5 ou mais é o mínimo para texto normal.</t>
  </si>
  <si>
    <t xml:space="preserve">Como é um curso do Vem Trabalhar</t>
  </si>
  <si>
    <t xml:space="preserve">Curso livre feito por nós, com lições curtas, atividades de toque, reteste e prova final que dá certificado e nunca elimina.</t>
  </si>
  <si>
    <t xml:space="preserve">Parte</t>
  </si>
  <si>
    <t xml:space="preserve">Como é</t>
  </si>
  <si>
    <t xml:space="preserve">Tamanho</t>
  </si>
  <si>
    <t xml:space="preserve">De 3 a 20 horas por curso, em lições de 5 a 8 minutos. Cabe numa pausa e no 3G.</t>
  </si>
  <si>
    <t xml:space="preserve">Cada lição</t>
  </si>
  <si>
    <t xml:space="preserve">1) texto curto (até 150 palavras) com figura; 2) áudio opcional com voz calma; 3) atividade de toque (arrastar, ordenar, escolher a resposta do cliente, contar o troco); 4) mini-pergunta.</t>
  </si>
  <si>
    <t xml:space="preserve">Reteste</t>
  </si>
  <si>
    <t xml:space="preserve">Perguntas que já erradas voltam em outro dia, com outra redação. Cada habilidade tem pelo menos 3 perguntas diferentes no banco.</t>
  </si>
  <si>
    <t xml:space="preserve">Prova final</t>
  </si>
  <si>
    <t xml:space="preserve">10 a 20 perguntas sorteadas do banco. Nota mínima 70% (a Fundação Bradesco usa o mesmo corte). Pode refazer quantas vezes quiser, com perguntas novas. Nunca elimina ninguém.</t>
  </si>
  <si>
    <t xml:space="preserve">Certificado</t>
  </si>
  <si>
    <t xml:space="preserve">Certificado de conclusão de curso livre, em PDF, com código e QR para a empresa conferir. Não é diploma. Diploma técnico só uma escola credenciada pode emitir.</t>
  </si>
  <si>
    <t xml:space="preserve">Quem escreve</t>
  </si>
  <si>
    <t xml:space="preserve">A IA escreve o rascunho; uma pessoa revisa antes de publicar (conteúdo errado em curso é risco para nós).</t>
  </si>
  <si>
    <t xml:space="preserve">Melhoria contínua</t>
  </si>
  <si>
    <t xml:space="preserve">O app mede onde as pessoas erram e saem; a pergunta mais errada vira lição melhor. Cada curso tem versão e data da revisão.</t>
  </si>
  <si>
    <t xml:space="preserve">Funciona em rede ruim</t>
  </si>
  <si>
    <t xml:space="preserve">Lição baixa em poucos KB, texto primeiro, imagem leve, áudio só se a pessoa tocar. Continua de onde parou.</t>
  </si>
  <si>
    <t xml:space="preserve">Liga com o match</t>
  </si>
  <si>
    <t xml:space="preserve">Cada curso concluído soma habilidade e certificado no perfil. Na vaga, o app mostra: 'faça este curso e sua nota sobe de 62% para 74%'.</t>
  </si>
  <si>
    <t xml:space="preserve">O que não substitui</t>
  </si>
  <si>
    <t xml:space="preserve">Treinamentos que a lei exige de instituição credenciada (NR com carga e instrutor, CNH, cursos de conselhos como COREN) e curso técnico com diploma.</t>
  </si>
  <si>
    <t xml:space="preserve">Ideias de cursos para fazermos ou ligarmos a escolas parceiras</t>
  </si>
  <si>
    <t xml:space="preserve">Livre próprio = nós fazemos e damos certificado. Técnico = escola credenciada dá o diploma. Misto = teoria nossa e prática com parceiro. As colunas das regiões leem a aba Prioridade.</t>
  </si>
  <si>
    <t xml:space="preserve">Horas-alvo</t>
  </si>
  <si>
    <t xml:space="preserve">Atividade de toque</t>
  </si>
  <si>
    <t xml:space="preserve">Quem emite o documento</t>
  </si>
  <si>
    <t xml:space="preserve">Atendimento de balcão</t>
  </si>
  <si>
    <t xml:space="preserve">Simulador: escolha a resposta ao cliente</t>
  </si>
  <si>
    <t xml:space="preserve">Vem Trabalhar (certificado de curso livre)</t>
  </si>
  <si>
    <t xml:space="preserve">Operador de caixa</t>
  </si>
  <si>
    <t xml:space="preserve">Contar o troco arrastando notas e moedas</t>
  </si>
  <si>
    <t xml:space="preserve">Atendimento ao cliente por WhatsApp</t>
  </si>
  <si>
    <t xml:space="preserve">Ordenar mensagens e escolher o tom</t>
  </si>
  <si>
    <t xml:space="preserve">Vendas para quem está começando</t>
  </si>
  <si>
    <t xml:space="preserve">Role-play: contornar uma objeção</t>
  </si>
  <si>
    <t xml:space="preserve">Atendimento por telefone</t>
  </si>
  <si>
    <t xml:space="preserve">Escolher a frase certa em cada ligação</t>
  </si>
  <si>
    <t xml:space="preserve">Como lidar com cliente difícil</t>
  </si>
  <si>
    <t xml:space="preserve">Escolher o caminho em histórias curtas</t>
  </si>
  <si>
    <t xml:space="preserve">Organização e reposição de loja</t>
  </si>
  <si>
    <t xml:space="preserve">Arrastar produtos para a prateleira certa</t>
  </si>
  <si>
    <t xml:space="preserve">Controle de estoque simples</t>
  </si>
  <si>
    <t xml:space="preserve">Contar e conferir a lista</t>
  </si>
  <si>
    <t xml:space="preserve">Vender pelas redes sociais</t>
  </si>
  <si>
    <t xml:space="preserve">Montar uma postagem de venda</t>
  </si>
  <si>
    <t xml:space="preserve">Foto de produto com o celular</t>
  </si>
  <si>
    <t xml:space="preserve">Comparar fotos boas e ruins</t>
  </si>
  <si>
    <t xml:space="preserve">Marketing e publicidade para pequenos negócios</t>
  </si>
  <si>
    <t xml:space="preserve">Montar uma campanha em 3 passos</t>
  </si>
  <si>
    <t xml:space="preserve">Instagram para negócios</t>
  </si>
  <si>
    <t xml:space="preserve">Escolher legenda e horário</t>
  </si>
  <si>
    <t xml:space="preserve">Canva para quem nunca usou</t>
  </si>
  <si>
    <t xml:space="preserve">Refazer um cartaz passo a passo</t>
  </si>
  <si>
    <t xml:space="preserve">Preço de venda e lucro</t>
  </si>
  <si>
    <t xml:space="preserve">Calculadora guiada</t>
  </si>
  <si>
    <t xml:space="preserve">Atendimento a pessoas com deficiência</t>
  </si>
  <si>
    <t xml:space="preserve">Escolher a atitude certa</t>
  </si>
  <si>
    <t xml:space="preserve">Atendimento em salão de beleza</t>
  </si>
  <si>
    <t xml:space="preserve">Simulador de agenda e recepção</t>
  </si>
  <si>
    <t xml:space="preserve">Vendedor de loja de roupas</t>
  </si>
  <si>
    <t xml:space="preserve">Combinar peças para o cliente</t>
  </si>
  <si>
    <t xml:space="preserve">Vendedor de materiais de construção</t>
  </si>
  <si>
    <t xml:space="preserve">Escolher o material certo para cada obra</t>
  </si>
  <si>
    <t xml:space="preserve">Atendimento em posto de combustível</t>
  </si>
  <si>
    <t xml:space="preserve">Ordenar os passos do abastecimento seguro</t>
  </si>
  <si>
    <t xml:space="preserve">Recepcionista</t>
  </si>
  <si>
    <t xml:space="preserve">Simulador de recepção e agenda</t>
  </si>
  <si>
    <t xml:space="preserve">Como fazer um currículo que chama atenção</t>
  </si>
  <si>
    <t xml:space="preserve">Corrigir um currículo ruim</t>
  </si>
  <si>
    <t xml:space="preserve">Entrevista de emprego: como se preparar</t>
  </si>
  <si>
    <t xml:space="preserve">Simulador de entrevista por voz</t>
  </si>
  <si>
    <t xml:space="preserve">Oratória: perder o medo de falar</t>
  </si>
  <si>
    <t xml:space="preserve">Gravar 30 segundos e ouvir de volta</t>
  </si>
  <si>
    <t xml:space="preserve">Primeiro emprego: rotina, direitos e deveres</t>
  </si>
  <si>
    <t xml:space="preserve">Escolher a atitude em cada situação</t>
  </si>
  <si>
    <t xml:space="preserve">Informática básica no celular e no computador</t>
  </si>
  <si>
    <t xml:space="preserve">Tarefas guiadas na tela</t>
  </si>
  <si>
    <t xml:space="preserve">Excel do zero</t>
  </si>
  <si>
    <t xml:space="preserve">Planilha de exercício dentro do app</t>
  </si>
  <si>
    <t xml:space="preserve">Comunicação e escrita profissional</t>
  </si>
  <si>
    <t xml:space="preserve">Reescrever mensagens</t>
  </si>
  <si>
    <t xml:space="preserve">Educação financeira para quem trabalha</t>
  </si>
  <si>
    <t xml:space="preserve">Montar o orçamento do mês</t>
  </si>
  <si>
    <t xml:space="preserve">Organização do tempo</t>
  </si>
  <si>
    <t xml:space="preserve">Arrastar tarefas para a agenda</t>
  </si>
  <si>
    <t xml:space="preserve">Histórias de escolha em grupo</t>
  </si>
  <si>
    <t xml:space="preserve">Liderança para quem vai ser chefe pela primeira vez</t>
  </si>
  <si>
    <t xml:space="preserve">Decidir casos reais do dia a dia</t>
  </si>
  <si>
    <t xml:space="preserve">Inteligência emocional no trabalho</t>
  </si>
  <si>
    <t xml:space="preserve">Reconhecer a emoção em cenas curtas</t>
  </si>
  <si>
    <t xml:space="preserve">Como abrir e cuidar do MEI</t>
  </si>
  <si>
    <t xml:space="preserve">Passo a passo com o checklist</t>
  </si>
  <si>
    <t xml:space="preserve">Direitos trabalhistas básicos</t>
  </si>
  <si>
    <t xml:space="preserve">Verdadeiro ou falso (advogado revisa)</t>
  </si>
  <si>
    <t xml:space="preserve">Português para o trabalho</t>
  </si>
  <si>
    <t xml:space="preserve">Corrigir frases e e-mails</t>
  </si>
  <si>
    <t xml:space="preserve">Matemática do dia a dia</t>
  </si>
  <si>
    <t xml:space="preserve">Porcentagem, troco e regra de três com jogos</t>
  </si>
  <si>
    <t xml:space="preserve">Inglês básico para atendimento</t>
  </si>
  <si>
    <t xml:space="preserve">Ouvir e escolher a resposta</t>
  </si>
  <si>
    <t xml:space="preserve">Espanhol básico para atendimento</t>
  </si>
  <si>
    <t xml:space="preserve">Libras básico</t>
  </si>
  <si>
    <t xml:space="preserve">Vídeo com instrutor surdo; nós só organizamos</t>
  </si>
  <si>
    <t xml:space="preserve">Vem Trabalhar (certificado) + parceiro confirma a prática</t>
  </si>
  <si>
    <t xml:space="preserve">Garçom e atendimento no salão</t>
  </si>
  <si>
    <t xml:space="preserve">Simulador de mesa e comanda</t>
  </si>
  <si>
    <t xml:space="preserve">Boas práticas de manipulação de alimentos</t>
  </si>
  <si>
    <t xml:space="preserve">Arrastar o certo e o errado na cozinha</t>
  </si>
  <si>
    <t xml:space="preserve">Auxiliar de cozinha</t>
  </si>
  <si>
    <t xml:space="preserve">Teoria nossa; prática com restaurante parceiro</t>
  </si>
  <si>
    <t xml:space="preserve">Barista</t>
  </si>
  <si>
    <t xml:space="preserve">Teoria nossa; prática com cafeteria parceira</t>
  </si>
  <si>
    <t xml:space="preserve">Atendimento em hotel e pousada</t>
  </si>
  <si>
    <t xml:space="preserve">Simulador de check-in</t>
  </si>
  <si>
    <t xml:space="preserve">Camareira e governança</t>
  </si>
  <si>
    <t xml:space="preserve">Ordenar a arrumação de um quarto</t>
  </si>
  <si>
    <t xml:space="preserve">Atendimento ao turista em inglês</t>
  </si>
  <si>
    <t xml:space="preserve">Ouvir e responder</t>
  </si>
  <si>
    <t xml:space="preserve">Montagem e entrega de marmita e delivery</t>
  </si>
  <si>
    <t xml:space="preserve">Montar um pedido sem erro</t>
  </si>
  <si>
    <t xml:space="preserve">Cardápio, preço e CMV para quem tem restaurante</t>
  </si>
  <si>
    <t xml:space="preserve">Calculadora guiada (liga com o Vem Comer)</t>
  </si>
  <si>
    <t xml:space="preserve">Padaria e confeitaria básica</t>
  </si>
  <si>
    <t xml:space="preserve">Teoria nossa; prática com padaria parceira</t>
  </si>
  <si>
    <t xml:space="preserve">Pizzaiolo e churrasqueiro</t>
  </si>
  <si>
    <t xml:space="preserve">Teoria nossa; prática com parceiro</t>
  </si>
  <si>
    <t xml:space="preserve">Organização de eventos pequenos</t>
  </si>
  <si>
    <t xml:space="preserve">Montar o cronograma de uma festa</t>
  </si>
  <si>
    <t xml:space="preserve">Bartender</t>
  </si>
  <si>
    <t xml:space="preserve">Segurança no trabalho: noções (não substitui NR)</t>
  </si>
  <si>
    <t xml:space="preserve">Achar o risco na foto</t>
  </si>
  <si>
    <t xml:space="preserve">5S na prática</t>
  </si>
  <si>
    <t xml:space="preserve">Arrumar uma bancada arrastando</t>
  </si>
  <si>
    <t xml:space="preserve">Leitura de desenho técnico básico</t>
  </si>
  <si>
    <t xml:space="preserve">Ligar a vista à peça</t>
  </si>
  <si>
    <t xml:space="preserve">Metrologia básica (paquímetro e micrômetro)</t>
  </si>
  <si>
    <t xml:space="preserve">Ler a medida no instrumento virtual</t>
  </si>
  <si>
    <t xml:space="preserve">Qualidade na produção</t>
  </si>
  <si>
    <t xml:space="preserve">Separar peça boa e peça com defeito</t>
  </si>
  <si>
    <t xml:space="preserve">Introdução à Indústria 4.0</t>
  </si>
  <si>
    <t xml:space="preserve">Ligar conceito e exemplo</t>
  </si>
  <si>
    <t xml:space="preserve">Auxiliar de produção em alimentos</t>
  </si>
  <si>
    <t xml:space="preserve">Ordenar as etapas da linha</t>
  </si>
  <si>
    <t xml:space="preserve">Operador de empilhadeira</t>
  </si>
  <si>
    <t xml:space="preserve">Parceiro credenciado emite a formação exigida</t>
  </si>
  <si>
    <t xml:space="preserve">Escola credenciada (diploma técnico)</t>
  </si>
  <si>
    <t xml:space="preserve">Eletricista (curso técnico)</t>
  </si>
  <si>
    <t xml:space="preserve">escola define</t>
  </si>
  <si>
    <t xml:space="preserve">Escola técnica parceira emite o diploma</t>
  </si>
  <si>
    <t xml:space="preserve">Eletrônica (curso técnico)</t>
  </si>
  <si>
    <t xml:space="preserve">Mecânica de motos</t>
  </si>
  <si>
    <t xml:space="preserve">Escola técnica parceira (ex.: tipo Centec); a prática é na oficina</t>
  </si>
  <si>
    <t xml:space="preserve">Mecânica automotiva básica</t>
  </si>
  <si>
    <t xml:space="preserve">Escola ou oficina parceira</t>
  </si>
  <si>
    <t xml:space="preserve">Soldagem</t>
  </si>
  <si>
    <t xml:space="preserve">Escola técnica parceira</t>
  </si>
  <si>
    <t xml:space="preserve">Manutenção industrial</t>
  </si>
  <si>
    <t xml:space="preserve">Operador de máquinas CNC</t>
  </si>
  <si>
    <t xml:space="preserve">Costura industrial</t>
  </si>
  <si>
    <t xml:space="preserve">Teoria nossa; prática com confecção parceira</t>
  </si>
  <si>
    <t xml:space="preserve">Logística e estoque</t>
  </si>
  <si>
    <t xml:space="preserve">Montar um fluxo de entrada e saída</t>
  </si>
  <si>
    <t xml:space="preserve">Entregador de moto e bicicleta: rotina e segurança</t>
  </si>
  <si>
    <t xml:space="preserve">Escolher a atitude no trânsito</t>
  </si>
  <si>
    <t xml:space="preserve">Direção defensiva (não substitui curso exigido por lei)</t>
  </si>
  <si>
    <t xml:space="preserve">Situações de trânsito em vídeo curto</t>
  </si>
  <si>
    <t xml:space="preserve">Conferência e separação de pedidos</t>
  </si>
  <si>
    <t xml:space="preserve">Separar itens sem erro</t>
  </si>
  <si>
    <t xml:space="preserve">Almoxarifado</t>
  </si>
  <si>
    <t xml:space="preserve">Organizar o almoxarifado arrastando</t>
  </si>
  <si>
    <t xml:space="preserve">Motorista de aplicativo: atendimento e segurança</t>
  </si>
  <si>
    <t xml:space="preserve">Escolher o caminho em histórias</t>
  </si>
  <si>
    <t xml:space="preserve">Técnico de enfermagem</t>
  </si>
  <si>
    <t xml:space="preserve">Escola técnica credenciada emite o diploma; registro no conselho é dela e do aluno</t>
  </si>
  <si>
    <t xml:space="preserve">Técnico em saúde bucal</t>
  </si>
  <si>
    <t xml:space="preserve">Escola técnica credenciada</t>
  </si>
  <si>
    <t xml:space="preserve">Atendente de farmácia</t>
  </si>
  <si>
    <t xml:space="preserve">Escola ou parceiro credenciado</t>
  </si>
  <si>
    <t xml:space="preserve">Cuidador de idosos</t>
  </si>
  <si>
    <t xml:space="preserve">Teoria nossa; prática com instituição parceira</t>
  </si>
  <si>
    <t xml:space="preserve">Primeiros socorros no trabalho</t>
  </si>
  <si>
    <t xml:space="preserve">Teoria nossa; prática com instrutor credenciado</t>
  </si>
  <si>
    <t xml:space="preserve">Recepção em clínicas</t>
  </si>
  <si>
    <t xml:space="preserve">Simulador de agendamento e acolhimento</t>
  </si>
  <si>
    <t xml:space="preserve">Humanização no atendimento em saúde</t>
  </si>
  <si>
    <t xml:space="preserve">Escolher a atitude em cada cena</t>
  </si>
  <si>
    <t xml:space="preserve">Boas práticas no campo</t>
  </si>
  <si>
    <t xml:space="preserve">Achar o erro na foto da propriedade</t>
  </si>
  <si>
    <t xml:space="preserve">Gestão da propriedade rural</t>
  </si>
  <si>
    <t xml:space="preserve">Planilha de custo e receita</t>
  </si>
  <si>
    <t xml:space="preserve">Vendas diretas do produtor (feira e WhatsApp)</t>
  </si>
  <si>
    <t xml:space="preserve">Montar a oferta da semana</t>
  </si>
  <si>
    <t xml:space="preserve">Cooperativismo e associativismo</t>
  </si>
  <si>
    <t xml:space="preserve">Casos de decisão em grupo</t>
  </si>
  <si>
    <t xml:space="preserve">Apicultura básica</t>
  </si>
  <si>
    <t xml:space="preserve">Teoria nossa; prática com produtor parceiro</t>
  </si>
  <si>
    <t xml:space="preserve">Piscicultura básica</t>
  </si>
  <si>
    <t xml:space="preserve">Agroindústria artesanal (queijo, doces)</t>
  </si>
  <si>
    <t xml:space="preserve">Operador de máquinas agrícolas</t>
  </si>
  <si>
    <t xml:space="preserve">Escola ou SENAR; o app faz o link e o match</t>
  </si>
  <si>
    <t xml:space="preserve">Segurança em obra: noções (não substitui NR)</t>
  </si>
  <si>
    <t xml:space="preserve">Achar o risco na obra</t>
  </si>
  <si>
    <t xml:space="preserve">Orçamento de pequenas obras</t>
  </si>
  <si>
    <t xml:space="preserve">Calculadora de material</t>
  </si>
  <si>
    <t xml:space="preserve">Pintura de parede</t>
  </si>
  <si>
    <t xml:space="preserve">Instalação hidráulica básica</t>
  </si>
  <si>
    <t xml:space="preserve">Eletricista predial</t>
  </si>
  <si>
    <t xml:space="preserve">Pedreiro de acabamento</t>
  </si>
  <si>
    <t xml:space="preserve">Teoria nossa; prática com obra parceira</t>
  </si>
  <si>
    <t xml:space="preserve">Suporte técnico em informática</t>
  </si>
  <si>
    <t xml:space="preserve">Redes de computadores (curso técnico)</t>
  </si>
  <si>
    <t xml:space="preserve">Lógica de programação para iniciantes</t>
  </si>
  <si>
    <t xml:space="preserve">Montar blocos de lógica arrastando</t>
  </si>
  <si>
    <t xml:space="preserve">Usar IA no trabalho</t>
  </si>
  <si>
    <t xml:space="preserve">Comparar um bom e um mau pedido</t>
  </si>
  <si>
    <t xml:space="preserve">Segurança digital e golpes</t>
  </si>
  <si>
    <t xml:space="preserve">Identificar o golpe em mensagens</t>
  </si>
  <si>
    <t xml:space="preserve">Edição de vídeo no celular</t>
  </si>
  <si>
    <t xml:space="preserve">Montar um vídeo curto</t>
  </si>
  <si>
    <t xml:space="preserve">Criação de site simples</t>
  </si>
  <si>
    <t xml:space="preserve">Montar uma página arrastando blocos</t>
  </si>
  <si>
    <t xml:space="preserve">Escolas e sistemas de ensino</t>
  </si>
  <si>
    <t xml:space="preserve">O que vi de cada uma e como ligar ao app. 'Situação do contato' é sua: toque e escreva.</t>
  </si>
  <si>
    <t xml:space="preserve">O que vi</t>
  </si>
  <si>
    <t xml:space="preserve">Link</t>
  </si>
  <si>
    <t xml:space="preserve">Como ligar ao app</t>
  </si>
  <si>
    <t xml:space="preserve">Situação do contato</t>
  </si>
  <si>
    <t xml:space="preserve">Sistema S (indústria)</t>
  </si>
  <si>
    <t xml:space="preserve">Cursos EAD e presenciais; página SENAI-SP abriu; site nacional deu erro de certificado.</t>
  </si>
  <si>
    <t xml:space="preserve">Link por curso; convênio para vaga e matrícula</t>
  </si>
  <si>
    <t xml:space="preserve">Não contatada</t>
  </si>
  <si>
    <t xml:space="preserve">Sistema S (comércio, serviços, turismo)</t>
  </si>
  <si>
    <t xml:space="preserve">64 áreas, EAD gratuito com limite de renda (reportagem); site não abriu para mim.</t>
  </si>
  <si>
    <t xml:space="preserve">Link por curso; convênio</t>
  </si>
  <si>
    <t xml:space="preserve">Sistema S (campo)</t>
  </si>
  <si>
    <t xml:space="preserve">SENAR Play: +250 cursos gratuitos com 22 cadeias e 21 áreas (página aberta).</t>
  </si>
  <si>
    <t xml:space="preserve">Link por cadeia; convênio regional</t>
  </si>
  <si>
    <t xml:space="preserve">Sistema S (transporte)</t>
  </si>
  <si>
    <t xml:space="preserve">160+ cursos EAD gratuitos (reportagem).</t>
  </si>
  <si>
    <t xml:space="preserve">https://www.gov.br/pt-br/todosportodos/cursos-ead/senat</t>
  </si>
  <si>
    <t xml:space="preserve">Link por curso</t>
  </si>
  <si>
    <t xml:space="preserve">Serviço social autônomo (pequenos negócios)</t>
  </si>
  <si>
    <t xml:space="preserve">Loja de cursos com cursos gratuitos (página aberta).</t>
  </si>
  <si>
    <t xml:space="preserve">Link por curso; parceria para MEI e pequenas empresas</t>
  </si>
  <si>
    <t xml:space="preserve">Fundação</t>
  </si>
  <si>
    <t xml:space="preserve">61 cursos gratuitos com certificado; nota mínima 70% (página aberta).</t>
  </si>
  <si>
    <t xml:space="preserve">Escola Virtual de Governo (Enap)</t>
  </si>
  <si>
    <t xml:space="preserve">Governo federal</t>
  </si>
  <si>
    <t xml:space="preserve">Centenas de cursos, 40+ áreas (página aberta).</t>
  </si>
  <si>
    <t xml:space="preserve">https://www.escolavirtual.gov.br/</t>
  </si>
  <si>
    <t xml:space="preserve">20+ cursos gratuitos de turismo (reportagem).</t>
  </si>
  <si>
    <t xml:space="preserve">https://www.gov.br/turismo/pt-br</t>
  </si>
  <si>
    <t xml:space="preserve">Escolas técnicas (ex.: Centec e similares)</t>
  </si>
  <si>
    <t xml:space="preserve">Escolas técnicas credenciadas</t>
  </si>
  <si>
    <t xml:space="preserve">Citadas pelo GD: elétrica, eletrônica, mecânica de moto, enfermagem. Eu não abri o site.</t>
  </si>
  <si>
    <t xml:space="preserve">Parceria: a escola emite o diploma técnico; nós levamos o aluno e o match</t>
  </si>
  <si>
    <t xml:space="preserve">GD já contata? (perguntar)</t>
  </si>
  <si>
    <t xml:space="preserve">Faculdades e universidades</t>
  </si>
  <si>
    <t xml:space="preserve">Instituições de ensino superior</t>
  </si>
  <si>
    <t xml:space="preserve">Lista a definir com o GD. A conferência de que a instituição é credenciada fica no cadastro oficial do MEC (e-MEC; confirmar o endereço).</t>
  </si>
  <si>
    <t xml:space="preserve">Convênio com comissão ou link; só instituições credenciadas</t>
  </si>
  <si>
    <t xml:space="preserve">Fontes consultadas em 06/10/2026</t>
  </si>
  <si>
    <t xml:space="preserve">Tudo que consultei, inclusive o que não abriu. Nada foi copiado: só nomes, números e links.</t>
  </si>
  <si>
    <t xml:space="preserve">Fonte</t>
  </si>
  <si>
    <t xml:space="preserve">Endereço</t>
  </si>
  <si>
    <t xml:space="preserve">O que usei</t>
  </si>
  <si>
    <t xml:space="preserve">Como obtive</t>
  </si>
  <si>
    <t xml:space="preserve">IBGE Agência de Notícias: PIB 2023 por estado</t>
  </si>
  <si>
    <t xml:space="preserve">https://agenciadenoticias.ibge.gov.br/pt/agencia-noticias/45142-pib-cresce-em-todos-os-27-estados-do-pais-em-2023.html?lang=pt-BR</t>
  </si>
  <si>
    <t xml:space="preserve">Participação de cada região no PIB 2023</t>
  </si>
  <si>
    <t xml:space="preserve">Página aberta</t>
  </si>
  <si>
    <t xml:space="preserve">Movimento Econômico: PIB do Nordeste</t>
  </si>
  <si>
    <t xml:space="preserve">https://movimentoeconomico.com.br/economia/2025/11/14/pib-do-nordeste-cresce-29-mas-renda-per-capita-segue-a-menor-do-pais/</t>
  </si>
  <si>
    <t xml:space="preserve">Confirma participações e dá renda per capita do Nordeste</t>
  </si>
  <si>
    <t xml:space="preserve">O Povo: PIB do Nordeste 2023-2024</t>
  </si>
  <si>
    <t xml:space="preserve">https://mais.opovo.com.br/jornal/economia/2025/04/11/pib-do-nordeste-cresce-menos-que-o-do-pais-em-2023-2024.html</t>
  </si>
  <si>
    <t xml:space="preserve">Crescimento por região; energia eólica no Nordeste</t>
  </si>
  <si>
    <t xml:space="preserve">Quero Bolsa: regiões do Brasil</t>
  </si>
  <si>
    <t xml:space="preserve">https://querobolsa.com.br/enem/geografia/regioes-do-brasil</t>
  </si>
  <si>
    <t xml:space="preserve">Resumo da economia de cada região</t>
  </si>
  <si>
    <t xml:space="preserve">Página aberta (fonte escolar)</t>
  </si>
  <si>
    <t xml:space="preserve">Toda Matéria: espaço industrial brasileiro</t>
  </si>
  <si>
    <t xml:space="preserve">https://www.todamateria.com.br/espaco-industrial-brasileiro/</t>
  </si>
  <si>
    <t xml:space="preserve">Perfil industrial por região</t>
  </si>
  <si>
    <t xml:space="preserve">Movimento Econômico: turismo de verão</t>
  </si>
  <si>
    <t xml:space="preserve">https://movimentoeconomico.com.br/economia/turismo/2024/12/25/ne-lidera-turismo-nacional-no-verao-53-dos-brasileiros-escolhem-a-regiao/</t>
  </si>
  <si>
    <t xml:space="preserve">Pesquisa Nexus para o Ministério do Turismo (out/2024)</t>
  </si>
  <si>
    <t xml:space="preserve">CNN Brasil: safra 2025/26 (Conab)</t>
  </si>
  <si>
    <t xml:space="preserve">https://www.cnnbrasil.com.br/agro/conab-eleva-safra-de-graos-para-358-milhoes-de-toneladas-na-safra-2025-26/</t>
  </si>
  <si>
    <t xml:space="preserve">Safra nacional 358 mi t; sem quebra por região</t>
  </si>
  <si>
    <t xml:space="preserve">Página aberta; a quebra regional não veio</t>
  </si>
  <si>
    <t xml:space="preserve">SENAR: formação profissional (CNA)</t>
  </si>
  <si>
    <t xml:space="preserve">https://cnabrasil.org.br/formacao-profissional</t>
  </si>
  <si>
    <t xml:space="preserve">Ofertas gratuitas; +200 cursos online</t>
  </si>
  <si>
    <t xml:space="preserve">SENAR Play: cursos</t>
  </si>
  <si>
    <t xml:space="preserve">22 cadeias e 21 áreas</t>
  </si>
  <si>
    <t xml:space="preserve">SENAR Play: lista em PDF</t>
  </si>
  <si>
    <t xml:space="preserve">https://ead.senar.org.br/cursos-pdf</t>
  </si>
  <si>
    <t xml:space="preserve">Lista completa dos cursos</t>
  </si>
  <si>
    <t xml:space="preserve">NÃO consegui ler (arquivo binário; o acesso direto foi recusado)</t>
  </si>
  <si>
    <t xml:space="preserve">Sebrae: loja de cursos online</t>
  </si>
  <si>
    <t xml:space="preserve">45 cursos com horas</t>
  </si>
  <si>
    <t xml:space="preserve">Fundação Bradesco: Escola Virtual</t>
  </si>
  <si>
    <t xml:space="preserve">12 cursos com horas; nota mínima 70%</t>
  </si>
  <si>
    <t xml:space="preserve">Página aberta; só a 1ª página apareceu</t>
  </si>
  <si>
    <t xml:space="preserve">SENAI-SP: cursos</t>
  </si>
  <si>
    <t xml:space="preserve">10 cursos com horas</t>
  </si>
  <si>
    <t xml:space="preserve">Página aberta; só parte apareceu</t>
  </si>
  <si>
    <t xml:space="preserve">Escola Virtual de Governo: catálogo</t>
  </si>
  <si>
    <t xml:space="preserve">Cursos de serviço público</t>
  </si>
  <si>
    <t xml:space="preserve">Escola Virtual de Governo: início</t>
  </si>
  <si>
    <t xml:space="preserve">Áreas e quantidade de cursos</t>
  </si>
  <si>
    <t xml:space="preserve">SENAI nacional</t>
  </si>
  <si>
    <t xml:space="preserve">https://www.senai.br/</t>
  </si>
  <si>
    <t xml:space="preserve">NÃO abriu (erro de certificado do site)</t>
  </si>
  <si>
    <t xml:space="preserve">Senac EAD gratuito</t>
  </si>
  <si>
    <t xml:space="preserve">NÃO abriu (leitura automática bloqueada pelo site)</t>
  </si>
  <si>
    <t xml:space="preserve">Senac nacional</t>
  </si>
  <si>
    <t xml:space="preserve">https://www.senac.br/</t>
  </si>
  <si>
    <t xml:space="preserve">NÃO abriu (erro 403)</t>
  </si>
  <si>
    <t xml:space="preserve">gov.br Todos por Todos (SENAT)</t>
  </si>
  <si>
    <t xml:space="preserve">NÃO abriu (conteúdo restrito)</t>
  </si>
  <si>
    <t xml:space="preserve">Reportagem: SENAI +200 cursos EAD</t>
  </si>
  <si>
    <t xml:space="preserve">17 nomes de cursos</t>
  </si>
  <si>
    <t xml:space="preserve">Reportagem de 2023</t>
  </si>
  <si>
    <t xml:space="preserve">Reportagem: SEST SENAT 160 cursos</t>
  </si>
  <si>
    <t xml:space="preserve">14 cursos com horas</t>
  </si>
  <si>
    <t xml:space="preserve">Reportagem de 2022</t>
  </si>
  <si>
    <t xml:space="preserve">Reportagem: Sebrae +340 cursos</t>
  </si>
  <si>
    <t xml:space="preserve">https://concursosnobrasil.com/educacao/2023/05/15/conheca-mais-de-340-cursos-on-line-e-gratuitos-oferecidos-pelo-sebrae/</t>
  </si>
  <si>
    <t xml:space="preserve">Nomes de cursos Sebrae</t>
  </si>
  <si>
    <t xml:space="preserve">Reportagem: Sebrae +150 cursos</t>
  </si>
  <si>
    <t xml:space="preserve">https://catracalivre.com.br/educacao/sebrae-oferece-mais-de-150-cursos-gratuitos-com-certificado/</t>
  </si>
  <si>
    <t xml:space="preserve">Reportagem</t>
  </si>
  <si>
    <t xml:space="preserve">Reportagem: Ministério do Turismo, 20+ cursos</t>
  </si>
  <si>
    <t xml:space="preserve">7 nomes de cursos</t>
  </si>
  <si>
    <t xml:space="preserve">Reportagem (lida em tradução; títulos aproximados)</t>
  </si>
  <si>
    <t xml:space="preserve">Reportagem: Senac gratuito (64 áreas)</t>
  </si>
  <si>
    <t xml:space="preserve">https://www.gazetasp.com.br/economia/senac-abre-oportunidade-de-curso-tecnico-gratuito-confira/</t>
  </si>
  <si>
    <t xml:space="preserve">Áreas e regra de renda</t>
  </si>
  <si>
    <t xml:space="preserve">IPIP (Big Five), licença</t>
  </si>
  <si>
    <t xml:space="preserve">https://ipip.ori.org/</t>
  </si>
  <si>
    <t xml:space="preserve">Itens e escalas em domínio público; uso e tradução livres, inclusive comercial</t>
  </si>
  <si>
    <t xml:space="preserve">IPIP: marcadores Big Five</t>
  </si>
  <si>
    <t xml:space="preserve">https://ipip.ori.org/newBigFive5broadKey.htm</t>
  </si>
  <si>
    <t xml:space="preserve">Lista de itens por fator</t>
  </si>
  <si>
    <t xml:space="preserve">O*NET Interest Profiler (RIASEC)</t>
  </si>
  <si>
    <t xml:space="preserve">https://www.onetcenter.org/IP.html</t>
  </si>
  <si>
    <t xml:space="preserve">Licença Creative Commons 4.0 (crédito ao Departamento do Trabalho dos EUA)</t>
  </si>
  <si>
    <t xml:space="preserve">Página aberta; usei só o modelo, as frases são nossas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</si>
</sst>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General"/>
    <numFmt numFmtId="166" formatCode="0%"/>
    <numFmt numFmtId="167" formatCode="0.0%"/>
    <numFmt numFmtId="168" formatCode="0.0"/>
    <numFmt numFmtId="169" formatCode="0.00"/>
    <numFmt numFmtId="170" formatCode="0.000"/>
    <numFmt numFmtId="171" formatCode="\+0.0;\-0.0;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937"/>
      <name val="Arial"/>
      <family val="0"/>
      <charset val="1"/>
    </font>
    <font>
      <i val="true"/>
      <sz val="10"/>
      <color rgb="FF4B5563"/>
      <name val="Arial"/>
      <family val="0"/>
      <charset val="1"/>
    </font>
    <font>
      <b val="true"/>
      <sz val="11"/>
      <color rgb="FF1F2937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11827"/>
      <name val="Arial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rgb="FFE5E7EB"/>
        <bgColor rgb="FFE8EEFF"/>
      </patternFill>
    </fill>
    <fill>
      <patternFill patternType="solid">
        <fgColor rgb="FFE6F4EA"/>
        <bgColor rgb="FFEEF0F3"/>
      </patternFill>
    </fill>
    <fill>
      <patternFill patternType="solid">
        <fgColor rgb="FFFFF6D6"/>
        <bgColor rgb="FFFFF1E6"/>
      </patternFill>
    </fill>
    <fill>
      <patternFill patternType="solid">
        <fgColor rgb="FFE8EEFF"/>
        <bgColor rgb="FFEEF0F3"/>
      </patternFill>
    </fill>
    <fill>
      <patternFill patternType="solid">
        <fgColor rgb="FF1F2937"/>
        <bgColor rgb="FF111827"/>
      </patternFill>
    </fill>
    <fill>
      <patternFill patternType="solid">
        <fgColor rgb="FFFFFF99"/>
        <bgColor rgb="FFFFF6D6"/>
      </patternFill>
    </fill>
    <fill>
      <patternFill patternType="solid">
        <fgColor rgb="FFB42318"/>
        <bgColor rgb="FFC2410C"/>
      </patternFill>
    </fill>
    <fill>
      <patternFill patternType="solid">
        <fgColor rgb="FF7F1D14"/>
        <bgColor rgb="FF8A2E08"/>
      </patternFill>
    </fill>
    <fill>
      <patternFill patternType="solid">
        <fgColor rgb="FFFDECEA"/>
        <bgColor rgb="FFF7EDE3"/>
      </patternFill>
    </fill>
    <fill>
      <patternFill patternType="solid">
        <fgColor rgb="FFFFC83A"/>
        <bgColor rgb="FFFF9900"/>
      </patternFill>
    </fill>
    <fill>
      <patternFill patternType="solid">
        <fgColor rgb="FFC2410C"/>
        <bgColor rgb="FFB45309"/>
      </patternFill>
    </fill>
    <fill>
      <patternFill patternType="solid">
        <fgColor rgb="FF8A2E08"/>
        <bgColor rgb="FF7F1D14"/>
      </patternFill>
    </fill>
    <fill>
      <patternFill patternType="solid">
        <fgColor rgb="FFFFF1E6"/>
        <bgColor rgb="FFFDECEA"/>
      </patternFill>
    </fill>
    <fill>
      <patternFill patternType="solid">
        <fgColor rgb="FF5C4200"/>
        <bgColor rgb="FF4A2A12"/>
      </patternFill>
    </fill>
    <fill>
      <patternFill patternType="solid">
        <fgColor rgb="FF1E6B3C"/>
        <bgColor rgb="FF008080"/>
      </patternFill>
    </fill>
    <fill>
      <patternFill patternType="solid">
        <fgColor rgb="FF123B2B"/>
        <bgColor rgb="FF1F2937"/>
      </patternFill>
    </fill>
    <fill>
      <patternFill patternType="solid">
        <fgColor rgb="FF1D4ED8"/>
        <bgColor rgb="FF0563C1"/>
      </patternFill>
    </fill>
    <fill>
      <patternFill patternType="solid">
        <fgColor rgb="FF1E3A8A"/>
        <bgColor rgb="FF1D4ED8"/>
      </patternFill>
    </fill>
    <fill>
      <patternFill patternType="solid">
        <fgColor rgb="FF6D28D9"/>
        <bgColor rgb="FF7C3AED"/>
      </patternFill>
    </fill>
    <fill>
      <patternFill patternType="solid">
        <fgColor rgb="FF4C1D95"/>
        <bgColor rgb="FF6D28D9"/>
      </patternFill>
    </fill>
    <fill>
      <patternFill patternType="solid">
        <fgColor rgb="FFF1E9FE"/>
        <bgColor rgb="FFE8EEFF"/>
      </patternFill>
    </fill>
    <fill>
      <patternFill patternType="solid">
        <fgColor rgb="FF7C4A24"/>
        <bgColor rgb="FF5C4200"/>
      </patternFill>
    </fill>
    <fill>
      <patternFill patternType="solid">
        <fgColor rgb="FF4A2A12"/>
        <bgColor rgb="FF5C4200"/>
      </patternFill>
    </fill>
    <fill>
      <patternFill patternType="solid">
        <fgColor rgb="FFF7EDE3"/>
        <bgColor rgb="FFFDECEA"/>
      </patternFill>
    </fill>
    <fill>
      <patternFill patternType="solid">
        <fgColor rgb="FFBE185D"/>
        <bgColor rgb="FFB42318"/>
      </patternFill>
    </fill>
    <fill>
      <patternFill patternType="solid">
        <fgColor rgb="FF831843"/>
        <bgColor rgb="FF7F1D14"/>
      </patternFill>
    </fill>
    <fill>
      <patternFill patternType="solid">
        <fgColor rgb="FFFDE7F0"/>
        <bgColor rgb="FFFDECEA"/>
      </patternFill>
    </fill>
    <fill>
      <patternFill patternType="solid">
        <fgColor rgb="FF111827"/>
        <bgColor rgb="FF1F2937"/>
      </patternFill>
    </fill>
    <fill>
      <patternFill patternType="solid">
        <fgColor rgb="FFEEF0F3"/>
        <bgColor rgb="FFE8EEFF"/>
      </patternFill>
    </fill>
    <fill>
      <patternFill patternType="solid">
        <fgColor rgb="FFFEE2E2"/>
        <bgColor rgb="FFFDE7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1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1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1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1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2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2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2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3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E8EEFF"/>
          <bgColor rgb="FF000000"/>
        </patternFill>
      </fill>
    </dxf>
    <dxf>
      <fill>
        <patternFill patternType="solid">
          <fgColor rgb="FFFFF6D6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BBF7D0"/>
        </patternFill>
      </fill>
    </dxf>
    <dxf>
      <fill>
        <patternFill>
          <bgColor rgb="FFE5E7EB"/>
        </patternFill>
      </fill>
    </dxf>
    <dxf>
      <fill>
        <patternFill patternType="solid">
          <fgColor rgb="FFBBF7D0"/>
          <bgColor rgb="FF000000"/>
        </patternFill>
      </fill>
    </dxf>
  </dxfs>
  <colors>
    <indexedColors>
      <rgbColor rgb="FF000000"/>
      <rgbColor rgb="FFFFFFFF"/>
      <rgbColor rgb="FFC2410C"/>
      <rgbColor rgb="FF00FF00"/>
      <rgbColor rgb="FF0000FF"/>
      <rgbColor rgb="FFFFF1E6"/>
      <rgbColor rgb="FFFF00FF"/>
      <rgbColor rgb="FF00FFFF"/>
      <rgbColor rgb="FF7F1D14"/>
      <rgbColor rgb="FF1E6B3C"/>
      <rgbColor rgb="FF000080"/>
      <rgbColor rgb="FF7C4A24"/>
      <rgbColor rgb="FF6D28D9"/>
      <rgbColor rgb="FF008080"/>
      <rgbColor rgb="FFE5E7EB"/>
      <rgbColor rgb="FF4B5563"/>
      <rgbColor rgb="FFEEF0F3"/>
      <rgbColor rgb="FF831843"/>
      <rgbColor rgb="FFFFF6D6"/>
      <rgbColor rgb="FFE6F4EA"/>
      <rgbColor rgb="FF4C1D95"/>
      <rgbColor rgb="FFFF8080"/>
      <rgbColor rgb="FF0563C1"/>
      <rgbColor rgb="FFD1D5DB"/>
      <rgbColor rgb="FF000080"/>
      <rgbColor rgb="FFFF00FF"/>
      <rgbColor rgb="FFFDECEA"/>
      <rgbColor rgb="FF00FFFF"/>
      <rgbColor rgb="FF7C3AED"/>
      <rgbColor rgb="FFB42318"/>
      <rgbColor rgb="FF008080"/>
      <rgbColor rgb="FF0000FF"/>
      <rgbColor rgb="FF0EA5E9"/>
      <rgbColor rgb="FFE8EEFF"/>
      <rgbColor rgb="FFBBF7D0"/>
      <rgbColor rgb="FFFFFF99"/>
      <rgbColor rgb="FFF1E9FE"/>
      <rgbColor rgb="FFFDE7F0"/>
      <rgbColor rgb="FFF7EDE3"/>
      <rgbColor rgb="FFFEE2E2"/>
      <rgbColor rgb="FF1D4ED8"/>
      <rgbColor rgb="FF33CCCC"/>
      <rgbColor rgb="FF99CC00"/>
      <rgbColor rgb="FFFFC83A"/>
      <rgbColor rgb="FFFF9900"/>
      <rgbColor rgb="FFB45309"/>
      <rgbColor rgb="FF6B7280"/>
      <rgbColor rgb="FF969696"/>
      <rgbColor rgb="FF111827"/>
      <rgbColor rgb="FF5C4200"/>
      <rgbColor rgb="FF123B2B"/>
      <rgbColor rgb="FF4A2A12"/>
      <rgbColor rgb="FF8A2E08"/>
      <rgbColor rgb="FFBE185D"/>
      <rgbColor rgb="FF1E3A8A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loja.sebrae.com.br/cursos/cursos-online" TargetMode="External"/><Relationship Id="rId2" Type="http://schemas.openxmlformats.org/officeDocument/2006/relationships/hyperlink" Target="https://loja.sebrae.com.br/cursos/cursos-online" TargetMode="External"/><Relationship Id="rId3" Type="http://schemas.openxmlformats.org/officeDocument/2006/relationships/hyperlink" Target="https://loja.sebrae.com.br/cursos/cursos-online" TargetMode="External"/><Relationship Id="rId4" Type="http://schemas.openxmlformats.org/officeDocument/2006/relationships/hyperlink" Target="https://loja.sebrae.com.br/cursos/cursos-online" TargetMode="External"/><Relationship Id="rId5" Type="http://schemas.openxmlformats.org/officeDocument/2006/relationships/hyperlink" Target="https://loja.sebrae.com.br/cursos/cursos-online" TargetMode="External"/><Relationship Id="rId6" Type="http://schemas.openxmlformats.org/officeDocument/2006/relationships/hyperlink" Target="https://loja.sebrae.com.br/cursos/cursos-online" TargetMode="External"/><Relationship Id="rId7" Type="http://schemas.openxmlformats.org/officeDocument/2006/relationships/hyperlink" Target="https://loja.sebrae.com.br/cursos/cursos-online" TargetMode="External"/><Relationship Id="rId8" Type="http://schemas.openxmlformats.org/officeDocument/2006/relationships/hyperlink" Target="https://loja.sebrae.com.br/cursos/cursos-online" TargetMode="External"/><Relationship Id="rId9" Type="http://schemas.openxmlformats.org/officeDocument/2006/relationships/hyperlink" Target="https://loja.sebrae.com.br/cursos/cursos-online" TargetMode="External"/><Relationship Id="rId10" Type="http://schemas.openxmlformats.org/officeDocument/2006/relationships/hyperlink" Target="https://loja.sebrae.com.br/cursos/cursos-online" TargetMode="External"/><Relationship Id="rId11" Type="http://schemas.openxmlformats.org/officeDocument/2006/relationships/hyperlink" Target="https://loja.sebrae.com.br/cursos/cursos-online" TargetMode="External"/><Relationship Id="rId12" Type="http://schemas.openxmlformats.org/officeDocument/2006/relationships/hyperlink" Target="https://loja.sebrae.com.br/cursos/cursos-online" TargetMode="External"/><Relationship Id="rId13" Type="http://schemas.openxmlformats.org/officeDocument/2006/relationships/hyperlink" Target="https://loja.sebrae.com.br/cursos/cursos-online" TargetMode="External"/><Relationship Id="rId14" Type="http://schemas.openxmlformats.org/officeDocument/2006/relationships/hyperlink" Target="https://loja.sebrae.com.br/cursos/cursos-online" TargetMode="External"/><Relationship Id="rId15" Type="http://schemas.openxmlformats.org/officeDocument/2006/relationships/hyperlink" Target="https://loja.sebrae.com.br/cursos/cursos-online" TargetMode="External"/><Relationship Id="rId16" Type="http://schemas.openxmlformats.org/officeDocument/2006/relationships/hyperlink" Target="https://loja.sebrae.com.br/cursos/cursos-online" TargetMode="External"/><Relationship Id="rId17" Type="http://schemas.openxmlformats.org/officeDocument/2006/relationships/hyperlink" Target="https://loja.sebrae.com.br/cursos/cursos-online" TargetMode="External"/><Relationship Id="rId18" Type="http://schemas.openxmlformats.org/officeDocument/2006/relationships/hyperlink" Target="https://loja.sebrae.com.br/cursos/cursos-online" TargetMode="External"/><Relationship Id="rId19" Type="http://schemas.openxmlformats.org/officeDocument/2006/relationships/hyperlink" Target="https://loja.sebrae.com.br/cursos/cursos-online" TargetMode="External"/><Relationship Id="rId20" Type="http://schemas.openxmlformats.org/officeDocument/2006/relationships/hyperlink" Target="https://loja.sebrae.com.br/cursos/cursos-online" TargetMode="External"/><Relationship Id="rId21" Type="http://schemas.openxmlformats.org/officeDocument/2006/relationships/hyperlink" Target="https://loja.sebrae.com.br/cursos/cursos-online" TargetMode="External"/><Relationship Id="rId22" Type="http://schemas.openxmlformats.org/officeDocument/2006/relationships/hyperlink" Target="https://loja.sebrae.com.br/cursos/cursos-online" TargetMode="External"/><Relationship Id="rId23" Type="http://schemas.openxmlformats.org/officeDocument/2006/relationships/hyperlink" Target="https://loja.sebrae.com.br/cursos/cursos-online" TargetMode="External"/><Relationship Id="rId24" Type="http://schemas.openxmlformats.org/officeDocument/2006/relationships/hyperlink" Target="https://loja.sebrae.com.br/cursos/cursos-online" TargetMode="External"/><Relationship Id="rId25" Type="http://schemas.openxmlformats.org/officeDocument/2006/relationships/hyperlink" Target="https://loja.sebrae.com.br/cursos/cursos-online" TargetMode="External"/><Relationship Id="rId26" Type="http://schemas.openxmlformats.org/officeDocument/2006/relationships/hyperlink" Target="https://loja.sebrae.com.br/cursos/cursos-online" TargetMode="External"/><Relationship Id="rId27" Type="http://schemas.openxmlformats.org/officeDocument/2006/relationships/hyperlink" Target="https://loja.sebrae.com.br/cursos/cursos-online" TargetMode="External"/><Relationship Id="rId28" Type="http://schemas.openxmlformats.org/officeDocument/2006/relationships/hyperlink" Target="https://loja.sebrae.com.br/cursos/cursos-online" TargetMode="External"/><Relationship Id="rId29" Type="http://schemas.openxmlformats.org/officeDocument/2006/relationships/hyperlink" Target="https://loja.sebrae.com.br/cursos/cursos-online" TargetMode="External"/><Relationship Id="rId30" Type="http://schemas.openxmlformats.org/officeDocument/2006/relationships/hyperlink" Target="https://loja.sebrae.com.br/cursos/cursos-online" TargetMode="External"/><Relationship Id="rId31" Type="http://schemas.openxmlformats.org/officeDocument/2006/relationships/hyperlink" Target="https://loja.sebrae.com.br/cursos/cursos-online" TargetMode="External"/><Relationship Id="rId32" Type="http://schemas.openxmlformats.org/officeDocument/2006/relationships/hyperlink" Target="https://loja.sebrae.com.br/cursos/cursos-online" TargetMode="External"/><Relationship Id="rId33" Type="http://schemas.openxmlformats.org/officeDocument/2006/relationships/hyperlink" Target="https://loja.sebrae.com.br/cursos/cursos-online" TargetMode="External"/><Relationship Id="rId34" Type="http://schemas.openxmlformats.org/officeDocument/2006/relationships/hyperlink" Target="https://loja.sebrae.com.br/cursos/cursos-online" TargetMode="External"/><Relationship Id="rId35" Type="http://schemas.openxmlformats.org/officeDocument/2006/relationships/hyperlink" Target="https://loja.sebrae.com.br/cursos/cursos-online" TargetMode="External"/><Relationship Id="rId36" Type="http://schemas.openxmlformats.org/officeDocument/2006/relationships/hyperlink" Target="https://loja.sebrae.com.br/cursos/cursos-online" TargetMode="External"/><Relationship Id="rId37" Type="http://schemas.openxmlformats.org/officeDocument/2006/relationships/hyperlink" Target="https://loja.sebrae.com.br/cursos/cursos-online" TargetMode="External"/><Relationship Id="rId38" Type="http://schemas.openxmlformats.org/officeDocument/2006/relationships/hyperlink" Target="https://loja.sebrae.com.br/cursos/cursos-online" TargetMode="External"/><Relationship Id="rId39" Type="http://schemas.openxmlformats.org/officeDocument/2006/relationships/hyperlink" Target="https://loja.sebrae.com.br/cursos/cursos-online" TargetMode="External"/><Relationship Id="rId40" Type="http://schemas.openxmlformats.org/officeDocument/2006/relationships/hyperlink" Target="https://loja.sebrae.com.br/cursos/cursos-online" TargetMode="External"/><Relationship Id="rId41" Type="http://schemas.openxmlformats.org/officeDocument/2006/relationships/hyperlink" Target="https://loja.sebrae.com.br/cursos/cursos-online" TargetMode="External"/><Relationship Id="rId42" Type="http://schemas.openxmlformats.org/officeDocument/2006/relationships/hyperlink" Target="https://loja.sebrae.com.br/cursos/cursos-online" TargetMode="External"/><Relationship Id="rId43" Type="http://schemas.openxmlformats.org/officeDocument/2006/relationships/hyperlink" Target="https://loja.sebrae.com.br/cursos/cursos-online" TargetMode="External"/><Relationship Id="rId44" Type="http://schemas.openxmlformats.org/officeDocument/2006/relationships/hyperlink" Target="https://loja.sebrae.com.br/cursos/cursos-online" TargetMode="External"/><Relationship Id="rId45" Type="http://schemas.openxmlformats.org/officeDocument/2006/relationships/hyperlink" Target="https://loja.sebrae.com.br/cursos/cursos-online" TargetMode="External"/><Relationship Id="rId46" Type="http://schemas.openxmlformats.org/officeDocument/2006/relationships/hyperlink" Target="https://loja.sebrae.com.br/cursos/cursos-online" TargetMode="External"/><Relationship Id="rId47" Type="http://schemas.openxmlformats.org/officeDocument/2006/relationships/hyperlink" Target="https://loja.sebrae.com.br/cursos/cursos-online" TargetMode="External"/><Relationship Id="rId48" Type="http://schemas.openxmlformats.org/officeDocument/2006/relationships/hyperlink" Target="https://loja.sebrae.com.br/cursos/cursos-online" TargetMode="External"/><Relationship Id="rId49" Type="http://schemas.openxmlformats.org/officeDocument/2006/relationships/hyperlink" Target="https://loja.sebrae.com.br/cursos/cursos-online" TargetMode="External"/><Relationship Id="rId50" Type="http://schemas.openxmlformats.org/officeDocument/2006/relationships/hyperlink" Target="https://loja.sebrae.com.br/cursos/cursos-online" TargetMode="External"/><Relationship Id="rId51" Type="http://schemas.openxmlformats.org/officeDocument/2006/relationships/hyperlink" Target="https://loja.sebrae.com.br/cursos/cursos-online" TargetMode="External"/><Relationship Id="rId52" Type="http://schemas.openxmlformats.org/officeDocument/2006/relationships/hyperlink" Target="https://loja.sebrae.com.br/cursos/cursos-online" TargetMode="External"/><Relationship Id="rId53" Type="http://schemas.openxmlformats.org/officeDocument/2006/relationships/hyperlink" Target="https://loja.sebrae.com.br/cursos/cursos-online" TargetMode="External"/><Relationship Id="rId54" Type="http://schemas.openxmlformats.org/officeDocument/2006/relationships/hyperlink" Target="https://loja.sebrae.com.br/cursos/cursos-online" TargetMode="External"/><Relationship Id="rId55" Type="http://schemas.openxmlformats.org/officeDocument/2006/relationships/hyperlink" Target="https://loja.sebrae.com.br/cursos/cursos-online" TargetMode="External"/><Relationship Id="rId56" Type="http://schemas.openxmlformats.org/officeDocument/2006/relationships/hyperlink" Target="https://loja.sebrae.com.br/cursos/cursos-online" TargetMode="External"/><Relationship Id="rId57" Type="http://schemas.openxmlformats.org/officeDocument/2006/relationships/hyperlink" Target="https://loja.sebrae.com.br/cursos/cursos-online" TargetMode="External"/><Relationship Id="rId58" Type="http://schemas.openxmlformats.org/officeDocument/2006/relationships/hyperlink" Target="https://loja.sebrae.com.br/cursos/cursos-online" TargetMode="External"/><Relationship Id="rId59" Type="http://schemas.openxmlformats.org/officeDocument/2006/relationships/hyperlink" Target="https://loja.sebrae.com.br/cursos/cursos-online" TargetMode="External"/><Relationship Id="rId60" Type="http://schemas.openxmlformats.org/officeDocument/2006/relationships/hyperlink" Target="https://loja.sebrae.com.br/cursos/cursos-online" TargetMode="External"/><Relationship Id="rId61" Type="http://schemas.openxmlformats.org/officeDocument/2006/relationships/hyperlink" Target="https://loja.sebrae.com.br/cursos/cursos-online" TargetMode="External"/><Relationship Id="rId62" Type="http://schemas.openxmlformats.org/officeDocument/2006/relationships/hyperlink" Target="https://loja.sebrae.com.br/cursos/cursos-online" TargetMode="External"/><Relationship Id="rId63" Type="http://schemas.openxmlformats.org/officeDocument/2006/relationships/hyperlink" Target="https://loja.sebrae.com.br/cursos/cursos-online" TargetMode="External"/><Relationship Id="rId64" Type="http://schemas.openxmlformats.org/officeDocument/2006/relationships/hyperlink" Target="https://loja.sebrae.com.br/cursos/cursos-online" TargetMode="External"/><Relationship Id="rId65" Type="http://schemas.openxmlformats.org/officeDocument/2006/relationships/hyperlink" Target="https://loja.sebrae.com.br/cursos/cursos-online" TargetMode="External"/><Relationship Id="rId66" Type="http://schemas.openxmlformats.org/officeDocument/2006/relationships/hyperlink" Target="https://loja.sebrae.com.br/cursos/cursos-online" TargetMode="External"/><Relationship Id="rId67" Type="http://schemas.openxmlformats.org/officeDocument/2006/relationships/hyperlink" Target="https://loja.sebrae.com.br/cursos/cursos-online" TargetMode="External"/><Relationship Id="rId68" Type="http://schemas.openxmlformats.org/officeDocument/2006/relationships/hyperlink" Target="https://loja.sebrae.com.br/cursos/cursos-online" TargetMode="External"/><Relationship Id="rId69" Type="http://schemas.openxmlformats.org/officeDocument/2006/relationships/hyperlink" Target="https://loja.sebrae.com.br/cursos/cursos-online" TargetMode="External"/><Relationship Id="rId70" Type="http://schemas.openxmlformats.org/officeDocument/2006/relationships/hyperlink" Target="https://loja.sebrae.com.br/cursos/cursos-online" TargetMode="External"/><Relationship Id="rId71" Type="http://schemas.openxmlformats.org/officeDocument/2006/relationships/hyperlink" Target="https://loja.sebrae.com.br/cursos/cursos-online" TargetMode="External"/><Relationship Id="rId72" Type="http://schemas.openxmlformats.org/officeDocument/2006/relationships/hyperlink" Target="https://loja.sebrae.com.br/cursos/cursos-online" TargetMode="External"/><Relationship Id="rId73" Type="http://schemas.openxmlformats.org/officeDocument/2006/relationships/hyperlink" Target="https://loja.sebrae.com.br/cursos/cursos-online" TargetMode="External"/><Relationship Id="rId74" Type="http://schemas.openxmlformats.org/officeDocument/2006/relationships/hyperlink" Target="https://loja.sebrae.com.br/cursos/cursos-online" TargetMode="External"/><Relationship Id="rId75" Type="http://schemas.openxmlformats.org/officeDocument/2006/relationships/hyperlink" Target="https://loja.sebrae.com.br/cursos/cursos-online" TargetMode="External"/><Relationship Id="rId76" Type="http://schemas.openxmlformats.org/officeDocument/2006/relationships/hyperlink" Target="https://www.ev.org.br/cursos" TargetMode="External"/><Relationship Id="rId77" Type="http://schemas.openxmlformats.org/officeDocument/2006/relationships/hyperlink" Target="https://www.ev.org.br/cursos" TargetMode="External"/><Relationship Id="rId78" Type="http://schemas.openxmlformats.org/officeDocument/2006/relationships/hyperlink" Target="https://www.ev.org.br/cursos" TargetMode="External"/><Relationship Id="rId79" Type="http://schemas.openxmlformats.org/officeDocument/2006/relationships/hyperlink" Target="https://www.ev.org.br/cursos" TargetMode="External"/><Relationship Id="rId80" Type="http://schemas.openxmlformats.org/officeDocument/2006/relationships/hyperlink" Target="https://www.ev.org.br/cursos" TargetMode="External"/><Relationship Id="rId81" Type="http://schemas.openxmlformats.org/officeDocument/2006/relationships/hyperlink" Target="https://www.ev.org.br/cursos" TargetMode="External"/><Relationship Id="rId82" Type="http://schemas.openxmlformats.org/officeDocument/2006/relationships/hyperlink" Target="https://www.ev.org.br/cursos" TargetMode="External"/><Relationship Id="rId83" Type="http://schemas.openxmlformats.org/officeDocument/2006/relationships/hyperlink" Target="https://www.ev.org.br/cursos" TargetMode="External"/><Relationship Id="rId84" Type="http://schemas.openxmlformats.org/officeDocument/2006/relationships/hyperlink" Target="https://www.ev.org.br/cursos" TargetMode="External"/><Relationship Id="rId85" Type="http://schemas.openxmlformats.org/officeDocument/2006/relationships/hyperlink" Target="https://www.ev.org.br/cursos" TargetMode="External"/><Relationship Id="rId86" Type="http://schemas.openxmlformats.org/officeDocument/2006/relationships/hyperlink" Target="https://www.ev.org.br/cursos" TargetMode="External"/><Relationship Id="rId87" Type="http://schemas.openxmlformats.org/officeDocument/2006/relationships/hyperlink" Target="https://www.ev.org.br/cursos" TargetMode="External"/><Relationship Id="rId88" Type="http://schemas.openxmlformats.org/officeDocument/2006/relationships/hyperlink" Target="https://www.sp.senai.br/cursos" TargetMode="External"/><Relationship Id="rId89" Type="http://schemas.openxmlformats.org/officeDocument/2006/relationships/hyperlink" Target="https://www.sp.senai.br/cursos" TargetMode="External"/><Relationship Id="rId90" Type="http://schemas.openxmlformats.org/officeDocument/2006/relationships/hyperlink" Target="https://www.sp.senai.br/cursos" TargetMode="External"/><Relationship Id="rId91" Type="http://schemas.openxmlformats.org/officeDocument/2006/relationships/hyperlink" Target="https://www.sp.senai.br/cursos" TargetMode="External"/><Relationship Id="rId92" Type="http://schemas.openxmlformats.org/officeDocument/2006/relationships/hyperlink" Target="https://www.sp.senai.br/cursos" TargetMode="External"/><Relationship Id="rId93" Type="http://schemas.openxmlformats.org/officeDocument/2006/relationships/hyperlink" Target="https://www.sp.senai.br/cursos" TargetMode="External"/><Relationship Id="rId94" Type="http://schemas.openxmlformats.org/officeDocument/2006/relationships/hyperlink" Target="https://www.sp.senai.br/cursos" TargetMode="External"/><Relationship Id="rId95" Type="http://schemas.openxmlformats.org/officeDocument/2006/relationships/hyperlink" Target="https://www.sp.senai.br/cursos" TargetMode="External"/><Relationship Id="rId96" Type="http://schemas.openxmlformats.org/officeDocument/2006/relationships/hyperlink" Target="https://www.sp.senai.br/cursos" TargetMode="External"/><Relationship Id="rId97" Type="http://schemas.openxmlformats.org/officeDocument/2006/relationships/hyperlink" Target="https://www.sp.senai.br/cursos" TargetMode="External"/><Relationship Id="rId98" Type="http://schemas.openxmlformats.org/officeDocument/2006/relationships/hyperlink" Target="https://concursosnobrasil.com/educacao/2023/05/25/senai-oferece-mais-de-200-cursos-on-line-e-gratuitos-a-distancia/" TargetMode="External"/><Relationship Id="rId99" Type="http://schemas.openxmlformats.org/officeDocument/2006/relationships/hyperlink" Target="https://concursosnobrasil.com/educacao/2023/05/25/senai-oferece-mais-de-200-cursos-on-line-e-gratuitos-a-distancia/" TargetMode="External"/><Relationship Id="rId100" Type="http://schemas.openxmlformats.org/officeDocument/2006/relationships/hyperlink" Target="https://concursosnobrasil.com/educacao/2023/05/25/senai-oferece-mais-de-200-cursos-on-line-e-gratuitos-a-distancia/" TargetMode="External"/><Relationship Id="rId101" Type="http://schemas.openxmlformats.org/officeDocument/2006/relationships/hyperlink" Target="https://concursosnobrasil.com/educacao/2023/05/25/senai-oferece-mais-de-200-cursos-on-line-e-gratuitos-a-distancia/" TargetMode="External"/><Relationship Id="rId102" Type="http://schemas.openxmlformats.org/officeDocument/2006/relationships/hyperlink" Target="https://concursosnobrasil.com/educacao/2023/05/25/senai-oferece-mais-de-200-cursos-on-line-e-gratuitos-a-distancia/" TargetMode="External"/><Relationship Id="rId103" Type="http://schemas.openxmlformats.org/officeDocument/2006/relationships/hyperlink" Target="https://concursosnobrasil.com/educacao/2023/05/25/senai-oferece-mais-de-200-cursos-on-line-e-gratuitos-a-distancia/" TargetMode="External"/><Relationship Id="rId104" Type="http://schemas.openxmlformats.org/officeDocument/2006/relationships/hyperlink" Target="https://concursosnobrasil.com/educacao/2023/05/25/senai-oferece-mais-de-200-cursos-on-line-e-gratuitos-a-distancia/" TargetMode="External"/><Relationship Id="rId105" Type="http://schemas.openxmlformats.org/officeDocument/2006/relationships/hyperlink" Target="https://concursosnobrasil.com/educacao/2023/05/25/senai-oferece-mais-de-200-cursos-on-line-e-gratuitos-a-distancia/" TargetMode="External"/><Relationship Id="rId106" Type="http://schemas.openxmlformats.org/officeDocument/2006/relationships/hyperlink" Target="https://concursosnobrasil.com/educacao/2023/05/25/senai-oferece-mais-de-200-cursos-on-line-e-gratuitos-a-distancia/" TargetMode="External"/><Relationship Id="rId107" Type="http://schemas.openxmlformats.org/officeDocument/2006/relationships/hyperlink" Target="https://concursosnobrasil.com/educacao/2023/05/25/senai-oferece-mais-de-200-cursos-on-line-e-gratuitos-a-distancia/" TargetMode="External"/><Relationship Id="rId108" Type="http://schemas.openxmlformats.org/officeDocument/2006/relationships/hyperlink" Target="https://concursosnobrasil.com/educacao/2023/05/25/senai-oferece-mais-de-200-cursos-on-line-e-gratuitos-a-distancia/" TargetMode="External"/><Relationship Id="rId109" Type="http://schemas.openxmlformats.org/officeDocument/2006/relationships/hyperlink" Target="https://concursosnobrasil.com/educacao/2023/05/25/senai-oferece-mais-de-200-cursos-on-line-e-gratuitos-a-distancia/" TargetMode="External"/><Relationship Id="rId110" Type="http://schemas.openxmlformats.org/officeDocument/2006/relationships/hyperlink" Target="https://concursosnobrasil.com/educacao/2023/05/25/senai-oferece-mais-de-200-cursos-on-line-e-gratuitos-a-distancia/" TargetMode="External"/><Relationship Id="rId111" Type="http://schemas.openxmlformats.org/officeDocument/2006/relationships/hyperlink" Target="https://concursosnobrasil.com/educacao/2023/05/25/senai-oferece-mais-de-200-cursos-on-line-e-gratuitos-a-distancia/" TargetMode="External"/><Relationship Id="rId112" Type="http://schemas.openxmlformats.org/officeDocument/2006/relationships/hyperlink" Target="https://concursosnobrasil.com/educacao/2023/05/25/senai-oferece-mais-de-200-cursos-on-line-e-gratuitos-a-distancia/" TargetMode="External"/><Relationship Id="rId113" Type="http://schemas.openxmlformats.org/officeDocument/2006/relationships/hyperlink" Target="https://concursosnobrasil.com/educacao/2023/05/25/senai-oferece-mais-de-200-cursos-on-line-e-gratuitos-a-distancia/" TargetMode="External"/><Relationship Id="rId114" Type="http://schemas.openxmlformats.org/officeDocument/2006/relationships/hyperlink" Target="https://concursosnobrasil.com/educacao/2023/05/25/senai-oferece-mais-de-200-cursos-on-line-e-gratuitos-a-distancia/" TargetMode="External"/><Relationship Id="rId115" Type="http://schemas.openxmlformats.org/officeDocument/2006/relationships/hyperlink" Target="https://concursosnobrasil.com/educacao/2022/04/28/sest-senat-oferece-160-cursos-online-gratuitos-veja-opcoes/" TargetMode="External"/><Relationship Id="rId116" Type="http://schemas.openxmlformats.org/officeDocument/2006/relationships/hyperlink" Target="https://concursosnobrasil.com/educacao/2022/04/28/sest-senat-oferece-160-cursos-online-gratuitos-veja-opcoes/" TargetMode="External"/><Relationship Id="rId117" Type="http://schemas.openxmlformats.org/officeDocument/2006/relationships/hyperlink" Target="https://concursosnobrasil.com/educacao/2022/04/28/sest-senat-oferece-160-cursos-online-gratuitos-veja-opcoes/" TargetMode="External"/><Relationship Id="rId118" Type="http://schemas.openxmlformats.org/officeDocument/2006/relationships/hyperlink" Target="https://concursosnobrasil.com/educacao/2022/04/28/sest-senat-oferece-160-cursos-online-gratuitos-veja-opcoes/" TargetMode="External"/><Relationship Id="rId119" Type="http://schemas.openxmlformats.org/officeDocument/2006/relationships/hyperlink" Target="https://concursosnobrasil.com/educacao/2022/04/28/sest-senat-oferece-160-cursos-online-gratuitos-veja-opcoes/" TargetMode="External"/><Relationship Id="rId120" Type="http://schemas.openxmlformats.org/officeDocument/2006/relationships/hyperlink" Target="https://concursosnobrasil.com/educacao/2022/04/28/sest-senat-oferece-160-cursos-online-gratuitos-veja-opcoes/" TargetMode="External"/><Relationship Id="rId121" Type="http://schemas.openxmlformats.org/officeDocument/2006/relationships/hyperlink" Target="https://concursosnobrasil.com/educacao/2022/04/28/sest-senat-oferece-160-cursos-online-gratuitos-veja-opcoes/" TargetMode="External"/><Relationship Id="rId122" Type="http://schemas.openxmlformats.org/officeDocument/2006/relationships/hyperlink" Target="https://concursosnobrasil.com/educacao/2022/04/28/sest-senat-oferece-160-cursos-online-gratuitos-veja-opcoes/" TargetMode="External"/><Relationship Id="rId123" Type="http://schemas.openxmlformats.org/officeDocument/2006/relationships/hyperlink" Target="https://concursosnobrasil.com/educacao/2022/04/28/sest-senat-oferece-160-cursos-online-gratuitos-veja-opcoes/" TargetMode="External"/><Relationship Id="rId124" Type="http://schemas.openxmlformats.org/officeDocument/2006/relationships/hyperlink" Target="https://concursosnobrasil.com/educacao/2022/04/28/sest-senat-oferece-160-cursos-online-gratuitos-veja-opcoes/" TargetMode="External"/><Relationship Id="rId125" Type="http://schemas.openxmlformats.org/officeDocument/2006/relationships/hyperlink" Target="https://concursosnobrasil.com/educacao/2022/04/28/sest-senat-oferece-160-cursos-online-gratuitos-veja-opcoes/" TargetMode="External"/><Relationship Id="rId126" Type="http://schemas.openxmlformats.org/officeDocument/2006/relationships/hyperlink" Target="https://concursosnobrasil.com/educacao/2022/04/28/sest-senat-oferece-160-cursos-online-gratuitos-veja-opcoes/" TargetMode="External"/><Relationship Id="rId127" Type="http://schemas.openxmlformats.org/officeDocument/2006/relationships/hyperlink" Target="https://concursosnobrasil.com/educacao/2022/04/28/sest-senat-oferece-160-cursos-online-gratuitos-veja-opcoes/" TargetMode="External"/><Relationship Id="rId128" Type="http://schemas.openxmlformats.org/officeDocument/2006/relationships/hyperlink" Target="https://concursosnobrasil.com/educacao/2022/04/28/sest-senat-oferece-160-cursos-online-gratuitos-veja-opcoes/" TargetMode="External"/><Relationship Id="rId129" Type="http://schemas.openxmlformats.org/officeDocument/2006/relationships/hyperlink" Target="https://brasil61.com/n/mtur-abre-inscricoes-para-mais-de-20-cursos-gratuitos-na-area-do-turismo-bras214762" TargetMode="External"/><Relationship Id="rId130" Type="http://schemas.openxmlformats.org/officeDocument/2006/relationships/hyperlink" Target="https://brasil61.com/n/mtur-abre-inscricoes-para-mais-de-20-cursos-gratuitos-na-area-do-turismo-bras214762" TargetMode="External"/><Relationship Id="rId131" Type="http://schemas.openxmlformats.org/officeDocument/2006/relationships/hyperlink" Target="https://brasil61.com/n/mtur-abre-inscricoes-para-mais-de-20-cursos-gratuitos-na-area-do-turismo-bras214762" TargetMode="External"/><Relationship Id="rId132" Type="http://schemas.openxmlformats.org/officeDocument/2006/relationships/hyperlink" Target="https://brasil61.com/n/mtur-abre-inscricoes-para-mais-de-20-cursos-gratuitos-na-area-do-turismo-bras214762" TargetMode="External"/><Relationship Id="rId133" Type="http://schemas.openxmlformats.org/officeDocument/2006/relationships/hyperlink" Target="https://brasil61.com/n/mtur-abre-inscricoes-para-mais-de-20-cursos-gratuitos-na-area-do-turismo-bras214762" TargetMode="External"/><Relationship Id="rId134" Type="http://schemas.openxmlformats.org/officeDocument/2006/relationships/hyperlink" Target="https://brasil61.com/n/mtur-abre-inscricoes-para-mais-de-20-cursos-gratuitos-na-area-do-turismo-bras214762" TargetMode="External"/><Relationship Id="rId135" Type="http://schemas.openxmlformats.org/officeDocument/2006/relationships/hyperlink" Target="https://brasil61.com/n/mtur-abre-inscricoes-para-mais-de-20-cursos-gratuitos-na-area-do-turismo-bras214762" TargetMode="External"/><Relationship Id="rId136" Type="http://schemas.openxmlformats.org/officeDocument/2006/relationships/hyperlink" Target="https://www.escolavirtual.gov.br/catalogo" TargetMode="External"/><Relationship Id="rId137" Type="http://schemas.openxmlformats.org/officeDocument/2006/relationships/hyperlink" Target="https://www.escolavirtual.gov.br/catalogo" TargetMode="External"/><Relationship Id="rId138" Type="http://schemas.openxmlformats.org/officeDocument/2006/relationships/hyperlink" Target="https://ead.senar.org.br/cursos" TargetMode="External"/><Relationship Id="rId139" Type="http://schemas.openxmlformats.org/officeDocument/2006/relationships/hyperlink" Target="https://ead.senar.org.br/cursos" TargetMode="External"/><Relationship Id="rId140" Type="http://schemas.openxmlformats.org/officeDocument/2006/relationships/hyperlink" Target="https://ead.senar.org.br/cursos" TargetMode="External"/><Relationship Id="rId141" Type="http://schemas.openxmlformats.org/officeDocument/2006/relationships/hyperlink" Target="https://ead.senar.org.br/cursos" TargetMode="External"/><Relationship Id="rId142" Type="http://schemas.openxmlformats.org/officeDocument/2006/relationships/hyperlink" Target="https://ead.senar.org.br/cursos" TargetMode="External"/><Relationship Id="rId143" Type="http://schemas.openxmlformats.org/officeDocument/2006/relationships/hyperlink" Target="https://ead.senar.org.br/cursos" TargetMode="External"/><Relationship Id="rId144" Type="http://schemas.openxmlformats.org/officeDocument/2006/relationships/hyperlink" Target="https://ead.senar.org.br/cursos" TargetMode="External"/><Relationship Id="rId145" Type="http://schemas.openxmlformats.org/officeDocument/2006/relationships/hyperlink" Target="https://ead.senar.org.br/cursos" TargetMode="External"/><Relationship Id="rId146" Type="http://schemas.openxmlformats.org/officeDocument/2006/relationships/hyperlink" Target="https://ead.senar.org.br/cursos" TargetMode="External"/><Relationship Id="rId147" Type="http://schemas.openxmlformats.org/officeDocument/2006/relationships/hyperlink" Target="https://ead.senar.org.br/cursos" TargetMode="External"/><Relationship Id="rId148" Type="http://schemas.openxmlformats.org/officeDocument/2006/relationships/hyperlink" Target="https://ead.senar.org.br/cursos" TargetMode="External"/><Relationship Id="rId149" Type="http://schemas.openxmlformats.org/officeDocument/2006/relationships/hyperlink" Target="https://ead.senar.org.br/cursos" TargetMode="External"/><Relationship Id="rId150" Type="http://schemas.openxmlformats.org/officeDocument/2006/relationships/hyperlink" Target="https://ead.senar.org.br/cursos" TargetMode="External"/><Relationship Id="rId151" Type="http://schemas.openxmlformats.org/officeDocument/2006/relationships/hyperlink" Target="https://ead.senar.org.br/cursos" TargetMode="External"/><Relationship Id="rId152" Type="http://schemas.openxmlformats.org/officeDocument/2006/relationships/hyperlink" Target="https://ead.senar.org.br/cursos" TargetMode="External"/><Relationship Id="rId153" Type="http://schemas.openxmlformats.org/officeDocument/2006/relationships/hyperlink" Target="https://ead.senar.org.br/cursos" TargetMode="External"/><Relationship Id="rId154" Type="http://schemas.openxmlformats.org/officeDocument/2006/relationships/hyperlink" Target="https://ead.senar.org.br/cursos" TargetMode="External"/><Relationship Id="rId155" Type="http://schemas.openxmlformats.org/officeDocument/2006/relationships/hyperlink" Target="https://ead.senar.org.br/cursos" TargetMode="External"/><Relationship Id="rId156" Type="http://schemas.openxmlformats.org/officeDocument/2006/relationships/hyperlink" Target="https://ead.senar.org.br/cursos" TargetMode="External"/><Relationship Id="rId157" Type="http://schemas.openxmlformats.org/officeDocument/2006/relationships/hyperlink" Target="https://ead.senar.org.br/cursos" TargetMode="External"/><Relationship Id="rId158" Type="http://schemas.openxmlformats.org/officeDocument/2006/relationships/hyperlink" Target="https://ead.senar.org.br/cursos" TargetMode="External"/><Relationship Id="rId159" Type="http://schemas.openxmlformats.org/officeDocument/2006/relationships/hyperlink" Target="https://ead.senar.org.br/cursos" TargetMode="External"/><Relationship Id="rId160" Type="http://schemas.openxmlformats.org/officeDocument/2006/relationships/hyperlink" Target="https://ead.senar.org.br/cursos" TargetMode="External"/><Relationship Id="rId161" Type="http://schemas.openxmlformats.org/officeDocument/2006/relationships/hyperlink" Target="https://ead.senar.org.br/cursos" TargetMode="External"/><Relationship Id="rId162" Type="http://schemas.openxmlformats.org/officeDocument/2006/relationships/hyperlink" Target="https://ead.senar.org.br/cursos" TargetMode="External"/><Relationship Id="rId163" Type="http://schemas.openxmlformats.org/officeDocument/2006/relationships/hyperlink" Target="https://ead.senar.org.br/cursos" TargetMode="External"/><Relationship Id="rId164" Type="http://schemas.openxmlformats.org/officeDocument/2006/relationships/hyperlink" Target="https://ead.senar.org.br/cursos" TargetMode="External"/><Relationship Id="rId165" Type="http://schemas.openxmlformats.org/officeDocument/2006/relationships/hyperlink" Target="https://ead.senar.org.br/cursos" TargetMode="External"/><Relationship Id="rId166" Type="http://schemas.openxmlformats.org/officeDocument/2006/relationships/hyperlink" Target="https://ead.senar.org.br/cursos" TargetMode="External"/><Relationship Id="rId167" Type="http://schemas.openxmlformats.org/officeDocument/2006/relationships/hyperlink" Target="https://ead.senar.org.br/cursos" TargetMode="External"/><Relationship Id="rId168" Type="http://schemas.openxmlformats.org/officeDocument/2006/relationships/hyperlink" Target="https://ead.senar.org.br/cursos" TargetMode="External"/><Relationship Id="rId169" Type="http://schemas.openxmlformats.org/officeDocument/2006/relationships/hyperlink" Target="https://ead.senar.org.br/cursos" TargetMode="External"/><Relationship Id="rId170" Type="http://schemas.openxmlformats.org/officeDocument/2006/relationships/hyperlink" Target="https://ead.senar.org.br/cursos" TargetMode="External"/><Relationship Id="rId171" Type="http://schemas.openxmlformats.org/officeDocument/2006/relationships/hyperlink" Target="https://ead.senar.org.br/cursos" TargetMode="External"/><Relationship Id="rId172" Type="http://schemas.openxmlformats.org/officeDocument/2006/relationships/hyperlink" Target="https://ead.senar.org.br/cursos" TargetMode="External"/><Relationship Id="rId173" Type="http://schemas.openxmlformats.org/officeDocument/2006/relationships/hyperlink" Target="https://ead.senar.org.br/cursos" TargetMode="External"/><Relationship Id="rId174" Type="http://schemas.openxmlformats.org/officeDocument/2006/relationships/hyperlink" Target="https://ead.senar.org.br/cursos" TargetMode="External"/><Relationship Id="rId175" Type="http://schemas.openxmlformats.org/officeDocument/2006/relationships/hyperlink" Target="https://ead.senar.org.br/cursos" TargetMode="External"/><Relationship Id="rId176" Type="http://schemas.openxmlformats.org/officeDocument/2006/relationships/hyperlink" Target="https://ead.senar.org.br/cursos" TargetMode="External"/><Relationship Id="rId177" Type="http://schemas.openxmlformats.org/officeDocument/2006/relationships/hyperlink" Target="https://ead.senar.org.br/cursos" TargetMode="External"/><Relationship Id="rId178" Type="http://schemas.openxmlformats.org/officeDocument/2006/relationships/hyperlink" Target="https://ead.senar.org.br/cursos" TargetMode="External"/><Relationship Id="rId179" Type="http://schemas.openxmlformats.org/officeDocument/2006/relationships/hyperlink" Target="https://ead.senar.org.br/cursos" TargetMode="External"/><Relationship Id="rId180" Type="http://schemas.openxmlformats.org/officeDocument/2006/relationships/hyperlink" Target="https://ead.senar.org.br/cursos" TargetMode="External"/><Relationship Id="rId181" Type="http://schemas.openxmlformats.org/officeDocument/2006/relationships/hyperlink" Target="https://www.ead.senac.br/gratuito/" TargetMode="External"/><Relationship Id="rId182" Type="http://schemas.openxmlformats.org/officeDocument/2006/relationships/hyperlink" Target="https://www.ead.senac.br/gratuito/" TargetMode="External"/><Relationship Id="rId183" Type="http://schemas.openxmlformats.org/officeDocument/2006/relationships/hyperlink" Target="https://www.ead.senac.br/gratuito/" TargetMode="External"/><Relationship Id="rId184" Type="http://schemas.openxmlformats.org/officeDocument/2006/relationships/hyperlink" Target="https://www.ead.senac.br/gratuito/" TargetMode="External"/><Relationship Id="rId185" Type="http://schemas.openxmlformats.org/officeDocument/2006/relationships/hyperlink" Target="https://www.ead.senac.br/gratuito/" TargetMode="External"/><Relationship Id="rId186" Type="http://schemas.openxmlformats.org/officeDocument/2006/relationships/hyperlink" Target="https://www.ead.senac.br/gratuito/" TargetMode="External"/><Relationship Id="rId187" Type="http://schemas.openxmlformats.org/officeDocument/2006/relationships/hyperlink" Target="https://www.ead.senac.br/gratuito/" TargetMode="External"/><Relationship Id="rId188" Type="http://schemas.openxmlformats.org/officeDocument/2006/relationships/hyperlink" Target="https://www.ead.senac.br/gratuito/" TargetMode="External"/><Relationship Id="rId189" Type="http://schemas.openxmlformats.org/officeDocument/2006/relationships/hyperlink" Target="https://www.ead.senac.br/gratuito/" TargetMode="External"/><Relationship Id="rId190" Type="http://schemas.openxmlformats.org/officeDocument/2006/relationships/drawing" Target="../drawings/drawing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sp.senai.br/cursos" TargetMode="External"/><Relationship Id="rId2" Type="http://schemas.openxmlformats.org/officeDocument/2006/relationships/hyperlink" Target="https://www.ead.senac.br/gratuito/" TargetMode="External"/><Relationship Id="rId3" Type="http://schemas.openxmlformats.org/officeDocument/2006/relationships/hyperlink" Target="https://ead.senar.org.br/cursos" TargetMode="External"/><Relationship Id="rId4" Type="http://schemas.openxmlformats.org/officeDocument/2006/relationships/hyperlink" Target="https://www.gov.br/pt-br/todosportodos/cursos-ead/senat" TargetMode="External"/><Relationship Id="rId5" Type="http://schemas.openxmlformats.org/officeDocument/2006/relationships/hyperlink" Target="https://loja.sebrae.com.br/cursos/cursos-online" TargetMode="External"/><Relationship Id="rId6" Type="http://schemas.openxmlformats.org/officeDocument/2006/relationships/hyperlink" Target="https://www.ev.org.br/cursos" TargetMode="External"/><Relationship Id="rId7" Type="http://schemas.openxmlformats.org/officeDocument/2006/relationships/hyperlink" Target="https://www.escolavirtual.gov.br/" TargetMode="External"/><Relationship Id="rId8" Type="http://schemas.openxmlformats.org/officeDocument/2006/relationships/hyperlink" Target="https://www.gov.br/turismo/pt-br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agenciadenoticias.ibge.gov.br/pt/agencia-noticias/45142-pib-cresce-em-todos-os-27-estados-do-pais-em-2023.html?lang=pt-BR" TargetMode="External"/><Relationship Id="rId2" Type="http://schemas.openxmlformats.org/officeDocument/2006/relationships/hyperlink" Target="https://movimentoeconomico.com.br/economia/2025/11/14/pib-do-nordeste-cresce-29-mas-renda-per-capita-segue-a-menor-do-pais/" TargetMode="External"/><Relationship Id="rId3" Type="http://schemas.openxmlformats.org/officeDocument/2006/relationships/hyperlink" Target="https://mais.opovo.com.br/jornal/economia/2025/04/11/pib-do-nordeste-cresce-menos-que-o-do-pais-em-2023-2024.html" TargetMode="External"/><Relationship Id="rId4" Type="http://schemas.openxmlformats.org/officeDocument/2006/relationships/hyperlink" Target="https://querobolsa.com.br/enem/geografia/regioes-do-brasil" TargetMode="External"/><Relationship Id="rId5" Type="http://schemas.openxmlformats.org/officeDocument/2006/relationships/hyperlink" Target="https://www.todamateria.com.br/espaco-industrial-brasileiro/" TargetMode="External"/><Relationship Id="rId6" Type="http://schemas.openxmlformats.org/officeDocument/2006/relationships/hyperlink" Target="https://movimentoeconomico.com.br/economia/turismo/2024/12/25/ne-lidera-turismo-nacional-no-verao-53-dos-brasileiros-escolhem-a-regiao/" TargetMode="External"/><Relationship Id="rId7" Type="http://schemas.openxmlformats.org/officeDocument/2006/relationships/hyperlink" Target="https://www.cnnbrasil.com.br/agro/conab-eleva-safra-de-graos-para-358-milhoes-de-toneladas-na-safra-2025-26/" TargetMode="External"/><Relationship Id="rId8" Type="http://schemas.openxmlformats.org/officeDocument/2006/relationships/hyperlink" Target="https://cnabrasil.org.br/formacao-profissional" TargetMode="External"/><Relationship Id="rId9" Type="http://schemas.openxmlformats.org/officeDocument/2006/relationships/hyperlink" Target="https://ead.senar.org.br/cursos" TargetMode="External"/><Relationship Id="rId10" Type="http://schemas.openxmlformats.org/officeDocument/2006/relationships/hyperlink" Target="https://ead.senar.org.br/cursos-pdf" TargetMode="External"/><Relationship Id="rId11" Type="http://schemas.openxmlformats.org/officeDocument/2006/relationships/hyperlink" Target="https://loja.sebrae.com.br/cursos/cursos-online" TargetMode="External"/><Relationship Id="rId12" Type="http://schemas.openxmlformats.org/officeDocument/2006/relationships/hyperlink" Target="https://www.ev.org.br/cursos" TargetMode="External"/><Relationship Id="rId13" Type="http://schemas.openxmlformats.org/officeDocument/2006/relationships/hyperlink" Target="https://www.sp.senai.br/cursos" TargetMode="External"/><Relationship Id="rId14" Type="http://schemas.openxmlformats.org/officeDocument/2006/relationships/hyperlink" Target="https://www.escolavirtual.gov.br/catalogo" TargetMode="External"/><Relationship Id="rId15" Type="http://schemas.openxmlformats.org/officeDocument/2006/relationships/hyperlink" Target="https://www.escolavirtual.gov.br/" TargetMode="External"/><Relationship Id="rId16" Type="http://schemas.openxmlformats.org/officeDocument/2006/relationships/hyperlink" Target="https://www.senai.br/" TargetMode="External"/><Relationship Id="rId17" Type="http://schemas.openxmlformats.org/officeDocument/2006/relationships/hyperlink" Target="https://www.ead.senac.br/gratuito/" TargetMode="External"/><Relationship Id="rId18" Type="http://schemas.openxmlformats.org/officeDocument/2006/relationships/hyperlink" Target="https://www.senac.br/" TargetMode="External"/><Relationship Id="rId19" Type="http://schemas.openxmlformats.org/officeDocument/2006/relationships/hyperlink" Target="https://www.gov.br/pt-br/todosportodos/cursos-ead/senat" TargetMode="External"/><Relationship Id="rId20" Type="http://schemas.openxmlformats.org/officeDocument/2006/relationships/hyperlink" Target="https://concursosnobrasil.com/educacao/2023/05/25/senai-oferece-mais-de-200-cursos-on-line-e-gratuitos-a-distancia/" TargetMode="External"/><Relationship Id="rId21" Type="http://schemas.openxmlformats.org/officeDocument/2006/relationships/hyperlink" Target="https://concursosnobrasil.com/educacao/2022/04/28/sest-senat-oferece-160-cursos-online-gratuitos-veja-opcoes/" TargetMode="External"/><Relationship Id="rId22" Type="http://schemas.openxmlformats.org/officeDocument/2006/relationships/hyperlink" Target="https://concursosnobrasil.com/educacao/2023/05/15/conheca-mais-de-340-cursos-on-line-e-gratuitos-oferecidos-pelo-sebrae/" TargetMode="External"/><Relationship Id="rId23" Type="http://schemas.openxmlformats.org/officeDocument/2006/relationships/hyperlink" Target="https://catracalivre.com.br/educacao/sebrae-oferece-mais-de-150-cursos-gratuitos-com-certificado/" TargetMode="External"/><Relationship Id="rId24" Type="http://schemas.openxmlformats.org/officeDocument/2006/relationships/hyperlink" Target="https://brasil61.com/n/mtur-abre-inscricoes-para-mais-de-20-cursos-gratuitos-na-area-do-turismo-bras214762" TargetMode="External"/><Relationship Id="rId25" Type="http://schemas.openxmlformats.org/officeDocument/2006/relationships/hyperlink" Target="https://www.gazetasp.com.br/economia/senac-abre-oportunidade-de-curso-tecnico-gratuito-confira/" TargetMode="External"/><Relationship Id="rId26" Type="http://schemas.openxmlformats.org/officeDocument/2006/relationships/hyperlink" Target="https://ipip.ori.org/" TargetMode="External"/><Relationship Id="rId27" Type="http://schemas.openxmlformats.org/officeDocument/2006/relationships/hyperlink" Target="https://ipip.ori.org/newBigFive5broadKey.htm" TargetMode="External"/><Relationship Id="rId28" Type="http://schemas.openxmlformats.org/officeDocument/2006/relationships/hyperlink" Target="https://www.onetcenter.org/IP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937"/>
    <pageSetUpPr fitToPage="true"/>
  </sheetPr>
  <dimension ref="A1:D6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62"/>
    <col collapsed="false" customWidth="true" hidden="false" outlineLevel="0" max="3" min="3" style="0" width="40"/>
    <col collapsed="false" customWidth="true" hidden="false" outlineLevel="0" max="4" min="4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</row>
    <row r="5" customFormat="false" ht="30" hidden="false" customHeight="true" outlineLevel="0" collapsed="false">
      <c r="A5" s="5" t="s">
        <v>3</v>
      </c>
      <c r="B5" s="5"/>
      <c r="C5" s="5"/>
      <c r="D5" s="5"/>
    </row>
    <row r="7" customFormat="false" ht="15" hidden="false" customHeight="false" outlineLevel="0" collapsed="false">
      <c r="A7" s="3" t="s">
        <v>4</v>
      </c>
      <c r="B7" s="4"/>
      <c r="C7" s="4"/>
      <c r="D7" s="4"/>
    </row>
    <row r="8" customFormat="false" ht="27.75" hidden="false" customHeight="true" outlineLevel="0" collapsed="false">
      <c r="A8" s="6" t="s">
        <v>5</v>
      </c>
      <c r="B8" s="7" t="s">
        <v>6</v>
      </c>
      <c r="C8" s="7"/>
      <c r="D8" s="7"/>
    </row>
    <row r="9" customFormat="false" ht="27.75" hidden="false" customHeight="true" outlineLevel="0" collapsed="false">
      <c r="A9" s="6" t="s">
        <v>7</v>
      </c>
      <c r="B9" s="7" t="s">
        <v>8</v>
      </c>
      <c r="C9" s="7"/>
      <c r="D9" s="7"/>
    </row>
    <row r="10" customFormat="false" ht="27.75" hidden="false" customHeight="true" outlineLevel="0" collapsed="false">
      <c r="A10" s="6" t="s">
        <v>9</v>
      </c>
      <c r="B10" s="7" t="s">
        <v>10</v>
      </c>
      <c r="C10" s="7"/>
      <c r="D10" s="7"/>
    </row>
    <row r="11" customFormat="false" ht="27.75" hidden="false" customHeight="true" outlineLevel="0" collapsed="false">
      <c r="A11" s="6" t="s">
        <v>11</v>
      </c>
      <c r="B11" s="7" t="s">
        <v>12</v>
      </c>
      <c r="C11" s="7"/>
      <c r="D11" s="7"/>
    </row>
    <row r="12" customFormat="false" ht="27.75" hidden="false" customHeight="true" outlineLevel="0" collapsed="false">
      <c r="A12" s="6" t="s">
        <v>13</v>
      </c>
      <c r="B12" s="7" t="s">
        <v>14</v>
      </c>
      <c r="C12" s="7"/>
      <c r="D12" s="7"/>
    </row>
    <row r="13" customFormat="false" ht="27.75" hidden="false" customHeight="true" outlineLevel="0" collapsed="false">
      <c r="A13" s="6" t="s">
        <v>15</v>
      </c>
      <c r="B13" s="7" t="s">
        <v>16</v>
      </c>
      <c r="C13" s="7"/>
      <c r="D13" s="7"/>
    </row>
    <row r="14" customFormat="false" ht="27.75" hidden="false" customHeight="true" outlineLevel="0" collapsed="false">
      <c r="A14" s="6" t="s">
        <v>17</v>
      </c>
      <c r="B14" s="7" t="s">
        <v>18</v>
      </c>
      <c r="C14" s="7"/>
      <c r="D14" s="7"/>
    </row>
    <row r="15" customFormat="false" ht="27.75" hidden="false" customHeight="true" outlineLevel="0" collapsed="false">
      <c r="A15" s="6" t="s">
        <v>19</v>
      </c>
      <c r="B15" s="7" t="s">
        <v>20</v>
      </c>
      <c r="C15" s="7"/>
      <c r="D15" s="7"/>
    </row>
    <row r="16" customFormat="false" ht="27.75" hidden="false" customHeight="true" outlineLevel="0" collapsed="false">
      <c r="A16" s="6" t="s">
        <v>21</v>
      </c>
      <c r="B16" s="7" t="s">
        <v>22</v>
      </c>
      <c r="C16" s="7"/>
      <c r="D16" s="7"/>
    </row>
    <row r="17" customFormat="false" ht="27.75" hidden="false" customHeight="true" outlineLevel="0" collapsed="false">
      <c r="A17" s="6" t="s">
        <v>23</v>
      </c>
      <c r="B17" s="7" t="s">
        <v>24</v>
      </c>
      <c r="C17" s="7"/>
      <c r="D17" s="7"/>
    </row>
    <row r="18" customFormat="false" ht="27.75" hidden="false" customHeight="true" outlineLevel="0" collapsed="false">
      <c r="A18" s="6" t="s">
        <v>25</v>
      </c>
      <c r="B18" s="7" t="s">
        <v>26</v>
      </c>
      <c r="C18" s="7"/>
      <c r="D18" s="7"/>
    </row>
    <row r="19" customFormat="false" ht="27.75" hidden="false" customHeight="true" outlineLevel="0" collapsed="false">
      <c r="A19" s="6" t="s">
        <v>27</v>
      </c>
      <c r="B19" s="7" t="s">
        <v>28</v>
      </c>
      <c r="C19" s="7"/>
      <c r="D19" s="7"/>
    </row>
    <row r="20" customFormat="false" ht="27.75" hidden="false" customHeight="true" outlineLevel="0" collapsed="false">
      <c r="A20" s="6" t="s">
        <v>29</v>
      </c>
      <c r="B20" s="7" t="s">
        <v>30</v>
      </c>
      <c r="C20" s="7"/>
      <c r="D20" s="7"/>
    </row>
    <row r="21" customFormat="false" ht="27.75" hidden="false" customHeight="true" outlineLevel="0" collapsed="false">
      <c r="A21" s="6" t="s">
        <v>31</v>
      </c>
      <c r="B21" s="7" t="s">
        <v>32</v>
      </c>
      <c r="C21" s="7"/>
      <c r="D21" s="7"/>
    </row>
    <row r="22" customFormat="false" ht="27.75" hidden="false" customHeight="true" outlineLevel="0" collapsed="false">
      <c r="A22" s="6" t="s">
        <v>33</v>
      </c>
      <c r="B22" s="7" t="s">
        <v>34</v>
      </c>
      <c r="C22" s="7"/>
      <c r="D22" s="7"/>
    </row>
    <row r="23" customFormat="false" ht="27.75" hidden="false" customHeight="true" outlineLevel="0" collapsed="false">
      <c r="A23" s="6" t="s">
        <v>35</v>
      </c>
      <c r="B23" s="7" t="s">
        <v>36</v>
      </c>
      <c r="C23" s="7"/>
      <c r="D23" s="7"/>
    </row>
    <row r="25" customFormat="false" ht="15" hidden="false" customHeight="false" outlineLevel="0" collapsed="false">
      <c r="A25" s="3" t="s">
        <v>37</v>
      </c>
      <c r="B25" s="4"/>
      <c r="C25" s="4"/>
      <c r="D25" s="4"/>
    </row>
    <row r="26" customFormat="false" ht="15" hidden="false" customHeight="true" outlineLevel="0" collapsed="false">
      <c r="A26" s="8" t="s">
        <v>38</v>
      </c>
      <c r="B26" s="7" t="s">
        <v>39</v>
      </c>
      <c r="C26" s="7"/>
      <c r="D26" s="7"/>
    </row>
    <row r="27" customFormat="false" ht="15" hidden="false" customHeight="true" outlineLevel="0" collapsed="false">
      <c r="A27" s="9" t="s">
        <v>40</v>
      </c>
      <c r="B27" s="7" t="s">
        <v>41</v>
      </c>
      <c r="C27" s="7"/>
      <c r="D27" s="7"/>
    </row>
    <row r="28" customFormat="false" ht="23.85" hidden="false" customHeight="true" outlineLevel="0" collapsed="false">
      <c r="A28" s="10" t="s">
        <v>42</v>
      </c>
      <c r="B28" s="7" t="s">
        <v>43</v>
      </c>
      <c r="C28" s="7"/>
      <c r="D28" s="7"/>
    </row>
    <row r="30" customFormat="false" ht="15" hidden="false" customHeight="false" outlineLevel="0" collapsed="false">
      <c r="A30" s="3" t="s">
        <v>44</v>
      </c>
      <c r="B30" s="4"/>
      <c r="C30" s="4"/>
      <c r="D30" s="4"/>
    </row>
    <row r="31" customFormat="false" ht="31.5" hidden="false" customHeight="true" outlineLevel="0" collapsed="false">
      <c r="A31" s="11" t="s">
        <v>45</v>
      </c>
      <c r="B31" s="11" t="s">
        <v>46</v>
      </c>
      <c r="C31" s="11" t="s">
        <v>47</v>
      </c>
    </row>
    <row r="32" customFormat="false" ht="30" hidden="false" customHeight="true" outlineLevel="0" collapsed="false">
      <c r="A32" s="7" t="s">
        <v>48</v>
      </c>
      <c r="B32" s="7" t="s">
        <v>49</v>
      </c>
      <c r="C32" s="7" t="s">
        <v>50</v>
      </c>
    </row>
    <row r="33" customFormat="false" ht="30" hidden="false" customHeight="true" outlineLevel="0" collapsed="false">
      <c r="A33" s="7" t="s">
        <v>51</v>
      </c>
      <c r="B33" s="7" t="s">
        <v>52</v>
      </c>
      <c r="C33" s="7" t="s">
        <v>53</v>
      </c>
    </row>
    <row r="34" customFormat="false" ht="30" hidden="false" customHeight="true" outlineLevel="0" collapsed="false">
      <c r="A34" s="7" t="s">
        <v>54</v>
      </c>
      <c r="B34" s="7" t="s">
        <v>55</v>
      </c>
      <c r="C34" s="7" t="s">
        <v>56</v>
      </c>
    </row>
    <row r="35" customFormat="false" ht="30" hidden="false" customHeight="true" outlineLevel="0" collapsed="false">
      <c r="A35" s="7" t="s">
        <v>57</v>
      </c>
      <c r="B35" s="7" t="s">
        <v>58</v>
      </c>
      <c r="C35" s="7" t="s">
        <v>59</v>
      </c>
    </row>
    <row r="36" customFormat="false" ht="30" hidden="false" customHeight="true" outlineLevel="0" collapsed="false">
      <c r="A36" s="7" t="s">
        <v>60</v>
      </c>
      <c r="B36" s="7" t="s">
        <v>61</v>
      </c>
      <c r="C36" s="7" t="s">
        <v>62</v>
      </c>
    </row>
    <row r="37" customFormat="false" ht="30" hidden="false" customHeight="true" outlineLevel="0" collapsed="false">
      <c r="A37" s="12" t="s">
        <v>63</v>
      </c>
      <c r="B37" s="12"/>
      <c r="C37" s="12"/>
      <c r="D37" s="12"/>
    </row>
    <row r="39" customFormat="false" ht="15" hidden="false" customHeight="false" outlineLevel="0" collapsed="false">
      <c r="A39" s="3" t="s">
        <v>64</v>
      </c>
      <c r="B39" s="4"/>
      <c r="C39" s="4"/>
      <c r="D39" s="4"/>
    </row>
    <row r="40" customFormat="false" ht="27.75" hidden="false" customHeight="true" outlineLevel="0" collapsed="false">
      <c r="A40" s="5" t="s">
        <v>65</v>
      </c>
      <c r="B40" s="5"/>
      <c r="C40" s="5"/>
      <c r="D40" s="5"/>
    </row>
    <row r="41" customFormat="false" ht="27.75" hidden="false" customHeight="true" outlineLevel="0" collapsed="false">
      <c r="A41" s="5" t="s">
        <v>66</v>
      </c>
      <c r="B41" s="5"/>
      <c r="C41" s="5"/>
      <c r="D41" s="5"/>
    </row>
    <row r="42" customFormat="false" ht="27.75" hidden="false" customHeight="true" outlineLevel="0" collapsed="false">
      <c r="A42" s="5" t="s">
        <v>67</v>
      </c>
      <c r="B42" s="5"/>
      <c r="C42" s="5"/>
      <c r="D42" s="5"/>
    </row>
    <row r="43" customFormat="false" ht="27.75" hidden="false" customHeight="true" outlineLevel="0" collapsed="false">
      <c r="A43" s="5" t="s">
        <v>68</v>
      </c>
      <c r="B43" s="5"/>
      <c r="C43" s="5"/>
      <c r="D43" s="5"/>
    </row>
    <row r="44" customFormat="false" ht="27.75" hidden="false" customHeight="true" outlineLevel="0" collapsed="false">
      <c r="A44" s="5" t="s">
        <v>69</v>
      </c>
      <c r="B44" s="5"/>
      <c r="C44" s="5"/>
      <c r="D44" s="5"/>
    </row>
    <row r="45" customFormat="false" ht="27.75" hidden="false" customHeight="true" outlineLevel="0" collapsed="false">
      <c r="A45" s="5" t="s">
        <v>70</v>
      </c>
      <c r="B45" s="5"/>
      <c r="C45" s="5"/>
      <c r="D45" s="5"/>
    </row>
    <row r="46" customFormat="false" ht="27.75" hidden="false" customHeight="true" outlineLevel="0" collapsed="false">
      <c r="A46" s="5" t="s">
        <v>71</v>
      </c>
      <c r="B46" s="5"/>
      <c r="C46" s="5"/>
      <c r="D46" s="5"/>
    </row>
    <row r="47" customFormat="false" ht="27.75" hidden="false" customHeight="true" outlineLevel="0" collapsed="false">
      <c r="A47" s="5" t="s">
        <v>72</v>
      </c>
      <c r="B47" s="5"/>
      <c r="C47" s="5"/>
      <c r="D47" s="5"/>
    </row>
    <row r="49" customFormat="false" ht="15" hidden="false" customHeight="false" outlineLevel="0" collapsed="false">
      <c r="A49" s="3" t="s">
        <v>73</v>
      </c>
      <c r="B49" s="4"/>
      <c r="C49" s="4"/>
      <c r="D49" s="4"/>
    </row>
    <row r="50" customFormat="false" ht="27.75" hidden="false" customHeight="true" outlineLevel="0" collapsed="false">
      <c r="A50" s="5" t="s">
        <v>74</v>
      </c>
      <c r="B50" s="5"/>
      <c r="C50" s="5"/>
      <c r="D50" s="5"/>
    </row>
    <row r="51" customFormat="false" ht="27.75" hidden="false" customHeight="true" outlineLevel="0" collapsed="false">
      <c r="A51" s="5" t="s">
        <v>75</v>
      </c>
      <c r="B51" s="5"/>
      <c r="C51" s="5"/>
      <c r="D51" s="5"/>
    </row>
    <row r="52" customFormat="false" ht="27.75" hidden="false" customHeight="true" outlineLevel="0" collapsed="false">
      <c r="A52" s="5" t="s">
        <v>76</v>
      </c>
      <c r="B52" s="5"/>
      <c r="C52" s="5"/>
      <c r="D52" s="5"/>
    </row>
    <row r="53" customFormat="false" ht="27.75" hidden="false" customHeight="true" outlineLevel="0" collapsed="false">
      <c r="A53" s="5" t="s">
        <v>77</v>
      </c>
      <c r="B53" s="5"/>
      <c r="C53" s="5"/>
      <c r="D53" s="5"/>
    </row>
    <row r="54" customFormat="false" ht="27.75" hidden="false" customHeight="true" outlineLevel="0" collapsed="false">
      <c r="A54" s="5" t="s">
        <v>78</v>
      </c>
      <c r="B54" s="5"/>
      <c r="C54" s="5"/>
      <c r="D54" s="5"/>
    </row>
    <row r="55" customFormat="false" ht="27.75" hidden="false" customHeight="true" outlineLevel="0" collapsed="false">
      <c r="A55" s="5" t="s">
        <v>79</v>
      </c>
      <c r="B55" s="5"/>
      <c r="C55" s="5"/>
      <c r="D55" s="5"/>
    </row>
    <row r="57" customFormat="false" ht="15" hidden="false" customHeight="false" outlineLevel="0" collapsed="false">
      <c r="A57" s="3" t="s">
        <v>80</v>
      </c>
      <c r="B57" s="4"/>
      <c r="C57" s="4"/>
      <c r="D57" s="4"/>
    </row>
    <row r="58" customFormat="false" ht="27.75" hidden="false" customHeight="true" outlineLevel="0" collapsed="false">
      <c r="A58" s="5" t="s">
        <v>81</v>
      </c>
      <c r="B58" s="5"/>
      <c r="C58" s="5"/>
      <c r="D58" s="5"/>
    </row>
    <row r="59" customFormat="false" ht="27.75" hidden="false" customHeight="true" outlineLevel="0" collapsed="false">
      <c r="A59" s="5" t="s">
        <v>82</v>
      </c>
      <c r="B59" s="5"/>
      <c r="C59" s="5"/>
      <c r="D59" s="5"/>
    </row>
    <row r="60" customFormat="false" ht="27.75" hidden="false" customHeight="true" outlineLevel="0" collapsed="false">
      <c r="A60" s="5" t="s">
        <v>83</v>
      </c>
      <c r="B60" s="5"/>
      <c r="C60" s="5"/>
      <c r="D60" s="5"/>
    </row>
    <row r="61" customFormat="false" ht="27.75" hidden="false" customHeight="true" outlineLevel="0" collapsed="false">
      <c r="A61" s="5" t="s">
        <v>84</v>
      </c>
      <c r="B61" s="5"/>
      <c r="C61" s="5"/>
      <c r="D61" s="5"/>
    </row>
    <row r="62" customFormat="false" ht="27.75" hidden="false" customHeight="true" outlineLevel="0" collapsed="false">
      <c r="A62" s="5" t="s">
        <v>85</v>
      </c>
      <c r="B62" s="5"/>
      <c r="C62" s="5"/>
      <c r="D62" s="5"/>
    </row>
    <row r="63" customFormat="false" ht="27.75" hidden="false" customHeight="true" outlineLevel="0" collapsed="false">
      <c r="A63" s="5" t="s">
        <v>86</v>
      </c>
      <c r="B63" s="5"/>
      <c r="C63" s="5"/>
      <c r="D63" s="5"/>
    </row>
  </sheetData>
  <mergeCells count="41">
    <mergeCell ref="A5:D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6:D26"/>
    <mergeCell ref="B27:D27"/>
    <mergeCell ref="B28:D28"/>
    <mergeCell ref="A37:D37"/>
    <mergeCell ref="A40:D40"/>
    <mergeCell ref="A41:D41"/>
    <mergeCell ref="A42:D42"/>
    <mergeCell ref="A43:D43"/>
    <mergeCell ref="A44:D44"/>
    <mergeCell ref="A45:D45"/>
    <mergeCell ref="A46:D46"/>
    <mergeCell ref="A47:D47"/>
    <mergeCell ref="A50:D50"/>
    <mergeCell ref="A51:D51"/>
    <mergeCell ref="A52:D52"/>
    <mergeCell ref="A53:D53"/>
    <mergeCell ref="A54:D54"/>
    <mergeCell ref="A55:D55"/>
    <mergeCell ref="A58:D58"/>
    <mergeCell ref="A59:D59"/>
    <mergeCell ref="A60:D60"/>
    <mergeCell ref="A61:D61"/>
    <mergeCell ref="A62:D62"/>
    <mergeCell ref="A63:D63"/>
  </mergeCells>
  <hyperlinks>
    <hyperlink ref="A8" location="'Cobertura'!A1" display="Cobertura"/>
    <hyperlink ref="A9" location="'Cursos'!A1" display="Cursos"/>
    <hyperlink ref="A10" location="'Regiões'!A1" display="Regiões"/>
    <hyperlink ref="A11" location="'Prioridade'!A1" display="Prioridade"/>
    <hyperlink ref="A12" location="'Matching'!A1" display="Matching"/>
    <hyperlink ref="A13" location="'Matching exemplo'!A1" display="Matching exemplo"/>
    <hyperlink ref="A14" location="'Geografia'!A1" display="Geografia"/>
    <hyperlink ref="A15" location="'Cadastro'!A1" display="Cadastro"/>
    <hyperlink ref="A16" location="'Perfil'!A1" display="Perfil"/>
    <hyperlink ref="A17" location="'Interesses'!A1" display="Interesses"/>
    <hyperlink ref="A18" location="'Desempenho'!A1" display="Desempenho"/>
    <hyperlink ref="A19" location="'Currículos'!A1" display="Currículos"/>
    <hyperlink ref="A20" location="'Cursos próprios'!A1" display="Cursos próprios"/>
    <hyperlink ref="A21" location="'Ideias de cursos'!A1" display="Ideias de cursos"/>
    <hyperlink ref="A22" location="'Instituições'!A1" display="Instituições"/>
    <hyperlink ref="A23" location="'Fontes'!A1" display="Fonte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B3C"/>
    <pageSetUpPr fitToPage="true"/>
  </sheetPr>
  <dimension ref="A1:H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87</v>
      </c>
    </row>
    <row r="2" customFormat="false" ht="15" hidden="false" customHeight="false" outlineLevel="0" collapsed="false">
      <c r="A2" s="2" t="s">
        <v>88</v>
      </c>
    </row>
    <row r="4" customFormat="false" ht="15" hidden="false" customHeight="true" outlineLevel="0" collapsed="false">
      <c r="A4" s="13" t="s">
        <v>89</v>
      </c>
      <c r="B4" s="14" t="n">
        <v>200</v>
      </c>
      <c r="C4" s="12" t="s">
        <v>90</v>
      </c>
      <c r="D4" s="12"/>
      <c r="E4" s="12"/>
      <c r="F4" s="12"/>
      <c r="G4" s="12"/>
      <c r="H4" s="12"/>
    </row>
    <row r="6" customFormat="false" ht="31.5" hidden="false" customHeight="true" outlineLevel="0" collapsed="false">
      <c r="A6" s="11" t="s">
        <v>91</v>
      </c>
      <c r="B6" s="11" t="s">
        <v>92</v>
      </c>
      <c r="C6" s="11" t="s">
        <v>93</v>
      </c>
      <c r="D6" s="11" t="s">
        <v>94</v>
      </c>
      <c r="E6" s="11" t="s">
        <v>95</v>
      </c>
      <c r="F6" s="11" t="s">
        <v>96</v>
      </c>
      <c r="G6" s="11" t="s">
        <v>97</v>
      </c>
    </row>
    <row r="7" customFormat="false" ht="15" hidden="false" customHeight="false" outlineLevel="0" collapsed="false">
      <c r="A7" s="15" t="s">
        <v>98</v>
      </c>
      <c r="B7" s="16" t="n">
        <f aca="false">COUNTIFS(Cursos!$C$5:$C$400,$A7,Cursos!$B$5:$B$400,"&lt;&gt;Programa",Cursos!$I$5:$I$400,"x")</f>
        <v>11</v>
      </c>
      <c r="C7" s="16" t="n">
        <f aca="false">COUNTIFS(Cursos!$C$5:$C$400,$A7,Cursos!$B$5:$B$400,"&lt;&gt;Programa",Cursos!$J$5:$J$400,"x")</f>
        <v>11</v>
      </c>
      <c r="D7" s="16" t="n">
        <f aca="false">COUNTIFS(Cursos!$C$5:$C$400,$A7,Cursos!$B$5:$B$400,"&lt;&gt;Programa",Cursos!$K$5:$K$400,"x")</f>
        <v>11</v>
      </c>
      <c r="E7" s="16" t="n">
        <f aca="false">COUNTIFS(Cursos!$C$5:$C$400,$A7,Cursos!$B$5:$B$400,"&lt;&gt;Programa",Cursos!$L$5:$L$400,"x")</f>
        <v>16</v>
      </c>
      <c r="F7" s="16" t="n">
        <f aca="false">COUNTIFS(Cursos!$C$5:$C$400,$A7,Cursos!$B$5:$B$400,"&lt;&gt;Programa",Cursos!$M$5:$M$400,"x")</f>
        <v>11</v>
      </c>
      <c r="G7" s="16" t="n">
        <f aca="false">COUNTIFS(Cursos!$C$5:$C$400,$A7,Cursos!$B$5:$B$400,"&lt;&gt;Programa",Cursos!$D$5:$D$400,"&lt;&gt;")</f>
        <v>16</v>
      </c>
    </row>
    <row r="8" customFormat="false" ht="15" hidden="false" customHeight="false" outlineLevel="0" collapsed="false">
      <c r="A8" s="15" t="s">
        <v>99</v>
      </c>
      <c r="B8" s="16" t="n">
        <f aca="false">COUNTIFS(Cursos!$C$5:$C$400,$A8,Cursos!$B$5:$B$400,"&lt;&gt;Programa",Cursos!$I$5:$I$400,"x")</f>
        <v>1</v>
      </c>
      <c r="C8" s="16" t="n">
        <f aca="false">COUNTIFS(Cursos!$C$5:$C$400,$A8,Cursos!$B$5:$B$400,"&lt;&gt;Programa",Cursos!$J$5:$J$400,"x")</f>
        <v>1</v>
      </c>
      <c r="D8" s="16" t="n">
        <f aca="false">COUNTIFS(Cursos!$C$5:$C$400,$A8,Cursos!$B$5:$B$400,"&lt;&gt;Programa",Cursos!$K$5:$K$400,"x")</f>
        <v>1</v>
      </c>
      <c r="E8" s="16" t="n">
        <f aca="false">COUNTIFS(Cursos!$C$5:$C$400,$A8,Cursos!$B$5:$B$400,"&lt;&gt;Programa",Cursos!$L$5:$L$400,"x")</f>
        <v>1</v>
      </c>
      <c r="F8" s="16" t="n">
        <f aca="false">COUNTIFS(Cursos!$C$5:$C$400,$A8,Cursos!$B$5:$B$400,"&lt;&gt;Programa",Cursos!$M$5:$M$400,"x")</f>
        <v>1</v>
      </c>
      <c r="G8" s="16" t="n">
        <f aca="false">COUNTIFS(Cursos!$C$5:$C$400,$A8,Cursos!$B$5:$B$400,"&lt;&gt;Programa",Cursos!$D$5:$D$400,"&lt;&gt;")</f>
        <v>1</v>
      </c>
    </row>
    <row r="9" customFormat="false" ht="15" hidden="false" customHeight="false" outlineLevel="0" collapsed="false">
      <c r="A9" s="15" t="s">
        <v>100</v>
      </c>
      <c r="B9" s="16" t="n">
        <f aca="false">COUNTIFS(Cursos!$C$5:$C$400,$A9,Cursos!$B$5:$B$400,"&lt;&gt;Programa",Cursos!$I$5:$I$400,"x")</f>
        <v>12</v>
      </c>
      <c r="C9" s="16" t="n">
        <f aca="false">COUNTIFS(Cursos!$C$5:$C$400,$A9,Cursos!$B$5:$B$400,"&lt;&gt;Programa",Cursos!$J$5:$J$400,"x")</f>
        <v>12</v>
      </c>
      <c r="D9" s="16" t="n">
        <f aca="false">COUNTIFS(Cursos!$C$5:$C$400,$A9,Cursos!$B$5:$B$400,"&lt;&gt;Programa",Cursos!$K$5:$K$400,"x")</f>
        <v>12</v>
      </c>
      <c r="E9" s="16" t="n">
        <f aca="false">COUNTIFS(Cursos!$C$5:$C$400,$A9,Cursos!$B$5:$B$400,"&lt;&gt;Programa",Cursos!$L$5:$L$400,"x")</f>
        <v>14</v>
      </c>
      <c r="F9" s="16" t="n">
        <f aca="false">COUNTIFS(Cursos!$C$5:$C$400,$A9,Cursos!$B$5:$B$400,"&lt;&gt;Programa",Cursos!$M$5:$M$400,"x")</f>
        <v>12</v>
      </c>
      <c r="G9" s="16" t="n">
        <f aca="false">COUNTIFS(Cursos!$C$5:$C$400,$A9,Cursos!$B$5:$B$400,"&lt;&gt;Programa",Cursos!$D$5:$D$400,"&lt;&gt;")</f>
        <v>14</v>
      </c>
    </row>
    <row r="10" customFormat="false" ht="15" hidden="false" customHeight="false" outlineLevel="0" collapsed="false">
      <c r="A10" s="15" t="s">
        <v>101</v>
      </c>
      <c r="B10" s="16" t="n">
        <f aca="false">COUNTIFS(Cursos!$C$5:$C$400,$A10,Cursos!$B$5:$B$400,"&lt;&gt;Programa",Cursos!$I$5:$I$400,"x")</f>
        <v>8</v>
      </c>
      <c r="C10" s="16" t="n">
        <f aca="false">COUNTIFS(Cursos!$C$5:$C$400,$A10,Cursos!$B$5:$B$400,"&lt;&gt;Programa",Cursos!$J$5:$J$400,"x")</f>
        <v>8</v>
      </c>
      <c r="D10" s="16" t="n">
        <f aca="false">COUNTIFS(Cursos!$C$5:$C$400,$A10,Cursos!$B$5:$B$400,"&lt;&gt;Programa",Cursos!$K$5:$K$400,"x")</f>
        <v>8</v>
      </c>
      <c r="E10" s="16" t="n">
        <f aca="false">COUNTIFS(Cursos!$C$5:$C$400,$A10,Cursos!$B$5:$B$400,"&lt;&gt;Programa",Cursos!$L$5:$L$400,"x")</f>
        <v>8</v>
      </c>
      <c r="F10" s="16" t="n">
        <f aca="false">COUNTIFS(Cursos!$C$5:$C$400,$A10,Cursos!$B$5:$B$400,"&lt;&gt;Programa",Cursos!$M$5:$M$400,"x")</f>
        <v>8</v>
      </c>
      <c r="G10" s="16" t="n">
        <f aca="false">COUNTIFS(Cursos!$C$5:$C$400,$A10,Cursos!$B$5:$B$400,"&lt;&gt;Programa",Cursos!$D$5:$D$400,"&lt;&gt;")</f>
        <v>8</v>
      </c>
    </row>
    <row r="11" customFormat="false" ht="15" hidden="false" customHeight="false" outlineLevel="0" collapsed="false">
      <c r="A11" s="15" t="s">
        <v>102</v>
      </c>
      <c r="B11" s="16" t="n">
        <f aca="false">COUNTIFS(Cursos!$C$5:$C$400,$A11,Cursos!$B$5:$B$400,"&lt;&gt;Programa",Cursos!$I$5:$I$400,"x")</f>
        <v>35</v>
      </c>
      <c r="C11" s="16" t="n">
        <f aca="false">COUNTIFS(Cursos!$C$5:$C$400,$A11,Cursos!$B$5:$B$400,"&lt;&gt;Programa",Cursos!$J$5:$J$400,"x")</f>
        <v>35</v>
      </c>
      <c r="D11" s="16" t="n">
        <f aca="false">COUNTIFS(Cursos!$C$5:$C$400,$A11,Cursos!$B$5:$B$400,"&lt;&gt;Programa",Cursos!$K$5:$K$400,"x")</f>
        <v>35</v>
      </c>
      <c r="E11" s="16" t="n">
        <f aca="false">COUNTIFS(Cursos!$C$5:$C$400,$A11,Cursos!$B$5:$B$400,"&lt;&gt;Programa",Cursos!$L$5:$L$400,"x")</f>
        <v>35</v>
      </c>
      <c r="F11" s="16" t="n">
        <f aca="false">COUNTIFS(Cursos!$C$5:$C$400,$A11,Cursos!$B$5:$B$400,"&lt;&gt;Programa",Cursos!$M$5:$M$400,"x")</f>
        <v>35</v>
      </c>
      <c r="G11" s="16" t="n">
        <f aca="false">COUNTIFS(Cursos!$C$5:$C$400,$A11,Cursos!$B$5:$B$400,"&lt;&gt;Programa",Cursos!$D$5:$D$400,"&lt;&gt;")</f>
        <v>35</v>
      </c>
    </row>
    <row r="12" customFormat="false" ht="15" hidden="false" customHeight="false" outlineLevel="0" collapsed="false">
      <c r="A12" s="15" t="s">
        <v>103</v>
      </c>
      <c r="B12" s="16" t="n">
        <f aca="false">COUNTIFS(Cursos!$C$5:$C$400,$A12,Cursos!$B$5:$B$400,"&lt;&gt;Programa",Cursos!$I$5:$I$400,"x")</f>
        <v>59</v>
      </c>
      <c r="C12" s="16" t="n">
        <f aca="false">COUNTIFS(Cursos!$C$5:$C$400,$A12,Cursos!$B$5:$B$400,"&lt;&gt;Programa",Cursos!$J$5:$J$400,"x")</f>
        <v>59</v>
      </c>
      <c r="D12" s="16" t="n">
        <f aca="false">COUNTIFS(Cursos!$C$5:$C$400,$A12,Cursos!$B$5:$B$400,"&lt;&gt;Programa",Cursos!$K$5:$K$400,"x")</f>
        <v>59</v>
      </c>
      <c r="E12" s="16" t="n">
        <f aca="false">COUNTIFS(Cursos!$C$5:$C$400,$A12,Cursos!$B$5:$B$400,"&lt;&gt;Programa",Cursos!$L$5:$L$400,"x")</f>
        <v>59</v>
      </c>
      <c r="F12" s="16" t="n">
        <f aca="false">COUNTIFS(Cursos!$C$5:$C$400,$A12,Cursos!$B$5:$B$400,"&lt;&gt;Programa",Cursos!$M$5:$M$400,"x")</f>
        <v>59</v>
      </c>
      <c r="G12" s="16" t="n">
        <f aca="false">COUNTIFS(Cursos!$C$5:$C$400,$A12,Cursos!$B$5:$B$400,"&lt;&gt;Programa",Cursos!$D$5:$D$400,"&lt;&gt;")</f>
        <v>59</v>
      </c>
    </row>
    <row r="13" customFormat="false" ht="15" hidden="false" customHeight="false" outlineLevel="0" collapsed="false">
      <c r="A13" s="15" t="s">
        <v>104</v>
      </c>
      <c r="B13" s="16" t="n">
        <f aca="false">COUNTIFS(Cursos!$C$5:$C$400,$A13,Cursos!$B$5:$B$400,"&lt;&gt;Programa",Cursos!$I$5:$I$400,"x")</f>
        <v>4</v>
      </c>
      <c r="C13" s="16" t="n">
        <f aca="false">COUNTIFS(Cursos!$C$5:$C$400,$A13,Cursos!$B$5:$B$400,"&lt;&gt;Programa",Cursos!$J$5:$J$400,"x")</f>
        <v>4</v>
      </c>
      <c r="D13" s="16" t="n">
        <f aca="false">COUNTIFS(Cursos!$C$5:$C$400,$A13,Cursos!$B$5:$B$400,"&lt;&gt;Programa",Cursos!$K$5:$K$400,"x")</f>
        <v>4</v>
      </c>
      <c r="E13" s="16" t="n">
        <f aca="false">COUNTIFS(Cursos!$C$5:$C$400,$A13,Cursos!$B$5:$B$400,"&lt;&gt;Programa",Cursos!$L$5:$L$400,"x")</f>
        <v>4</v>
      </c>
      <c r="F13" s="16" t="n">
        <f aca="false">COUNTIFS(Cursos!$C$5:$C$400,$A13,Cursos!$B$5:$B$400,"&lt;&gt;Programa",Cursos!$M$5:$M$400,"x")</f>
        <v>4</v>
      </c>
      <c r="G13" s="16" t="n">
        <f aca="false">COUNTIFS(Cursos!$C$5:$C$400,$A13,Cursos!$B$5:$B$400,"&lt;&gt;Programa",Cursos!$D$5:$D$400,"&lt;&gt;")</f>
        <v>4</v>
      </c>
    </row>
    <row r="14" customFormat="false" ht="15" hidden="false" customHeight="false" outlineLevel="0" collapsed="false">
      <c r="A14" s="15" t="s">
        <v>105</v>
      </c>
      <c r="B14" s="16" t="n">
        <f aca="false">COUNTIFS(Cursos!$C$5:$C$400,$A14,Cursos!$B$5:$B$400,"&lt;&gt;Programa",Cursos!$I$5:$I$400,"x")</f>
        <v>0</v>
      </c>
      <c r="C14" s="16" t="n">
        <f aca="false">COUNTIFS(Cursos!$C$5:$C$400,$A14,Cursos!$B$5:$B$400,"&lt;&gt;Programa",Cursos!$J$5:$J$400,"x")</f>
        <v>0</v>
      </c>
      <c r="D14" s="16" t="n">
        <f aca="false">COUNTIFS(Cursos!$C$5:$C$400,$A14,Cursos!$B$5:$B$400,"&lt;&gt;Programa",Cursos!$K$5:$K$400,"x")</f>
        <v>0</v>
      </c>
      <c r="E14" s="16" t="n">
        <f aca="false">COUNTIFS(Cursos!$C$5:$C$400,$A14,Cursos!$B$5:$B$400,"&lt;&gt;Programa",Cursos!$L$5:$L$400,"x")</f>
        <v>0</v>
      </c>
      <c r="F14" s="16" t="n">
        <f aca="false">COUNTIFS(Cursos!$C$5:$C$400,$A14,Cursos!$B$5:$B$400,"&lt;&gt;Programa",Cursos!$M$5:$M$400,"x")</f>
        <v>0</v>
      </c>
      <c r="G14" s="16" t="n">
        <f aca="false">COUNTIFS(Cursos!$C$5:$C$400,$A14,Cursos!$B$5:$B$400,"&lt;&gt;Programa",Cursos!$D$5:$D$400,"&lt;&gt;")</f>
        <v>0</v>
      </c>
    </row>
    <row r="15" customFormat="false" ht="15" hidden="false" customHeight="false" outlineLevel="0" collapsed="false">
      <c r="A15" s="15" t="s">
        <v>106</v>
      </c>
      <c r="B15" s="16" t="n">
        <f aca="false">COUNTIFS(Cursos!$C$5:$C$400,$A15,Cursos!$B$5:$B$400,"&lt;&gt;Programa",Cursos!$I$5:$I$400,"x")</f>
        <v>0</v>
      </c>
      <c r="C15" s="16" t="n">
        <f aca="false">COUNTIFS(Cursos!$C$5:$C$400,$A15,Cursos!$B$5:$B$400,"&lt;&gt;Programa",Cursos!$J$5:$J$400,"x")</f>
        <v>0</v>
      </c>
      <c r="D15" s="16" t="n">
        <f aca="false">COUNTIFS(Cursos!$C$5:$C$400,$A15,Cursos!$B$5:$B$400,"&lt;&gt;Programa",Cursos!$K$5:$K$400,"x")</f>
        <v>0</v>
      </c>
      <c r="E15" s="16" t="n">
        <f aca="false">COUNTIFS(Cursos!$C$5:$C$400,$A15,Cursos!$B$5:$B$400,"&lt;&gt;Programa",Cursos!$L$5:$L$400,"x")</f>
        <v>0</v>
      </c>
      <c r="F15" s="16" t="n">
        <f aca="false">COUNTIFS(Cursos!$C$5:$C$400,$A15,Cursos!$B$5:$B$400,"&lt;&gt;Programa",Cursos!$M$5:$M$400,"x")</f>
        <v>0</v>
      </c>
      <c r="G15" s="16" t="n">
        <f aca="false">COUNTIFS(Cursos!$C$5:$C$400,$A15,Cursos!$B$5:$B$400,"&lt;&gt;Programa",Cursos!$D$5:$D$400,"&lt;&gt;")</f>
        <v>0</v>
      </c>
    </row>
    <row r="16" customFormat="false" ht="15" hidden="false" customHeight="false" outlineLevel="0" collapsed="false">
      <c r="A16" s="15" t="s">
        <v>107</v>
      </c>
      <c r="B16" s="17" t="n">
        <f aca="false">SUM(B7:B15)</f>
        <v>130</v>
      </c>
      <c r="C16" s="17" t="n">
        <f aca="false">SUM(C7:C15)</f>
        <v>130</v>
      </c>
      <c r="D16" s="17" t="n">
        <f aca="false">SUM(D7:D15)</f>
        <v>130</v>
      </c>
      <c r="E16" s="17" t="n">
        <f aca="false">SUM(E7:E15)</f>
        <v>137</v>
      </c>
      <c r="F16" s="17" t="n">
        <f aca="false">SUM(F7:F15)</f>
        <v>130</v>
      </c>
      <c r="G16" s="17" t="n">
        <f aca="false">SUM(G7:G15)</f>
        <v>137</v>
      </c>
    </row>
    <row r="17" customFormat="false" ht="15" hidden="false" customHeight="false" outlineLevel="0" collapsed="false">
      <c r="A17" s="15" t="s">
        <v>108</v>
      </c>
      <c r="B17" s="16" t="n">
        <f aca="false">$B$4</f>
        <v>200</v>
      </c>
      <c r="C17" s="16" t="n">
        <f aca="false">$B$4</f>
        <v>200</v>
      </c>
      <c r="D17" s="16" t="n">
        <f aca="false">$B$4</f>
        <v>200</v>
      </c>
      <c r="E17" s="16" t="n">
        <f aca="false">$B$4</f>
        <v>200</v>
      </c>
      <c r="F17" s="16" t="n">
        <f aca="false">$B$4</f>
        <v>200</v>
      </c>
    </row>
    <row r="18" customFormat="false" ht="15" hidden="false" customHeight="false" outlineLevel="0" collapsed="false">
      <c r="A18" s="15" t="s">
        <v>109</v>
      </c>
      <c r="B18" s="16" t="n">
        <f aca="false">MAX(0,B17-B16)</f>
        <v>70</v>
      </c>
      <c r="C18" s="16" t="n">
        <f aca="false">MAX(0,C17-C16)</f>
        <v>70</v>
      </c>
      <c r="D18" s="16" t="n">
        <f aca="false">MAX(0,D17-D16)</f>
        <v>70</v>
      </c>
      <c r="E18" s="16" t="n">
        <f aca="false">MAX(0,E17-E16)</f>
        <v>63</v>
      </c>
      <c r="F18" s="16" t="n">
        <f aca="false">MAX(0,F17-F16)</f>
        <v>70</v>
      </c>
    </row>
    <row r="19" customFormat="false" ht="15" hidden="false" customHeight="false" outlineLevel="0" collapsed="false">
      <c r="A19" s="15" t="s">
        <v>110</v>
      </c>
      <c r="B19" s="18" t="n">
        <f aca="false">IF(B17=0,"",B16/B17)</f>
        <v>0.65</v>
      </c>
      <c r="C19" s="18" t="n">
        <f aca="false">IF(C17=0,"",C16/C17)</f>
        <v>0.65</v>
      </c>
      <c r="D19" s="18" t="n">
        <f aca="false">IF(D17=0,"",D16/D17)</f>
        <v>0.65</v>
      </c>
      <c r="E19" s="18" t="n">
        <f aca="false">IF(E17=0,"",E16/E17)</f>
        <v>0.685</v>
      </c>
      <c r="F19" s="18" t="n">
        <f aca="false">IF(F17=0,"",F16/F17)</f>
        <v>0.65</v>
      </c>
    </row>
    <row r="21" customFormat="false" ht="35.05" hidden="false" customHeight="false" outlineLevel="0" collapsed="false">
      <c r="A21" s="13" t="s">
        <v>111</v>
      </c>
    </row>
    <row r="22" customFormat="false" ht="31.5" hidden="false" customHeight="true" outlineLevel="0" collapsed="false">
      <c r="A22" s="11" t="s">
        <v>91</v>
      </c>
      <c r="B22" s="11" t="s">
        <v>92</v>
      </c>
      <c r="C22" s="11" t="s">
        <v>93</v>
      </c>
      <c r="D22" s="11" t="s">
        <v>94</v>
      </c>
      <c r="E22" s="11" t="s">
        <v>95</v>
      </c>
      <c r="F22" s="11" t="s">
        <v>96</v>
      </c>
      <c r="G22" s="11" t="s">
        <v>112</v>
      </c>
    </row>
    <row r="23" customFormat="false" ht="15" hidden="false" customHeight="false" outlineLevel="0" collapsed="false">
      <c r="A23" s="15" t="s">
        <v>98</v>
      </c>
      <c r="B23" s="16" t="n">
        <f aca="false">COUNTIFS(Cursos!$C$5:$C$400,$A23,Cursos!$B$5:$B$400,"Programa",Cursos!$I$5:$I$400,"x")</f>
        <v>0</v>
      </c>
      <c r="C23" s="16" t="n">
        <f aca="false">COUNTIFS(Cursos!$C$5:$C$400,$A23,Cursos!$B$5:$B$400,"Programa",Cursos!$J$5:$J$400,"x")</f>
        <v>0</v>
      </c>
      <c r="D23" s="16" t="n">
        <f aca="false">COUNTIFS(Cursos!$C$5:$C$400,$A23,Cursos!$B$5:$B$400,"Programa",Cursos!$K$5:$K$400,"x")</f>
        <v>0</v>
      </c>
      <c r="E23" s="16" t="n">
        <f aca="false">COUNTIFS(Cursos!$C$5:$C$400,$A23,Cursos!$B$5:$B$400,"Programa",Cursos!$L$5:$L$400,"x")</f>
        <v>0</v>
      </c>
      <c r="F23" s="16" t="n">
        <f aca="false">COUNTIFS(Cursos!$C$5:$C$400,$A23,Cursos!$B$5:$B$400,"Programa",Cursos!$M$5:$M$400,"x")</f>
        <v>0</v>
      </c>
      <c r="G23" s="16" t="n">
        <f aca="false">COUNTIFS(Cursos!$C$5:$C$400,$A23,Cursos!$B$5:$B$400,"Programa")</f>
        <v>0</v>
      </c>
    </row>
    <row r="24" customFormat="false" ht="15" hidden="false" customHeight="false" outlineLevel="0" collapsed="false">
      <c r="A24" s="15" t="s">
        <v>99</v>
      </c>
      <c r="B24" s="16" t="n">
        <f aca="false">COUNTIFS(Cursos!$C$5:$C$400,$A24,Cursos!$B$5:$B$400,"Programa",Cursos!$I$5:$I$400,"x")</f>
        <v>24</v>
      </c>
      <c r="C24" s="16" t="n">
        <f aca="false">COUNTIFS(Cursos!$C$5:$C$400,$A24,Cursos!$B$5:$B$400,"Programa",Cursos!$J$5:$J$400,"x")</f>
        <v>28</v>
      </c>
      <c r="D24" s="16" t="n">
        <f aca="false">COUNTIFS(Cursos!$C$5:$C$400,$A24,Cursos!$B$5:$B$400,"Programa",Cursos!$K$5:$K$400,"x")</f>
        <v>26</v>
      </c>
      <c r="E24" s="16" t="n">
        <f aca="false">COUNTIFS(Cursos!$C$5:$C$400,$A24,Cursos!$B$5:$B$400,"Programa",Cursos!$L$5:$L$400,"x")</f>
        <v>28</v>
      </c>
      <c r="F24" s="16" t="n">
        <f aca="false">COUNTIFS(Cursos!$C$5:$C$400,$A24,Cursos!$B$5:$B$400,"Programa",Cursos!$M$5:$M$400,"x")</f>
        <v>31</v>
      </c>
      <c r="G24" s="16" t="n">
        <f aca="false">COUNTIFS(Cursos!$C$5:$C$400,$A24,Cursos!$B$5:$B$400,"Programa")</f>
        <v>40</v>
      </c>
    </row>
    <row r="25" customFormat="false" ht="15" hidden="false" customHeight="false" outlineLevel="0" collapsed="false">
      <c r="A25" s="15" t="s">
        <v>100</v>
      </c>
      <c r="B25" s="16" t="n">
        <f aca="false">COUNTIFS(Cursos!$C$5:$C$400,$A25,Cursos!$B$5:$B$400,"Programa",Cursos!$I$5:$I$400,"x")</f>
        <v>3</v>
      </c>
      <c r="C25" s="16" t="n">
        <f aca="false">COUNTIFS(Cursos!$C$5:$C$400,$A25,Cursos!$B$5:$B$400,"Programa",Cursos!$J$5:$J$400,"x")</f>
        <v>3</v>
      </c>
      <c r="D25" s="16" t="n">
        <f aca="false">COUNTIFS(Cursos!$C$5:$C$400,$A25,Cursos!$B$5:$B$400,"Programa",Cursos!$K$5:$K$400,"x")</f>
        <v>3</v>
      </c>
      <c r="E25" s="16" t="n">
        <f aca="false">COUNTIFS(Cursos!$C$5:$C$400,$A25,Cursos!$B$5:$B$400,"Programa",Cursos!$L$5:$L$400,"x")</f>
        <v>3</v>
      </c>
      <c r="F25" s="16" t="n">
        <f aca="false">COUNTIFS(Cursos!$C$5:$C$400,$A25,Cursos!$B$5:$B$400,"Programa",Cursos!$M$5:$M$400,"x")</f>
        <v>3</v>
      </c>
      <c r="G25" s="16" t="n">
        <f aca="false">COUNTIFS(Cursos!$C$5:$C$400,$A25,Cursos!$B$5:$B$400,"Programa")</f>
        <v>3</v>
      </c>
    </row>
    <row r="26" customFormat="false" ht="15" hidden="false" customHeight="false" outlineLevel="0" collapsed="false">
      <c r="A26" s="15" t="s">
        <v>101</v>
      </c>
      <c r="B26" s="16" t="n">
        <f aca="false">COUNTIFS(Cursos!$C$5:$C$400,$A26,Cursos!$B$5:$B$400,"Programa",Cursos!$I$5:$I$400,"x")</f>
        <v>3</v>
      </c>
      <c r="C26" s="16" t="n">
        <f aca="false">COUNTIFS(Cursos!$C$5:$C$400,$A26,Cursos!$B$5:$B$400,"Programa",Cursos!$J$5:$J$400,"x")</f>
        <v>3</v>
      </c>
      <c r="D26" s="16" t="n">
        <f aca="false">COUNTIFS(Cursos!$C$5:$C$400,$A26,Cursos!$B$5:$B$400,"Programa",Cursos!$K$5:$K$400,"x")</f>
        <v>3</v>
      </c>
      <c r="E26" s="16" t="n">
        <f aca="false">COUNTIFS(Cursos!$C$5:$C$400,$A26,Cursos!$B$5:$B$400,"Programa",Cursos!$L$5:$L$400,"x")</f>
        <v>3</v>
      </c>
      <c r="F26" s="16" t="n">
        <f aca="false">COUNTIFS(Cursos!$C$5:$C$400,$A26,Cursos!$B$5:$B$400,"Programa",Cursos!$M$5:$M$400,"x")</f>
        <v>3</v>
      </c>
      <c r="G26" s="16" t="n">
        <f aca="false">COUNTIFS(Cursos!$C$5:$C$400,$A26,Cursos!$B$5:$B$400,"Programa")</f>
        <v>3</v>
      </c>
    </row>
    <row r="27" customFormat="false" ht="15" hidden="false" customHeight="false" outlineLevel="0" collapsed="false">
      <c r="A27" s="15" t="s">
        <v>102</v>
      </c>
      <c r="B27" s="16" t="n">
        <f aca="false">COUNTIFS(Cursos!$C$5:$C$400,$A27,Cursos!$B$5:$B$400,"Programa",Cursos!$I$5:$I$400,"x")</f>
        <v>2</v>
      </c>
      <c r="C27" s="16" t="n">
        <f aca="false">COUNTIFS(Cursos!$C$5:$C$400,$A27,Cursos!$B$5:$B$400,"Programa",Cursos!$J$5:$J$400,"x")</f>
        <v>2</v>
      </c>
      <c r="D27" s="16" t="n">
        <f aca="false">COUNTIFS(Cursos!$C$5:$C$400,$A27,Cursos!$B$5:$B$400,"Programa",Cursos!$K$5:$K$400,"x")</f>
        <v>2</v>
      </c>
      <c r="E27" s="16" t="n">
        <f aca="false">COUNTIFS(Cursos!$C$5:$C$400,$A27,Cursos!$B$5:$B$400,"Programa",Cursos!$L$5:$L$400,"x")</f>
        <v>2</v>
      </c>
      <c r="F27" s="16" t="n">
        <f aca="false">COUNTIFS(Cursos!$C$5:$C$400,$A27,Cursos!$B$5:$B$400,"Programa",Cursos!$M$5:$M$400,"x")</f>
        <v>2</v>
      </c>
      <c r="G27" s="16" t="n">
        <f aca="false">COUNTIFS(Cursos!$C$5:$C$400,$A27,Cursos!$B$5:$B$400,"Programa")</f>
        <v>2</v>
      </c>
    </row>
    <row r="28" customFormat="false" ht="15" hidden="false" customHeight="false" outlineLevel="0" collapsed="false">
      <c r="A28" s="15" t="s">
        <v>103</v>
      </c>
      <c r="B28" s="16" t="n">
        <f aca="false">COUNTIFS(Cursos!$C$5:$C$400,$A28,Cursos!$B$5:$B$400,"Programa",Cursos!$I$5:$I$400,"x")</f>
        <v>3</v>
      </c>
      <c r="C28" s="16" t="n">
        <f aca="false">COUNTIFS(Cursos!$C$5:$C$400,$A28,Cursos!$B$5:$B$400,"Programa",Cursos!$J$5:$J$400,"x")</f>
        <v>3</v>
      </c>
      <c r="D28" s="16" t="n">
        <f aca="false">COUNTIFS(Cursos!$C$5:$C$400,$A28,Cursos!$B$5:$B$400,"Programa",Cursos!$K$5:$K$400,"x")</f>
        <v>3</v>
      </c>
      <c r="E28" s="16" t="n">
        <f aca="false">COUNTIFS(Cursos!$C$5:$C$400,$A28,Cursos!$B$5:$B$400,"Programa",Cursos!$L$5:$L$400,"x")</f>
        <v>3</v>
      </c>
      <c r="F28" s="16" t="n">
        <f aca="false">COUNTIFS(Cursos!$C$5:$C$400,$A28,Cursos!$B$5:$B$400,"Programa",Cursos!$M$5:$M$400,"x")</f>
        <v>3</v>
      </c>
      <c r="G28" s="16" t="n">
        <f aca="false">COUNTIFS(Cursos!$C$5:$C$400,$A28,Cursos!$B$5:$B$400,"Programa")</f>
        <v>3</v>
      </c>
    </row>
    <row r="29" customFormat="false" ht="15" hidden="false" customHeight="false" outlineLevel="0" collapsed="false">
      <c r="A29" s="15" t="s">
        <v>104</v>
      </c>
      <c r="B29" s="16" t="n">
        <f aca="false">COUNTIFS(Cursos!$C$5:$C$400,$A29,Cursos!$B$5:$B$400,"Programa",Cursos!$I$5:$I$400,"x")</f>
        <v>0</v>
      </c>
      <c r="C29" s="16" t="n">
        <f aca="false">COUNTIFS(Cursos!$C$5:$C$400,$A29,Cursos!$B$5:$B$400,"Programa",Cursos!$J$5:$J$400,"x")</f>
        <v>0</v>
      </c>
      <c r="D29" s="16" t="n">
        <f aca="false">COUNTIFS(Cursos!$C$5:$C$400,$A29,Cursos!$B$5:$B$400,"Programa",Cursos!$K$5:$K$400,"x")</f>
        <v>0</v>
      </c>
      <c r="E29" s="16" t="n">
        <f aca="false">COUNTIFS(Cursos!$C$5:$C$400,$A29,Cursos!$B$5:$B$400,"Programa",Cursos!$L$5:$L$400,"x")</f>
        <v>0</v>
      </c>
      <c r="F29" s="16" t="n">
        <f aca="false">COUNTIFS(Cursos!$C$5:$C$400,$A29,Cursos!$B$5:$B$400,"Programa",Cursos!$M$5:$M$400,"x")</f>
        <v>0</v>
      </c>
      <c r="G29" s="16" t="n">
        <f aca="false">COUNTIFS(Cursos!$C$5:$C$400,$A29,Cursos!$B$5:$B$400,"Programa")</f>
        <v>0</v>
      </c>
    </row>
    <row r="30" customFormat="false" ht="15" hidden="false" customHeight="false" outlineLevel="0" collapsed="false">
      <c r="A30" s="15" t="s">
        <v>105</v>
      </c>
      <c r="B30" s="16" t="n">
        <f aca="false">COUNTIFS(Cursos!$C$5:$C$400,$A30,Cursos!$B$5:$B$400,"Programa",Cursos!$I$5:$I$400,"x")</f>
        <v>1</v>
      </c>
      <c r="C30" s="16" t="n">
        <f aca="false">COUNTIFS(Cursos!$C$5:$C$400,$A30,Cursos!$B$5:$B$400,"Programa",Cursos!$J$5:$J$400,"x")</f>
        <v>1</v>
      </c>
      <c r="D30" s="16" t="n">
        <f aca="false">COUNTIFS(Cursos!$C$5:$C$400,$A30,Cursos!$B$5:$B$400,"Programa",Cursos!$K$5:$K$400,"x")</f>
        <v>1</v>
      </c>
      <c r="E30" s="16" t="n">
        <f aca="false">COUNTIFS(Cursos!$C$5:$C$400,$A30,Cursos!$B$5:$B$400,"Programa",Cursos!$L$5:$L$400,"x")</f>
        <v>1</v>
      </c>
      <c r="F30" s="16" t="n">
        <f aca="false">COUNTIFS(Cursos!$C$5:$C$400,$A30,Cursos!$B$5:$B$400,"Programa",Cursos!$M$5:$M$400,"x")</f>
        <v>1</v>
      </c>
      <c r="G30" s="16" t="n">
        <f aca="false">COUNTIFS(Cursos!$C$5:$C$400,$A30,Cursos!$B$5:$B$400,"Programa")</f>
        <v>1</v>
      </c>
    </row>
    <row r="31" customFormat="false" ht="15" hidden="false" customHeight="false" outlineLevel="0" collapsed="false">
      <c r="A31" s="15" t="s">
        <v>106</v>
      </c>
      <c r="B31" s="16" t="n">
        <f aca="false">COUNTIFS(Cursos!$C$5:$C$400,$A31,Cursos!$B$5:$B$400,"Programa",Cursos!$I$5:$I$400,"x")</f>
        <v>0</v>
      </c>
      <c r="C31" s="16" t="n">
        <f aca="false">COUNTIFS(Cursos!$C$5:$C$400,$A31,Cursos!$B$5:$B$400,"Programa",Cursos!$J$5:$J$400,"x")</f>
        <v>0</v>
      </c>
      <c r="D31" s="16" t="n">
        <f aca="false">COUNTIFS(Cursos!$C$5:$C$400,$A31,Cursos!$B$5:$B$400,"Programa",Cursos!$K$5:$K$400,"x")</f>
        <v>0</v>
      </c>
      <c r="E31" s="16" t="n">
        <f aca="false">COUNTIFS(Cursos!$C$5:$C$400,$A31,Cursos!$B$5:$B$400,"Programa",Cursos!$L$5:$L$400,"x")</f>
        <v>0</v>
      </c>
      <c r="F31" s="16" t="n">
        <f aca="false">COUNTIFS(Cursos!$C$5:$C$400,$A31,Cursos!$B$5:$B$400,"Programa",Cursos!$M$5:$M$400,"x")</f>
        <v>0</v>
      </c>
      <c r="G31" s="16" t="n">
        <f aca="false">COUNTIFS(Cursos!$C$5:$C$400,$A31,Cursos!$B$5:$B$400,"Programa")</f>
        <v>0</v>
      </c>
    </row>
    <row r="32" customFormat="false" ht="15" hidden="false" customHeight="false" outlineLevel="0" collapsed="false">
      <c r="A32" s="15" t="s">
        <v>107</v>
      </c>
      <c r="B32" s="17" t="n">
        <f aca="false">SUM(B23:B31)</f>
        <v>36</v>
      </c>
      <c r="C32" s="17" t="n">
        <f aca="false">SUM(C23:C31)</f>
        <v>40</v>
      </c>
      <c r="D32" s="17" t="n">
        <f aca="false">SUM(D23:D31)</f>
        <v>38</v>
      </c>
      <c r="E32" s="17" t="n">
        <f aca="false">SUM(E23:E31)</f>
        <v>40</v>
      </c>
      <c r="F32" s="17" t="n">
        <f aca="false">SUM(F23:F31)</f>
        <v>43</v>
      </c>
      <c r="G32" s="17" t="n">
        <f aca="false">SUM(G23:G31)</f>
        <v>52</v>
      </c>
    </row>
    <row r="33" customFormat="false" ht="15" hidden="false" customHeight="true" outlineLevel="0" collapsed="false">
      <c r="A33" s="12" t="s">
        <v>113</v>
      </c>
      <c r="B33" s="12"/>
      <c r="C33" s="12"/>
      <c r="D33" s="12"/>
      <c r="E33" s="12"/>
      <c r="F33" s="12"/>
      <c r="G33" s="12"/>
    </row>
    <row r="35" customFormat="false" ht="31.5" hidden="false" customHeight="true" outlineLevel="0" collapsed="false">
      <c r="A35" s="11" t="s">
        <v>114</v>
      </c>
      <c r="B35" s="11" t="s">
        <v>115</v>
      </c>
      <c r="C35" s="11" t="s">
        <v>116</v>
      </c>
    </row>
    <row r="36" customFormat="false" ht="15" hidden="false" customHeight="false" outlineLevel="0" collapsed="false">
      <c r="A36" s="8" t="s">
        <v>38</v>
      </c>
      <c r="B36" s="16" t="n">
        <f aca="false">COUNTIFS(Cursos!$B$5:$B$400,"&lt;&gt;Programa",Cursos!$N$5:$N$400,$A36)</f>
        <v>69</v>
      </c>
      <c r="C36" s="16" t="n">
        <f aca="false">COUNTIFS(Cursos!$B$5:$B$400,"Programa",Cursos!$N$5:$N$400,$A36)</f>
        <v>0</v>
      </c>
    </row>
    <row r="37" customFormat="false" ht="15" hidden="false" customHeight="false" outlineLevel="0" collapsed="false">
      <c r="A37" s="9" t="s">
        <v>40</v>
      </c>
      <c r="B37" s="16" t="n">
        <f aca="false">COUNTIFS(Cursos!$B$5:$B$400,"&lt;&gt;Programa",Cursos!$N$5:$N$400,$A37)</f>
        <v>68</v>
      </c>
      <c r="C37" s="16" t="n">
        <f aca="false">COUNTIFS(Cursos!$B$5:$B$400,"Programa",Cursos!$N$5:$N$400,$A37)</f>
        <v>9</v>
      </c>
    </row>
    <row r="38" customFormat="false" ht="23.85" hidden="false" customHeight="false" outlineLevel="0" collapsed="false">
      <c r="A38" s="10" t="s">
        <v>42</v>
      </c>
      <c r="B38" s="16" t="n">
        <f aca="false">COUNTIFS(Cursos!$B$5:$B$400,"&lt;&gt;Programa",Cursos!$N$5:$N$400,$A38)</f>
        <v>0</v>
      </c>
      <c r="C38" s="16" t="n">
        <f aca="false">COUNTIFS(Cursos!$B$5:$B$400,"Programa",Cursos!$N$5:$N$400,$A38)</f>
        <v>43</v>
      </c>
    </row>
    <row r="39" customFormat="false" ht="15" hidden="false" customHeight="false" outlineLevel="0" collapsed="false">
      <c r="A39" s="15" t="s">
        <v>107</v>
      </c>
      <c r="B39" s="17" t="n">
        <f aca="false">SUM(B36:B38)</f>
        <v>137</v>
      </c>
      <c r="C39" s="17" t="n">
        <f aca="false">SUM(C36:C38)</f>
        <v>52</v>
      </c>
    </row>
    <row r="41" customFormat="false" ht="31.5" hidden="false" customHeight="true" outlineLevel="0" collapsed="false">
      <c r="A41" s="11" t="s">
        <v>117</v>
      </c>
      <c r="B41" s="11" t="s">
        <v>118</v>
      </c>
    </row>
    <row r="42" customFormat="false" ht="15" hidden="false" customHeight="false" outlineLevel="0" collapsed="false">
      <c r="A42" s="7" t="s">
        <v>119</v>
      </c>
      <c r="B42" s="16" t="n">
        <f aca="false">COUNTIF('Ideias de cursos'!$D$5:$D$300,$A42)</f>
        <v>71</v>
      </c>
    </row>
    <row r="43" customFormat="false" ht="15" hidden="false" customHeight="false" outlineLevel="0" collapsed="false">
      <c r="A43" s="7" t="s">
        <v>120</v>
      </c>
      <c r="B43" s="16" t="n">
        <f aca="false">COUNTIF('Ideias de cursos'!$D$5:$D$300,$A43)</f>
        <v>17</v>
      </c>
    </row>
    <row r="44" customFormat="false" ht="15" hidden="false" customHeight="false" outlineLevel="0" collapsed="false">
      <c r="A44" s="7" t="s">
        <v>121</v>
      </c>
      <c r="B44" s="16" t="n">
        <f aca="false">COUNTIF('Ideias de cursos'!$D$5:$D$300,$A44)</f>
        <v>14</v>
      </c>
    </row>
    <row r="45" customFormat="false" ht="15" hidden="false" customHeight="false" outlineLevel="0" collapsed="false">
      <c r="A45" s="15" t="s">
        <v>122</v>
      </c>
      <c r="B45" s="17" t="n">
        <f aca="false">SUM(B42:B44)</f>
        <v>102</v>
      </c>
    </row>
    <row r="47" customFormat="false" ht="31.5" hidden="false" customHeight="true" outlineLevel="0" collapsed="false">
      <c r="A47" s="11" t="s">
        <v>123</v>
      </c>
      <c r="B47" s="11" t="s">
        <v>92</v>
      </c>
      <c r="C47" s="11" t="s">
        <v>93</v>
      </c>
      <c r="D47" s="11" t="s">
        <v>94</v>
      </c>
      <c r="E47" s="11" t="s">
        <v>95</v>
      </c>
      <c r="F47" s="11" t="s">
        <v>96</v>
      </c>
    </row>
    <row r="48" customFormat="false" ht="15" hidden="false" customHeight="false" outlineLevel="0" collapsed="false">
      <c r="A48" s="15" t="s">
        <v>118</v>
      </c>
      <c r="B48" s="16" t="n">
        <f aca="false">COUNTIF('Ideias de cursos'!G$5:G$300,"Alta")</f>
        <v>42</v>
      </c>
      <c r="C48" s="16" t="n">
        <f aca="false">COUNTIF('Ideias de cursos'!H$5:H$300,"Alta")</f>
        <v>60</v>
      </c>
      <c r="D48" s="16" t="n">
        <f aca="false">COUNTIF('Ideias de cursos'!I$5:I$300,"Alta")</f>
        <v>33</v>
      </c>
      <c r="E48" s="16" t="n">
        <f aca="false">COUNTIF('Ideias de cursos'!J$5:J$300,"Alta")</f>
        <v>68</v>
      </c>
      <c r="F48" s="16" t="n">
        <f aca="false">COUNTIF('Ideias de cursos'!K$5:K$300,"Alta")</f>
        <v>56</v>
      </c>
    </row>
  </sheetData>
  <mergeCells count="2">
    <mergeCell ref="C4:H4"/>
    <mergeCell ref="A33:G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B3C"/>
    <pageSetUpPr fitToPage="true"/>
  </sheetPr>
  <dimension ref="A1:P1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20"/>
    <col collapsed="false" customWidth="true" hidden="false" outlineLevel="0" max="4" min="4" style="0" width="46"/>
    <col collapsed="false" customWidth="true" hidden="false" outlineLevel="0" max="5" min="5" style="0" width="28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26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3" min="12" style="0" width="9"/>
    <col collapsed="false" customWidth="true" hidden="false" outlineLevel="0" max="14" min="14" style="0" width="30"/>
    <col collapsed="false" customWidth="true" hidden="false" outlineLevel="0" max="15" min="15" style="0" width="44"/>
    <col collapsed="false" customWidth="true" hidden="false" outlineLevel="0" max="16" min="16" style="0" width="56"/>
  </cols>
  <sheetData>
    <row r="1" customFormat="false" ht="17.35" hidden="false" customHeight="false" outlineLevel="0" collapsed="false">
      <c r="A1" s="1" t="s">
        <v>124</v>
      </c>
    </row>
    <row r="2" customFormat="false" ht="15" hidden="false" customHeight="false" outlineLevel="0" collapsed="false">
      <c r="A2" s="2" t="s">
        <v>125</v>
      </c>
    </row>
    <row r="4" customFormat="false" ht="31.5" hidden="false" customHeight="true" outlineLevel="0" collapsed="false">
      <c r="A4" s="11" t="s">
        <v>126</v>
      </c>
      <c r="B4" s="11" t="s">
        <v>127</v>
      </c>
      <c r="C4" s="11" t="s">
        <v>91</v>
      </c>
      <c r="D4" s="11" t="s">
        <v>128</v>
      </c>
      <c r="E4" s="11" t="s">
        <v>129</v>
      </c>
      <c r="F4" s="11" t="s">
        <v>130</v>
      </c>
      <c r="G4" s="11" t="s">
        <v>131</v>
      </c>
      <c r="H4" s="11" t="s">
        <v>132</v>
      </c>
      <c r="I4" s="11" t="s">
        <v>92</v>
      </c>
      <c r="J4" s="11" t="s">
        <v>93</v>
      </c>
      <c r="K4" s="11" t="s">
        <v>94</v>
      </c>
      <c r="L4" s="11" t="s">
        <v>95</v>
      </c>
      <c r="M4" s="11" t="s">
        <v>96</v>
      </c>
      <c r="N4" s="11" t="s">
        <v>133</v>
      </c>
      <c r="O4" s="11" t="s">
        <v>134</v>
      </c>
      <c r="P4" s="11" t="s">
        <v>135</v>
      </c>
    </row>
    <row r="5" customFormat="false" ht="15" hidden="false" customHeight="false" outlineLevel="0" collapsed="false">
      <c r="A5" s="16" t="n">
        <v>1</v>
      </c>
      <c r="B5" s="7" t="s">
        <v>136</v>
      </c>
      <c r="C5" s="7" t="s">
        <v>103</v>
      </c>
      <c r="D5" s="7" t="s">
        <v>137</v>
      </c>
      <c r="E5" s="7" t="s">
        <v>138</v>
      </c>
      <c r="F5" s="16" t="n">
        <v>10</v>
      </c>
      <c r="G5" s="7" t="s">
        <v>139</v>
      </c>
      <c r="H5" s="7" t="s">
        <v>140</v>
      </c>
      <c r="I5" s="16" t="s">
        <v>141</v>
      </c>
      <c r="J5" s="16" t="s">
        <v>141</v>
      </c>
      <c r="K5" s="16" t="s">
        <v>141</v>
      </c>
      <c r="L5" s="16" t="s">
        <v>141</v>
      </c>
      <c r="M5" s="16" t="s">
        <v>141</v>
      </c>
      <c r="N5" s="8" t="s">
        <v>38</v>
      </c>
      <c r="O5" s="6" t="s">
        <v>142</v>
      </c>
      <c r="P5" s="7"/>
    </row>
    <row r="6" customFormat="false" ht="15" hidden="false" customHeight="false" outlineLevel="0" collapsed="false">
      <c r="A6" s="16" t="n">
        <v>2</v>
      </c>
      <c r="B6" s="7" t="s">
        <v>136</v>
      </c>
      <c r="C6" s="7" t="s">
        <v>102</v>
      </c>
      <c r="D6" s="7" t="s">
        <v>143</v>
      </c>
      <c r="E6" s="7" t="s">
        <v>138</v>
      </c>
      <c r="F6" s="16" t="n">
        <v>7</v>
      </c>
      <c r="G6" s="7" t="s">
        <v>139</v>
      </c>
      <c r="H6" s="7" t="s">
        <v>140</v>
      </c>
      <c r="I6" s="16" t="s">
        <v>141</v>
      </c>
      <c r="J6" s="16" t="s">
        <v>141</v>
      </c>
      <c r="K6" s="16" t="s">
        <v>141</v>
      </c>
      <c r="L6" s="16" t="s">
        <v>141</v>
      </c>
      <c r="M6" s="16" t="s">
        <v>141</v>
      </c>
      <c r="N6" s="8" t="s">
        <v>38</v>
      </c>
      <c r="O6" s="6" t="s">
        <v>142</v>
      </c>
      <c r="P6" s="7"/>
    </row>
    <row r="7" customFormat="false" ht="15" hidden="false" customHeight="false" outlineLevel="0" collapsed="false">
      <c r="A7" s="16" t="n">
        <v>3</v>
      </c>
      <c r="B7" s="7" t="s">
        <v>136</v>
      </c>
      <c r="C7" s="7" t="s">
        <v>103</v>
      </c>
      <c r="D7" s="7" t="s">
        <v>144</v>
      </c>
      <c r="E7" s="7" t="s">
        <v>138</v>
      </c>
      <c r="F7" s="16" t="n">
        <v>8</v>
      </c>
      <c r="G7" s="7" t="s">
        <v>139</v>
      </c>
      <c r="H7" s="7" t="s">
        <v>140</v>
      </c>
      <c r="I7" s="16" t="s">
        <v>141</v>
      </c>
      <c r="J7" s="16" t="s">
        <v>141</v>
      </c>
      <c r="K7" s="16" t="s">
        <v>141</v>
      </c>
      <c r="L7" s="16" t="s">
        <v>141</v>
      </c>
      <c r="M7" s="16" t="s">
        <v>141</v>
      </c>
      <c r="N7" s="8" t="s">
        <v>38</v>
      </c>
      <c r="O7" s="6" t="s">
        <v>142</v>
      </c>
      <c r="P7" s="7"/>
    </row>
    <row r="8" customFormat="false" ht="15" hidden="false" customHeight="false" outlineLevel="0" collapsed="false">
      <c r="A8" s="16" t="n">
        <v>4</v>
      </c>
      <c r="B8" s="7" t="s">
        <v>136</v>
      </c>
      <c r="C8" s="7" t="s">
        <v>102</v>
      </c>
      <c r="D8" s="7" t="s">
        <v>145</v>
      </c>
      <c r="E8" s="7" t="s">
        <v>138</v>
      </c>
      <c r="F8" s="16" t="n">
        <v>9</v>
      </c>
      <c r="G8" s="7" t="s">
        <v>139</v>
      </c>
      <c r="H8" s="7" t="s">
        <v>140</v>
      </c>
      <c r="I8" s="16" t="s">
        <v>141</v>
      </c>
      <c r="J8" s="16" t="s">
        <v>141</v>
      </c>
      <c r="K8" s="16" t="s">
        <v>141</v>
      </c>
      <c r="L8" s="16" t="s">
        <v>141</v>
      </c>
      <c r="M8" s="16" t="s">
        <v>141</v>
      </c>
      <c r="N8" s="8" t="s">
        <v>38</v>
      </c>
      <c r="O8" s="6" t="s">
        <v>142</v>
      </c>
      <c r="P8" s="7"/>
    </row>
    <row r="9" customFormat="false" ht="15" hidden="false" customHeight="false" outlineLevel="0" collapsed="false">
      <c r="A9" s="16" t="n">
        <v>5</v>
      </c>
      <c r="B9" s="7" t="s">
        <v>136</v>
      </c>
      <c r="C9" s="7" t="s">
        <v>102</v>
      </c>
      <c r="D9" s="7" t="s">
        <v>146</v>
      </c>
      <c r="E9" s="7" t="s">
        <v>138</v>
      </c>
      <c r="F9" s="16" t="n">
        <v>8</v>
      </c>
      <c r="G9" s="7" t="s">
        <v>139</v>
      </c>
      <c r="H9" s="7" t="s">
        <v>140</v>
      </c>
      <c r="I9" s="16" t="s">
        <v>141</v>
      </c>
      <c r="J9" s="16" t="s">
        <v>141</v>
      </c>
      <c r="K9" s="16" t="s">
        <v>141</v>
      </c>
      <c r="L9" s="16" t="s">
        <v>141</v>
      </c>
      <c r="M9" s="16" t="s">
        <v>141</v>
      </c>
      <c r="N9" s="8" t="s">
        <v>38</v>
      </c>
      <c r="O9" s="6" t="s">
        <v>142</v>
      </c>
      <c r="P9" s="7"/>
    </row>
    <row r="10" customFormat="false" ht="15" hidden="false" customHeight="false" outlineLevel="0" collapsed="false">
      <c r="A10" s="16" t="n">
        <v>6</v>
      </c>
      <c r="B10" s="7" t="s">
        <v>136</v>
      </c>
      <c r="C10" s="7" t="s">
        <v>103</v>
      </c>
      <c r="D10" s="7" t="s">
        <v>147</v>
      </c>
      <c r="E10" s="7" t="s">
        <v>138</v>
      </c>
      <c r="F10" s="16" t="n">
        <v>6</v>
      </c>
      <c r="G10" s="7" t="s">
        <v>139</v>
      </c>
      <c r="H10" s="7" t="s">
        <v>140</v>
      </c>
      <c r="I10" s="16" t="s">
        <v>141</v>
      </c>
      <c r="J10" s="16" t="s">
        <v>141</v>
      </c>
      <c r="K10" s="16" t="s">
        <v>141</v>
      </c>
      <c r="L10" s="16" t="s">
        <v>141</v>
      </c>
      <c r="M10" s="16" t="s">
        <v>141</v>
      </c>
      <c r="N10" s="8" t="s">
        <v>38</v>
      </c>
      <c r="O10" s="6" t="s">
        <v>142</v>
      </c>
      <c r="P10" s="7"/>
    </row>
    <row r="11" customFormat="false" ht="15" hidden="false" customHeight="false" outlineLevel="0" collapsed="false">
      <c r="A11" s="16" t="n">
        <v>7</v>
      </c>
      <c r="B11" s="7" t="s">
        <v>136</v>
      </c>
      <c r="C11" s="7" t="s">
        <v>103</v>
      </c>
      <c r="D11" s="7" t="s">
        <v>148</v>
      </c>
      <c r="E11" s="7" t="s">
        <v>138</v>
      </c>
      <c r="F11" s="16" t="n">
        <v>16</v>
      </c>
      <c r="G11" s="7" t="s">
        <v>139</v>
      </c>
      <c r="H11" s="7" t="s">
        <v>140</v>
      </c>
      <c r="I11" s="16" t="s">
        <v>141</v>
      </c>
      <c r="J11" s="16" t="s">
        <v>141</v>
      </c>
      <c r="K11" s="16" t="s">
        <v>141</v>
      </c>
      <c r="L11" s="16" t="s">
        <v>141</v>
      </c>
      <c r="M11" s="16" t="s">
        <v>141</v>
      </c>
      <c r="N11" s="8" t="s">
        <v>38</v>
      </c>
      <c r="O11" s="6" t="s">
        <v>142</v>
      </c>
      <c r="P11" s="7"/>
    </row>
    <row r="12" customFormat="false" ht="15" hidden="false" customHeight="false" outlineLevel="0" collapsed="false">
      <c r="A12" s="16" t="n">
        <v>8</v>
      </c>
      <c r="B12" s="7" t="s">
        <v>136</v>
      </c>
      <c r="C12" s="7" t="s">
        <v>103</v>
      </c>
      <c r="D12" s="7" t="s">
        <v>149</v>
      </c>
      <c r="E12" s="7" t="s">
        <v>138</v>
      </c>
      <c r="F12" s="16" t="n">
        <v>15</v>
      </c>
      <c r="G12" s="7" t="s">
        <v>139</v>
      </c>
      <c r="H12" s="7" t="s">
        <v>140</v>
      </c>
      <c r="I12" s="16" t="s">
        <v>141</v>
      </c>
      <c r="J12" s="16" t="s">
        <v>141</v>
      </c>
      <c r="K12" s="16" t="s">
        <v>141</v>
      </c>
      <c r="L12" s="16" t="s">
        <v>141</v>
      </c>
      <c r="M12" s="16" t="s">
        <v>141</v>
      </c>
      <c r="N12" s="8" t="s">
        <v>38</v>
      </c>
      <c r="O12" s="6" t="s">
        <v>142</v>
      </c>
      <c r="P12" s="7"/>
    </row>
    <row r="13" customFormat="false" ht="15" hidden="false" customHeight="false" outlineLevel="0" collapsed="false">
      <c r="A13" s="16" t="n">
        <v>9</v>
      </c>
      <c r="B13" s="7" t="s">
        <v>136</v>
      </c>
      <c r="C13" s="7" t="s">
        <v>103</v>
      </c>
      <c r="D13" s="7" t="s">
        <v>150</v>
      </c>
      <c r="E13" s="7" t="s">
        <v>138</v>
      </c>
      <c r="F13" s="16" t="n">
        <v>10</v>
      </c>
      <c r="G13" s="7" t="s">
        <v>139</v>
      </c>
      <c r="H13" s="7" t="s">
        <v>140</v>
      </c>
      <c r="I13" s="16" t="s">
        <v>141</v>
      </c>
      <c r="J13" s="16" t="s">
        <v>141</v>
      </c>
      <c r="K13" s="16" t="s">
        <v>141</v>
      </c>
      <c r="L13" s="16" t="s">
        <v>141</v>
      </c>
      <c r="M13" s="16" t="s">
        <v>141</v>
      </c>
      <c r="N13" s="8" t="s">
        <v>38</v>
      </c>
      <c r="O13" s="6" t="s">
        <v>142</v>
      </c>
      <c r="P13" s="7"/>
    </row>
    <row r="14" customFormat="false" ht="23.85" hidden="false" customHeight="false" outlineLevel="0" collapsed="false">
      <c r="A14" s="16" t="n">
        <v>10</v>
      </c>
      <c r="B14" s="7" t="s">
        <v>136</v>
      </c>
      <c r="C14" s="7" t="s">
        <v>102</v>
      </c>
      <c r="D14" s="7" t="s">
        <v>151</v>
      </c>
      <c r="E14" s="7" t="s">
        <v>138</v>
      </c>
      <c r="F14" s="16" t="n">
        <v>8</v>
      </c>
      <c r="G14" s="7" t="s">
        <v>139</v>
      </c>
      <c r="H14" s="7" t="s">
        <v>140</v>
      </c>
      <c r="I14" s="16" t="s">
        <v>141</v>
      </c>
      <c r="J14" s="16" t="s">
        <v>141</v>
      </c>
      <c r="K14" s="16" t="s">
        <v>141</v>
      </c>
      <c r="L14" s="16" t="s">
        <v>141</v>
      </c>
      <c r="M14" s="16" t="s">
        <v>141</v>
      </c>
      <c r="N14" s="8" t="s">
        <v>38</v>
      </c>
      <c r="O14" s="6" t="s">
        <v>142</v>
      </c>
      <c r="P14" s="7"/>
    </row>
    <row r="15" customFormat="false" ht="15" hidden="false" customHeight="false" outlineLevel="0" collapsed="false">
      <c r="A15" s="16" t="n">
        <v>11</v>
      </c>
      <c r="B15" s="7" t="s">
        <v>136</v>
      </c>
      <c r="C15" s="7" t="s">
        <v>102</v>
      </c>
      <c r="D15" s="7" t="s">
        <v>152</v>
      </c>
      <c r="E15" s="7" t="s">
        <v>138</v>
      </c>
      <c r="F15" s="16" t="n">
        <v>20</v>
      </c>
      <c r="G15" s="7" t="s">
        <v>139</v>
      </c>
      <c r="H15" s="7" t="s">
        <v>140</v>
      </c>
      <c r="I15" s="16" t="s">
        <v>141</v>
      </c>
      <c r="J15" s="16" t="s">
        <v>141</v>
      </c>
      <c r="K15" s="16" t="s">
        <v>141</v>
      </c>
      <c r="L15" s="16" t="s">
        <v>141</v>
      </c>
      <c r="M15" s="16" t="s">
        <v>141</v>
      </c>
      <c r="N15" s="8" t="s">
        <v>38</v>
      </c>
      <c r="O15" s="6" t="s">
        <v>142</v>
      </c>
      <c r="P15" s="7"/>
    </row>
    <row r="16" customFormat="false" ht="15" hidden="false" customHeight="false" outlineLevel="0" collapsed="false">
      <c r="A16" s="16" t="n">
        <v>12</v>
      </c>
      <c r="B16" s="7" t="s">
        <v>136</v>
      </c>
      <c r="C16" s="7" t="s">
        <v>102</v>
      </c>
      <c r="D16" s="7" t="s">
        <v>153</v>
      </c>
      <c r="E16" s="7" t="s">
        <v>138</v>
      </c>
      <c r="F16" s="16" t="n">
        <v>8</v>
      </c>
      <c r="G16" s="7" t="s">
        <v>139</v>
      </c>
      <c r="H16" s="7" t="s">
        <v>140</v>
      </c>
      <c r="I16" s="16" t="s">
        <v>141</v>
      </c>
      <c r="J16" s="16" t="s">
        <v>141</v>
      </c>
      <c r="K16" s="16" t="s">
        <v>141</v>
      </c>
      <c r="L16" s="16" t="s">
        <v>141</v>
      </c>
      <c r="M16" s="16" t="s">
        <v>141</v>
      </c>
      <c r="N16" s="8" t="s">
        <v>38</v>
      </c>
      <c r="O16" s="6" t="s">
        <v>142</v>
      </c>
      <c r="P16" s="7"/>
    </row>
    <row r="17" customFormat="false" ht="15" hidden="false" customHeight="false" outlineLevel="0" collapsed="false">
      <c r="A17" s="16" t="n">
        <v>13</v>
      </c>
      <c r="B17" s="7" t="s">
        <v>136</v>
      </c>
      <c r="C17" s="7" t="s">
        <v>102</v>
      </c>
      <c r="D17" s="7" t="s">
        <v>154</v>
      </c>
      <c r="E17" s="7" t="s">
        <v>138</v>
      </c>
      <c r="F17" s="16" t="n">
        <v>3</v>
      </c>
      <c r="G17" s="7" t="s">
        <v>139</v>
      </c>
      <c r="H17" s="7" t="s">
        <v>140</v>
      </c>
      <c r="I17" s="16" t="s">
        <v>141</v>
      </c>
      <c r="J17" s="16" t="s">
        <v>141</v>
      </c>
      <c r="K17" s="16" t="s">
        <v>141</v>
      </c>
      <c r="L17" s="16" t="s">
        <v>141</v>
      </c>
      <c r="M17" s="16" t="s">
        <v>141</v>
      </c>
      <c r="N17" s="8" t="s">
        <v>38</v>
      </c>
      <c r="O17" s="6" t="s">
        <v>142</v>
      </c>
      <c r="P17" s="7"/>
    </row>
    <row r="18" customFormat="false" ht="15" hidden="false" customHeight="false" outlineLevel="0" collapsed="false">
      <c r="A18" s="16" t="n">
        <v>14</v>
      </c>
      <c r="B18" s="7" t="s">
        <v>136</v>
      </c>
      <c r="C18" s="7" t="s">
        <v>102</v>
      </c>
      <c r="D18" s="7" t="s">
        <v>155</v>
      </c>
      <c r="E18" s="7" t="s">
        <v>138</v>
      </c>
      <c r="F18" s="16" t="n">
        <v>7</v>
      </c>
      <c r="G18" s="7" t="s">
        <v>139</v>
      </c>
      <c r="H18" s="7" t="s">
        <v>140</v>
      </c>
      <c r="I18" s="16" t="s">
        <v>141</v>
      </c>
      <c r="J18" s="16" t="s">
        <v>141</v>
      </c>
      <c r="K18" s="16" t="s">
        <v>141</v>
      </c>
      <c r="L18" s="16" t="s">
        <v>141</v>
      </c>
      <c r="M18" s="16" t="s">
        <v>141</v>
      </c>
      <c r="N18" s="8" t="s">
        <v>38</v>
      </c>
      <c r="O18" s="6" t="s">
        <v>142</v>
      </c>
      <c r="P18" s="7"/>
    </row>
    <row r="19" customFormat="false" ht="15" hidden="false" customHeight="false" outlineLevel="0" collapsed="false">
      <c r="A19" s="16" t="n">
        <v>15</v>
      </c>
      <c r="B19" s="7" t="s">
        <v>136</v>
      </c>
      <c r="C19" s="7" t="s">
        <v>102</v>
      </c>
      <c r="D19" s="7" t="s">
        <v>156</v>
      </c>
      <c r="E19" s="7" t="s">
        <v>138</v>
      </c>
      <c r="F19" s="16" t="n">
        <v>10</v>
      </c>
      <c r="G19" s="7" t="s">
        <v>139</v>
      </c>
      <c r="H19" s="7" t="s">
        <v>140</v>
      </c>
      <c r="I19" s="16" t="s">
        <v>141</v>
      </c>
      <c r="J19" s="16" t="s">
        <v>141</v>
      </c>
      <c r="K19" s="16" t="s">
        <v>141</v>
      </c>
      <c r="L19" s="16" t="s">
        <v>141</v>
      </c>
      <c r="M19" s="16" t="s">
        <v>141</v>
      </c>
      <c r="N19" s="8" t="s">
        <v>38</v>
      </c>
      <c r="O19" s="6" t="s">
        <v>142</v>
      </c>
      <c r="P19" s="7"/>
    </row>
    <row r="20" customFormat="false" ht="15" hidden="false" customHeight="false" outlineLevel="0" collapsed="false">
      <c r="A20" s="16" t="n">
        <v>16</v>
      </c>
      <c r="B20" s="7" t="s">
        <v>136</v>
      </c>
      <c r="C20" s="7" t="s">
        <v>102</v>
      </c>
      <c r="D20" s="7" t="s">
        <v>157</v>
      </c>
      <c r="E20" s="7" t="s">
        <v>138</v>
      </c>
      <c r="F20" s="16" t="n">
        <v>7</v>
      </c>
      <c r="G20" s="7" t="s">
        <v>139</v>
      </c>
      <c r="H20" s="7" t="s">
        <v>140</v>
      </c>
      <c r="I20" s="16" t="s">
        <v>141</v>
      </c>
      <c r="J20" s="16" t="s">
        <v>141</v>
      </c>
      <c r="K20" s="16" t="s">
        <v>141</v>
      </c>
      <c r="L20" s="16" t="s">
        <v>141</v>
      </c>
      <c r="M20" s="16" t="s">
        <v>141</v>
      </c>
      <c r="N20" s="8" t="s">
        <v>38</v>
      </c>
      <c r="O20" s="6" t="s">
        <v>142</v>
      </c>
      <c r="P20" s="7"/>
    </row>
    <row r="21" customFormat="false" ht="23.85" hidden="false" customHeight="false" outlineLevel="0" collapsed="false">
      <c r="A21" s="16" t="n">
        <v>17</v>
      </c>
      <c r="B21" s="7" t="s">
        <v>136</v>
      </c>
      <c r="C21" s="7" t="s">
        <v>102</v>
      </c>
      <c r="D21" s="7" t="s">
        <v>158</v>
      </c>
      <c r="E21" s="7" t="s">
        <v>138</v>
      </c>
      <c r="F21" s="16" t="s">
        <v>159</v>
      </c>
      <c r="G21" s="7" t="s">
        <v>139</v>
      </c>
      <c r="H21" s="7" t="s">
        <v>140</v>
      </c>
      <c r="I21" s="16" t="s">
        <v>141</v>
      </c>
      <c r="J21" s="16" t="s">
        <v>141</v>
      </c>
      <c r="K21" s="16" t="s">
        <v>141</v>
      </c>
      <c r="L21" s="16" t="s">
        <v>141</v>
      </c>
      <c r="M21" s="16" t="s">
        <v>141</v>
      </c>
      <c r="N21" s="8" t="s">
        <v>38</v>
      </c>
      <c r="O21" s="6" t="s">
        <v>142</v>
      </c>
      <c r="P21" s="7" t="s">
        <v>160</v>
      </c>
    </row>
    <row r="22" customFormat="false" ht="15" hidden="false" customHeight="false" outlineLevel="0" collapsed="false">
      <c r="A22" s="16" t="n">
        <v>18</v>
      </c>
      <c r="B22" s="7" t="s">
        <v>136</v>
      </c>
      <c r="C22" s="7" t="s">
        <v>102</v>
      </c>
      <c r="D22" s="7" t="s">
        <v>161</v>
      </c>
      <c r="E22" s="7" t="s">
        <v>138</v>
      </c>
      <c r="F22" s="16" t="n">
        <v>10</v>
      </c>
      <c r="G22" s="7" t="s">
        <v>139</v>
      </c>
      <c r="H22" s="7" t="s">
        <v>140</v>
      </c>
      <c r="I22" s="16" t="s">
        <v>141</v>
      </c>
      <c r="J22" s="16" t="s">
        <v>141</v>
      </c>
      <c r="K22" s="16" t="s">
        <v>141</v>
      </c>
      <c r="L22" s="16" t="s">
        <v>141</v>
      </c>
      <c r="M22" s="16" t="s">
        <v>141</v>
      </c>
      <c r="N22" s="8" t="s">
        <v>38</v>
      </c>
      <c r="O22" s="6" t="s">
        <v>142</v>
      </c>
      <c r="P22" s="7"/>
    </row>
    <row r="23" customFormat="false" ht="15" hidden="false" customHeight="false" outlineLevel="0" collapsed="false">
      <c r="A23" s="16" t="n">
        <v>19</v>
      </c>
      <c r="B23" s="7" t="s">
        <v>136</v>
      </c>
      <c r="C23" s="7" t="s">
        <v>103</v>
      </c>
      <c r="D23" s="7" t="s">
        <v>162</v>
      </c>
      <c r="E23" s="7" t="s">
        <v>138</v>
      </c>
      <c r="F23" s="16" t="n">
        <v>1</v>
      </c>
      <c r="G23" s="7" t="s">
        <v>139</v>
      </c>
      <c r="H23" s="7" t="s">
        <v>140</v>
      </c>
      <c r="I23" s="16" t="s">
        <v>141</v>
      </c>
      <c r="J23" s="16" t="s">
        <v>141</v>
      </c>
      <c r="K23" s="16" t="s">
        <v>141</v>
      </c>
      <c r="L23" s="16" t="s">
        <v>141</v>
      </c>
      <c r="M23" s="16" t="s">
        <v>141</v>
      </c>
      <c r="N23" s="8" t="s">
        <v>38</v>
      </c>
      <c r="O23" s="6" t="s">
        <v>142</v>
      </c>
      <c r="P23" s="7"/>
    </row>
    <row r="24" customFormat="false" ht="15" hidden="false" customHeight="false" outlineLevel="0" collapsed="false">
      <c r="A24" s="16" t="n">
        <v>20</v>
      </c>
      <c r="B24" s="7" t="s">
        <v>136</v>
      </c>
      <c r="C24" s="7" t="s">
        <v>102</v>
      </c>
      <c r="D24" s="7" t="s">
        <v>163</v>
      </c>
      <c r="E24" s="7" t="s">
        <v>138</v>
      </c>
      <c r="F24" s="16" t="n">
        <v>2</v>
      </c>
      <c r="G24" s="7" t="s">
        <v>139</v>
      </c>
      <c r="H24" s="7" t="s">
        <v>140</v>
      </c>
      <c r="I24" s="16" t="s">
        <v>141</v>
      </c>
      <c r="J24" s="16" t="s">
        <v>141</v>
      </c>
      <c r="K24" s="16" t="s">
        <v>141</v>
      </c>
      <c r="L24" s="16" t="s">
        <v>141</v>
      </c>
      <c r="M24" s="16" t="s">
        <v>141</v>
      </c>
      <c r="N24" s="8" t="s">
        <v>38</v>
      </c>
      <c r="O24" s="6" t="s">
        <v>142</v>
      </c>
      <c r="P24" s="7"/>
    </row>
    <row r="25" customFormat="false" ht="15" hidden="false" customHeight="false" outlineLevel="0" collapsed="false">
      <c r="A25" s="16" t="n">
        <v>21</v>
      </c>
      <c r="B25" s="7" t="s">
        <v>136</v>
      </c>
      <c r="C25" s="7" t="s">
        <v>102</v>
      </c>
      <c r="D25" s="7" t="s">
        <v>164</v>
      </c>
      <c r="E25" s="7" t="s">
        <v>138</v>
      </c>
      <c r="F25" s="16" t="n">
        <v>12</v>
      </c>
      <c r="G25" s="7" t="s">
        <v>139</v>
      </c>
      <c r="H25" s="7" t="s">
        <v>140</v>
      </c>
      <c r="I25" s="16" t="s">
        <v>141</v>
      </c>
      <c r="J25" s="16" t="s">
        <v>141</v>
      </c>
      <c r="K25" s="16" t="s">
        <v>141</v>
      </c>
      <c r="L25" s="16" t="s">
        <v>141</v>
      </c>
      <c r="M25" s="16" t="s">
        <v>141</v>
      </c>
      <c r="N25" s="8" t="s">
        <v>38</v>
      </c>
      <c r="O25" s="6" t="s">
        <v>142</v>
      </c>
      <c r="P25" s="7"/>
    </row>
    <row r="26" customFormat="false" ht="15" hidden="false" customHeight="false" outlineLevel="0" collapsed="false">
      <c r="A26" s="16" t="n">
        <v>22</v>
      </c>
      <c r="B26" s="7" t="s">
        <v>136</v>
      </c>
      <c r="C26" s="7" t="s">
        <v>102</v>
      </c>
      <c r="D26" s="7" t="s">
        <v>165</v>
      </c>
      <c r="E26" s="7" t="s">
        <v>138</v>
      </c>
      <c r="F26" s="16" t="n">
        <v>10</v>
      </c>
      <c r="G26" s="7" t="s">
        <v>139</v>
      </c>
      <c r="H26" s="7" t="s">
        <v>140</v>
      </c>
      <c r="I26" s="16" t="s">
        <v>141</v>
      </c>
      <c r="J26" s="16" t="s">
        <v>141</v>
      </c>
      <c r="K26" s="16" t="s">
        <v>141</v>
      </c>
      <c r="L26" s="16" t="s">
        <v>141</v>
      </c>
      <c r="M26" s="16" t="s">
        <v>141</v>
      </c>
      <c r="N26" s="8" t="s">
        <v>38</v>
      </c>
      <c r="O26" s="6" t="s">
        <v>142</v>
      </c>
      <c r="P26" s="7"/>
    </row>
    <row r="27" customFormat="false" ht="15" hidden="false" customHeight="false" outlineLevel="0" collapsed="false">
      <c r="A27" s="16" t="n">
        <v>23</v>
      </c>
      <c r="B27" s="7" t="s">
        <v>136</v>
      </c>
      <c r="C27" s="7" t="s">
        <v>102</v>
      </c>
      <c r="D27" s="7" t="s">
        <v>166</v>
      </c>
      <c r="E27" s="7" t="s">
        <v>138</v>
      </c>
      <c r="F27" s="16" t="n">
        <v>8</v>
      </c>
      <c r="G27" s="7" t="s">
        <v>139</v>
      </c>
      <c r="H27" s="7" t="s">
        <v>140</v>
      </c>
      <c r="I27" s="16" t="s">
        <v>141</v>
      </c>
      <c r="J27" s="16" t="s">
        <v>141</v>
      </c>
      <c r="K27" s="16" t="s">
        <v>141</v>
      </c>
      <c r="L27" s="16" t="s">
        <v>141</v>
      </c>
      <c r="M27" s="16" t="s">
        <v>141</v>
      </c>
      <c r="N27" s="8" t="s">
        <v>38</v>
      </c>
      <c r="O27" s="6" t="s">
        <v>142</v>
      </c>
      <c r="P27" s="7"/>
    </row>
    <row r="28" customFormat="false" ht="15" hidden="false" customHeight="false" outlineLevel="0" collapsed="false">
      <c r="A28" s="16" t="n">
        <v>24</v>
      </c>
      <c r="B28" s="7" t="s">
        <v>136</v>
      </c>
      <c r="C28" s="7" t="s">
        <v>102</v>
      </c>
      <c r="D28" s="7" t="s">
        <v>167</v>
      </c>
      <c r="E28" s="7" t="s">
        <v>138</v>
      </c>
      <c r="F28" s="16" t="n">
        <v>10</v>
      </c>
      <c r="G28" s="7" t="s">
        <v>139</v>
      </c>
      <c r="H28" s="7" t="s">
        <v>140</v>
      </c>
      <c r="I28" s="16" t="s">
        <v>141</v>
      </c>
      <c r="J28" s="16" t="s">
        <v>141</v>
      </c>
      <c r="K28" s="16" t="s">
        <v>141</v>
      </c>
      <c r="L28" s="16" t="s">
        <v>141</v>
      </c>
      <c r="M28" s="16" t="s">
        <v>141</v>
      </c>
      <c r="N28" s="8" t="s">
        <v>38</v>
      </c>
      <c r="O28" s="6" t="s">
        <v>142</v>
      </c>
      <c r="P28" s="7"/>
    </row>
    <row r="29" customFormat="false" ht="15" hidden="false" customHeight="false" outlineLevel="0" collapsed="false">
      <c r="A29" s="16" t="n">
        <v>25</v>
      </c>
      <c r="B29" s="7" t="s">
        <v>136</v>
      </c>
      <c r="C29" s="7" t="s">
        <v>102</v>
      </c>
      <c r="D29" s="7" t="s">
        <v>168</v>
      </c>
      <c r="E29" s="7" t="s">
        <v>138</v>
      </c>
      <c r="F29" s="16" t="n">
        <v>2</v>
      </c>
      <c r="G29" s="7" t="s">
        <v>139</v>
      </c>
      <c r="H29" s="7" t="s">
        <v>140</v>
      </c>
      <c r="I29" s="16" t="s">
        <v>141</v>
      </c>
      <c r="J29" s="16" t="s">
        <v>141</v>
      </c>
      <c r="K29" s="16" t="s">
        <v>141</v>
      </c>
      <c r="L29" s="16" t="s">
        <v>141</v>
      </c>
      <c r="M29" s="16" t="s">
        <v>141</v>
      </c>
      <c r="N29" s="8" t="s">
        <v>38</v>
      </c>
      <c r="O29" s="6" t="s">
        <v>142</v>
      </c>
      <c r="P29" s="7"/>
    </row>
    <row r="30" customFormat="false" ht="23.85" hidden="false" customHeight="false" outlineLevel="0" collapsed="false">
      <c r="A30" s="16" t="n">
        <v>26</v>
      </c>
      <c r="B30" s="7" t="s">
        <v>136</v>
      </c>
      <c r="C30" s="7" t="s">
        <v>102</v>
      </c>
      <c r="D30" s="7" t="s">
        <v>169</v>
      </c>
      <c r="E30" s="7" t="s">
        <v>138</v>
      </c>
      <c r="F30" s="16" t="n">
        <v>7</v>
      </c>
      <c r="G30" s="7" t="s">
        <v>139</v>
      </c>
      <c r="H30" s="7" t="s">
        <v>140</v>
      </c>
      <c r="I30" s="16" t="s">
        <v>141</v>
      </c>
      <c r="J30" s="16" t="s">
        <v>141</v>
      </c>
      <c r="K30" s="16" t="s">
        <v>141</v>
      </c>
      <c r="L30" s="16" t="s">
        <v>141</v>
      </c>
      <c r="M30" s="16" t="s">
        <v>141</v>
      </c>
      <c r="N30" s="8" t="s">
        <v>38</v>
      </c>
      <c r="O30" s="6" t="s">
        <v>142</v>
      </c>
      <c r="P30" s="7"/>
    </row>
    <row r="31" customFormat="false" ht="15" hidden="false" customHeight="false" outlineLevel="0" collapsed="false">
      <c r="A31" s="16" t="n">
        <v>27</v>
      </c>
      <c r="B31" s="7" t="s">
        <v>136</v>
      </c>
      <c r="C31" s="7" t="s">
        <v>102</v>
      </c>
      <c r="D31" s="7" t="s">
        <v>170</v>
      </c>
      <c r="E31" s="7" t="s">
        <v>138</v>
      </c>
      <c r="F31" s="16" t="n">
        <v>3</v>
      </c>
      <c r="G31" s="7" t="s">
        <v>139</v>
      </c>
      <c r="H31" s="7" t="s">
        <v>140</v>
      </c>
      <c r="I31" s="16" t="s">
        <v>141</v>
      </c>
      <c r="J31" s="16" t="s">
        <v>141</v>
      </c>
      <c r="K31" s="16" t="s">
        <v>141</v>
      </c>
      <c r="L31" s="16" t="s">
        <v>141</v>
      </c>
      <c r="M31" s="16" t="s">
        <v>141</v>
      </c>
      <c r="N31" s="8" t="s">
        <v>38</v>
      </c>
      <c r="O31" s="6" t="s">
        <v>142</v>
      </c>
      <c r="P31" s="7"/>
    </row>
    <row r="32" customFormat="false" ht="15" hidden="false" customHeight="false" outlineLevel="0" collapsed="false">
      <c r="A32" s="16" t="n">
        <v>28</v>
      </c>
      <c r="B32" s="7" t="s">
        <v>136</v>
      </c>
      <c r="C32" s="7" t="s">
        <v>103</v>
      </c>
      <c r="D32" s="7" t="s">
        <v>171</v>
      </c>
      <c r="E32" s="7" t="s">
        <v>138</v>
      </c>
      <c r="F32" s="16" t="n">
        <v>3</v>
      </c>
      <c r="G32" s="7" t="s">
        <v>139</v>
      </c>
      <c r="H32" s="7" t="s">
        <v>140</v>
      </c>
      <c r="I32" s="16" t="s">
        <v>141</v>
      </c>
      <c r="J32" s="16" t="s">
        <v>141</v>
      </c>
      <c r="K32" s="16" t="s">
        <v>141</v>
      </c>
      <c r="L32" s="16" t="s">
        <v>141</v>
      </c>
      <c r="M32" s="16" t="s">
        <v>141</v>
      </c>
      <c r="N32" s="8" t="s">
        <v>38</v>
      </c>
      <c r="O32" s="6" t="s">
        <v>142</v>
      </c>
      <c r="P32" s="7"/>
    </row>
    <row r="33" customFormat="false" ht="15" hidden="false" customHeight="false" outlineLevel="0" collapsed="false">
      <c r="A33" s="16" t="n">
        <v>29</v>
      </c>
      <c r="B33" s="7" t="s">
        <v>136</v>
      </c>
      <c r="C33" s="7" t="s">
        <v>103</v>
      </c>
      <c r="D33" s="7" t="s">
        <v>172</v>
      </c>
      <c r="E33" s="7" t="s">
        <v>138</v>
      </c>
      <c r="F33" s="16" t="n">
        <v>10</v>
      </c>
      <c r="G33" s="7" t="s">
        <v>139</v>
      </c>
      <c r="H33" s="7" t="s">
        <v>140</v>
      </c>
      <c r="I33" s="16" t="s">
        <v>141</v>
      </c>
      <c r="J33" s="16" t="s">
        <v>141</v>
      </c>
      <c r="K33" s="16" t="s">
        <v>141</v>
      </c>
      <c r="L33" s="16" t="s">
        <v>141</v>
      </c>
      <c r="M33" s="16" t="s">
        <v>141</v>
      </c>
      <c r="N33" s="8" t="s">
        <v>38</v>
      </c>
      <c r="O33" s="6" t="s">
        <v>142</v>
      </c>
      <c r="P33" s="7"/>
    </row>
    <row r="34" customFormat="false" ht="15" hidden="false" customHeight="false" outlineLevel="0" collapsed="false">
      <c r="A34" s="16" t="n">
        <v>30</v>
      </c>
      <c r="B34" s="7" t="s">
        <v>136</v>
      </c>
      <c r="C34" s="7" t="s">
        <v>103</v>
      </c>
      <c r="D34" s="7" t="s">
        <v>173</v>
      </c>
      <c r="E34" s="7" t="s">
        <v>138</v>
      </c>
      <c r="F34" s="16" t="n">
        <v>3</v>
      </c>
      <c r="G34" s="7" t="s">
        <v>139</v>
      </c>
      <c r="H34" s="7" t="s">
        <v>140</v>
      </c>
      <c r="I34" s="16" t="s">
        <v>141</v>
      </c>
      <c r="J34" s="16" t="s">
        <v>141</v>
      </c>
      <c r="K34" s="16" t="s">
        <v>141</v>
      </c>
      <c r="L34" s="16" t="s">
        <v>141</v>
      </c>
      <c r="M34" s="16" t="s">
        <v>141</v>
      </c>
      <c r="N34" s="8" t="s">
        <v>38</v>
      </c>
      <c r="O34" s="6" t="s">
        <v>142</v>
      </c>
      <c r="P34" s="7"/>
    </row>
    <row r="35" customFormat="false" ht="15" hidden="false" customHeight="false" outlineLevel="0" collapsed="false">
      <c r="A35" s="16" t="n">
        <v>31</v>
      </c>
      <c r="B35" s="7" t="s">
        <v>136</v>
      </c>
      <c r="C35" s="7" t="s">
        <v>103</v>
      </c>
      <c r="D35" s="7" t="s">
        <v>174</v>
      </c>
      <c r="E35" s="7" t="s">
        <v>138</v>
      </c>
      <c r="F35" s="16" t="n">
        <v>6</v>
      </c>
      <c r="G35" s="7" t="s">
        <v>139</v>
      </c>
      <c r="H35" s="7" t="s">
        <v>140</v>
      </c>
      <c r="I35" s="16" t="s">
        <v>141</v>
      </c>
      <c r="J35" s="16" t="s">
        <v>141</v>
      </c>
      <c r="K35" s="16" t="s">
        <v>141</v>
      </c>
      <c r="L35" s="16" t="s">
        <v>141</v>
      </c>
      <c r="M35" s="16" t="s">
        <v>141</v>
      </c>
      <c r="N35" s="8" t="s">
        <v>38</v>
      </c>
      <c r="O35" s="6" t="s">
        <v>142</v>
      </c>
      <c r="P35" s="7"/>
    </row>
    <row r="36" customFormat="false" ht="15" hidden="false" customHeight="false" outlineLevel="0" collapsed="false">
      <c r="A36" s="16" t="n">
        <v>32</v>
      </c>
      <c r="B36" s="7" t="s">
        <v>136</v>
      </c>
      <c r="C36" s="7" t="s">
        <v>103</v>
      </c>
      <c r="D36" s="7" t="s">
        <v>175</v>
      </c>
      <c r="E36" s="7" t="s">
        <v>138</v>
      </c>
      <c r="F36" s="16" t="n">
        <v>2</v>
      </c>
      <c r="G36" s="7" t="s">
        <v>139</v>
      </c>
      <c r="H36" s="7" t="s">
        <v>140</v>
      </c>
      <c r="I36" s="16" t="s">
        <v>141</v>
      </c>
      <c r="J36" s="16" t="s">
        <v>141</v>
      </c>
      <c r="K36" s="16" t="s">
        <v>141</v>
      </c>
      <c r="L36" s="16" t="s">
        <v>141</v>
      </c>
      <c r="M36" s="16" t="s">
        <v>141</v>
      </c>
      <c r="N36" s="8" t="s">
        <v>38</v>
      </c>
      <c r="O36" s="6" t="s">
        <v>142</v>
      </c>
      <c r="P36" s="7"/>
    </row>
    <row r="37" customFormat="false" ht="15" hidden="false" customHeight="false" outlineLevel="0" collapsed="false">
      <c r="A37" s="16" t="n">
        <v>33</v>
      </c>
      <c r="B37" s="7" t="s">
        <v>136</v>
      </c>
      <c r="C37" s="7" t="s">
        <v>103</v>
      </c>
      <c r="D37" s="7" t="s">
        <v>176</v>
      </c>
      <c r="E37" s="7" t="s">
        <v>138</v>
      </c>
      <c r="F37" s="16" t="n">
        <v>2</v>
      </c>
      <c r="G37" s="7" t="s">
        <v>139</v>
      </c>
      <c r="H37" s="7" t="s">
        <v>140</v>
      </c>
      <c r="I37" s="16" t="s">
        <v>141</v>
      </c>
      <c r="J37" s="16" t="s">
        <v>141</v>
      </c>
      <c r="K37" s="16" t="s">
        <v>141</v>
      </c>
      <c r="L37" s="16" t="s">
        <v>141</v>
      </c>
      <c r="M37" s="16" t="s">
        <v>141</v>
      </c>
      <c r="N37" s="8" t="s">
        <v>38</v>
      </c>
      <c r="O37" s="6" t="s">
        <v>142</v>
      </c>
      <c r="P37" s="7"/>
    </row>
    <row r="38" customFormat="false" ht="15" hidden="false" customHeight="false" outlineLevel="0" collapsed="false">
      <c r="A38" s="16" t="n">
        <v>34</v>
      </c>
      <c r="B38" s="7" t="s">
        <v>136</v>
      </c>
      <c r="C38" s="7" t="s">
        <v>103</v>
      </c>
      <c r="D38" s="7" t="s">
        <v>177</v>
      </c>
      <c r="E38" s="7" t="s">
        <v>138</v>
      </c>
      <c r="F38" s="16" t="n">
        <v>24</v>
      </c>
      <c r="G38" s="7" t="s">
        <v>139</v>
      </c>
      <c r="H38" s="7" t="s">
        <v>140</v>
      </c>
      <c r="I38" s="16" t="s">
        <v>141</v>
      </c>
      <c r="J38" s="16" t="s">
        <v>141</v>
      </c>
      <c r="K38" s="16" t="s">
        <v>141</v>
      </c>
      <c r="L38" s="16" t="s">
        <v>141</v>
      </c>
      <c r="M38" s="16" t="s">
        <v>141</v>
      </c>
      <c r="N38" s="8" t="s">
        <v>38</v>
      </c>
      <c r="O38" s="6" t="s">
        <v>142</v>
      </c>
      <c r="P38" s="7"/>
    </row>
    <row r="39" customFormat="false" ht="15" hidden="false" customHeight="false" outlineLevel="0" collapsed="false">
      <c r="A39" s="16" t="n">
        <v>35</v>
      </c>
      <c r="B39" s="7" t="s">
        <v>136</v>
      </c>
      <c r="C39" s="7" t="s">
        <v>103</v>
      </c>
      <c r="D39" s="7" t="s">
        <v>178</v>
      </c>
      <c r="E39" s="7" t="s">
        <v>138</v>
      </c>
      <c r="F39" s="16" t="n">
        <v>2</v>
      </c>
      <c r="G39" s="7" t="s">
        <v>139</v>
      </c>
      <c r="H39" s="7" t="s">
        <v>140</v>
      </c>
      <c r="I39" s="16" t="s">
        <v>141</v>
      </c>
      <c r="J39" s="16" t="s">
        <v>141</v>
      </c>
      <c r="K39" s="16" t="s">
        <v>141</v>
      </c>
      <c r="L39" s="16" t="s">
        <v>141</v>
      </c>
      <c r="M39" s="16" t="s">
        <v>141</v>
      </c>
      <c r="N39" s="8" t="s">
        <v>38</v>
      </c>
      <c r="O39" s="6" t="s">
        <v>142</v>
      </c>
      <c r="P39" s="7"/>
    </row>
    <row r="40" customFormat="false" ht="23.85" hidden="false" customHeight="false" outlineLevel="0" collapsed="false">
      <c r="A40" s="16" t="n">
        <v>36</v>
      </c>
      <c r="B40" s="7" t="s">
        <v>136</v>
      </c>
      <c r="C40" s="7" t="s">
        <v>103</v>
      </c>
      <c r="D40" s="7" t="s">
        <v>179</v>
      </c>
      <c r="E40" s="7" t="s">
        <v>138</v>
      </c>
      <c r="F40" s="16" t="n">
        <v>2</v>
      </c>
      <c r="G40" s="7" t="s">
        <v>139</v>
      </c>
      <c r="H40" s="7" t="s">
        <v>140</v>
      </c>
      <c r="I40" s="16" t="s">
        <v>141</v>
      </c>
      <c r="J40" s="16" t="s">
        <v>141</v>
      </c>
      <c r="K40" s="16" t="s">
        <v>141</v>
      </c>
      <c r="L40" s="16" t="s">
        <v>141</v>
      </c>
      <c r="M40" s="16" t="s">
        <v>141</v>
      </c>
      <c r="N40" s="8" t="s">
        <v>38</v>
      </c>
      <c r="O40" s="6" t="s">
        <v>142</v>
      </c>
      <c r="P40" s="7"/>
    </row>
    <row r="41" customFormat="false" ht="15" hidden="false" customHeight="false" outlineLevel="0" collapsed="false">
      <c r="A41" s="16" t="n">
        <v>37</v>
      </c>
      <c r="B41" s="7" t="s">
        <v>136</v>
      </c>
      <c r="C41" s="7" t="s">
        <v>103</v>
      </c>
      <c r="D41" s="7" t="s">
        <v>180</v>
      </c>
      <c r="E41" s="7" t="s">
        <v>138</v>
      </c>
      <c r="F41" s="16" t="n">
        <v>3</v>
      </c>
      <c r="G41" s="7" t="s">
        <v>139</v>
      </c>
      <c r="H41" s="7" t="s">
        <v>140</v>
      </c>
      <c r="I41" s="16" t="s">
        <v>141</v>
      </c>
      <c r="J41" s="16" t="s">
        <v>141</v>
      </c>
      <c r="K41" s="16" t="s">
        <v>141</v>
      </c>
      <c r="L41" s="16" t="s">
        <v>141</v>
      </c>
      <c r="M41" s="16" t="s">
        <v>141</v>
      </c>
      <c r="N41" s="8" t="s">
        <v>38</v>
      </c>
      <c r="O41" s="6" t="s">
        <v>142</v>
      </c>
      <c r="P41" s="7"/>
    </row>
    <row r="42" customFormat="false" ht="15" hidden="false" customHeight="false" outlineLevel="0" collapsed="false">
      <c r="A42" s="16" t="n">
        <v>38</v>
      </c>
      <c r="B42" s="7" t="s">
        <v>136</v>
      </c>
      <c r="C42" s="7" t="s">
        <v>102</v>
      </c>
      <c r="D42" s="7" t="s">
        <v>181</v>
      </c>
      <c r="E42" s="7" t="s">
        <v>138</v>
      </c>
      <c r="F42" s="16" t="n">
        <v>3</v>
      </c>
      <c r="G42" s="7" t="s">
        <v>139</v>
      </c>
      <c r="H42" s="7" t="s">
        <v>140</v>
      </c>
      <c r="I42" s="16" t="s">
        <v>141</v>
      </c>
      <c r="J42" s="16" t="s">
        <v>141</v>
      </c>
      <c r="K42" s="16" t="s">
        <v>141</v>
      </c>
      <c r="L42" s="16" t="s">
        <v>141</v>
      </c>
      <c r="M42" s="16" t="s">
        <v>141</v>
      </c>
      <c r="N42" s="8" t="s">
        <v>38</v>
      </c>
      <c r="O42" s="6" t="s">
        <v>142</v>
      </c>
      <c r="P42" s="7"/>
    </row>
    <row r="43" customFormat="false" ht="15" hidden="false" customHeight="false" outlineLevel="0" collapsed="false">
      <c r="A43" s="16" t="n">
        <v>39</v>
      </c>
      <c r="B43" s="7" t="s">
        <v>136</v>
      </c>
      <c r="C43" s="7" t="s">
        <v>102</v>
      </c>
      <c r="D43" s="7" t="s">
        <v>182</v>
      </c>
      <c r="E43" s="7" t="s">
        <v>138</v>
      </c>
      <c r="F43" s="16" t="n">
        <v>3</v>
      </c>
      <c r="G43" s="7" t="s">
        <v>139</v>
      </c>
      <c r="H43" s="7" t="s">
        <v>140</v>
      </c>
      <c r="I43" s="16" t="s">
        <v>141</v>
      </c>
      <c r="J43" s="16" t="s">
        <v>141</v>
      </c>
      <c r="K43" s="16" t="s">
        <v>141</v>
      </c>
      <c r="L43" s="16" t="s">
        <v>141</v>
      </c>
      <c r="M43" s="16" t="s">
        <v>141</v>
      </c>
      <c r="N43" s="8" t="s">
        <v>38</v>
      </c>
      <c r="O43" s="6" t="s">
        <v>142</v>
      </c>
      <c r="P43" s="7"/>
    </row>
    <row r="44" customFormat="false" ht="15" hidden="false" customHeight="false" outlineLevel="0" collapsed="false">
      <c r="A44" s="16" t="n">
        <v>40</v>
      </c>
      <c r="B44" s="7" t="s">
        <v>136</v>
      </c>
      <c r="C44" s="7" t="s">
        <v>102</v>
      </c>
      <c r="D44" s="7" t="s">
        <v>183</v>
      </c>
      <c r="E44" s="7" t="s">
        <v>138</v>
      </c>
      <c r="F44" s="16" t="n">
        <v>3</v>
      </c>
      <c r="G44" s="7" t="s">
        <v>139</v>
      </c>
      <c r="H44" s="7" t="s">
        <v>140</v>
      </c>
      <c r="I44" s="16" t="s">
        <v>141</v>
      </c>
      <c r="J44" s="16" t="s">
        <v>141</v>
      </c>
      <c r="K44" s="16" t="s">
        <v>141</v>
      </c>
      <c r="L44" s="16" t="s">
        <v>141</v>
      </c>
      <c r="M44" s="16" t="s">
        <v>141</v>
      </c>
      <c r="N44" s="8" t="s">
        <v>38</v>
      </c>
      <c r="O44" s="6" t="s">
        <v>142</v>
      </c>
      <c r="P44" s="7"/>
    </row>
    <row r="45" customFormat="false" ht="15" hidden="false" customHeight="false" outlineLevel="0" collapsed="false">
      <c r="A45" s="16" t="n">
        <v>41</v>
      </c>
      <c r="B45" s="7" t="s">
        <v>136</v>
      </c>
      <c r="C45" s="7" t="s">
        <v>101</v>
      </c>
      <c r="D45" s="7" t="s">
        <v>184</v>
      </c>
      <c r="E45" s="7" t="s">
        <v>138</v>
      </c>
      <c r="F45" s="16" t="n">
        <v>3</v>
      </c>
      <c r="G45" s="7" t="s">
        <v>139</v>
      </c>
      <c r="H45" s="7" t="s">
        <v>140</v>
      </c>
      <c r="I45" s="16" t="s">
        <v>141</v>
      </c>
      <c r="J45" s="16" t="s">
        <v>141</v>
      </c>
      <c r="K45" s="16" t="s">
        <v>141</v>
      </c>
      <c r="L45" s="16" t="s">
        <v>141</v>
      </c>
      <c r="M45" s="16" t="s">
        <v>141</v>
      </c>
      <c r="N45" s="8" t="s">
        <v>38</v>
      </c>
      <c r="O45" s="6" t="s">
        <v>142</v>
      </c>
      <c r="P45" s="7"/>
    </row>
    <row r="46" customFormat="false" ht="15" hidden="false" customHeight="false" outlineLevel="0" collapsed="false">
      <c r="A46" s="16" t="n">
        <v>42</v>
      </c>
      <c r="B46" s="7" t="s">
        <v>136</v>
      </c>
      <c r="C46" s="7" t="s">
        <v>102</v>
      </c>
      <c r="D46" s="7" t="s">
        <v>185</v>
      </c>
      <c r="E46" s="7" t="s">
        <v>138</v>
      </c>
      <c r="F46" s="16" t="n">
        <v>3</v>
      </c>
      <c r="G46" s="7" t="s">
        <v>139</v>
      </c>
      <c r="H46" s="7" t="s">
        <v>140</v>
      </c>
      <c r="I46" s="16" t="s">
        <v>141</v>
      </c>
      <c r="J46" s="16" t="s">
        <v>141</v>
      </c>
      <c r="K46" s="16" t="s">
        <v>141</v>
      </c>
      <c r="L46" s="16" t="s">
        <v>141</v>
      </c>
      <c r="M46" s="16" t="s">
        <v>141</v>
      </c>
      <c r="N46" s="8" t="s">
        <v>38</v>
      </c>
      <c r="O46" s="6" t="s">
        <v>142</v>
      </c>
      <c r="P46" s="7"/>
    </row>
    <row r="47" customFormat="false" ht="15" hidden="false" customHeight="false" outlineLevel="0" collapsed="false">
      <c r="A47" s="16" t="n">
        <v>43</v>
      </c>
      <c r="B47" s="7" t="s">
        <v>136</v>
      </c>
      <c r="C47" s="7" t="s">
        <v>99</v>
      </c>
      <c r="D47" s="7" t="s">
        <v>186</v>
      </c>
      <c r="E47" s="7" t="s">
        <v>138</v>
      </c>
      <c r="F47" s="16" t="n">
        <v>4</v>
      </c>
      <c r="G47" s="7" t="s">
        <v>139</v>
      </c>
      <c r="H47" s="7" t="s">
        <v>140</v>
      </c>
      <c r="I47" s="16" t="s">
        <v>141</v>
      </c>
      <c r="J47" s="16" t="s">
        <v>141</v>
      </c>
      <c r="K47" s="16" t="s">
        <v>141</v>
      </c>
      <c r="L47" s="16" t="s">
        <v>141</v>
      </c>
      <c r="M47" s="16" t="s">
        <v>141</v>
      </c>
      <c r="N47" s="8" t="s">
        <v>38</v>
      </c>
      <c r="O47" s="6" t="s">
        <v>142</v>
      </c>
      <c r="P47" s="7"/>
    </row>
    <row r="48" customFormat="false" ht="15" hidden="false" customHeight="false" outlineLevel="0" collapsed="false">
      <c r="A48" s="16" t="n">
        <v>44</v>
      </c>
      <c r="B48" s="7" t="s">
        <v>136</v>
      </c>
      <c r="C48" s="7" t="s">
        <v>103</v>
      </c>
      <c r="D48" s="7" t="s">
        <v>187</v>
      </c>
      <c r="E48" s="7" t="s">
        <v>138</v>
      </c>
      <c r="F48" s="16" t="n">
        <v>2</v>
      </c>
      <c r="G48" s="7" t="s">
        <v>139</v>
      </c>
      <c r="H48" s="7" t="s">
        <v>140</v>
      </c>
      <c r="I48" s="16" t="s">
        <v>141</v>
      </c>
      <c r="J48" s="16" t="s">
        <v>141</v>
      </c>
      <c r="K48" s="16" t="s">
        <v>141</v>
      </c>
      <c r="L48" s="16" t="s">
        <v>141</v>
      </c>
      <c r="M48" s="16" t="s">
        <v>141</v>
      </c>
      <c r="N48" s="8" t="s">
        <v>38</v>
      </c>
      <c r="O48" s="6" t="s">
        <v>142</v>
      </c>
      <c r="P48" s="7"/>
    </row>
    <row r="49" customFormat="false" ht="15" hidden="false" customHeight="false" outlineLevel="0" collapsed="false">
      <c r="A49" s="16" t="n">
        <v>45</v>
      </c>
      <c r="B49" s="7" t="s">
        <v>136</v>
      </c>
      <c r="C49" s="7" t="s">
        <v>103</v>
      </c>
      <c r="D49" s="7" t="s">
        <v>188</v>
      </c>
      <c r="E49" s="7" t="s">
        <v>138</v>
      </c>
      <c r="F49" s="16" t="n">
        <v>4</v>
      </c>
      <c r="G49" s="7" t="s">
        <v>139</v>
      </c>
      <c r="H49" s="7" t="s">
        <v>140</v>
      </c>
      <c r="I49" s="16" t="s">
        <v>141</v>
      </c>
      <c r="J49" s="16" t="s">
        <v>141</v>
      </c>
      <c r="K49" s="16" t="s">
        <v>141</v>
      </c>
      <c r="L49" s="16" t="s">
        <v>141</v>
      </c>
      <c r="M49" s="16" t="s">
        <v>141</v>
      </c>
      <c r="N49" s="8" t="s">
        <v>38</v>
      </c>
      <c r="O49" s="6" t="s">
        <v>142</v>
      </c>
      <c r="P49" s="7"/>
    </row>
    <row r="50" customFormat="false" ht="23.85" hidden="false" customHeight="false" outlineLevel="0" collapsed="false">
      <c r="A50" s="16" t="n">
        <v>46</v>
      </c>
      <c r="B50" s="7" t="s">
        <v>136</v>
      </c>
      <c r="C50" s="7" t="s">
        <v>103</v>
      </c>
      <c r="D50" s="7" t="s">
        <v>189</v>
      </c>
      <c r="E50" s="7" t="s">
        <v>138</v>
      </c>
      <c r="F50" s="16" t="s">
        <v>159</v>
      </c>
      <c r="G50" s="7" t="s">
        <v>139</v>
      </c>
      <c r="H50" s="7" t="s">
        <v>190</v>
      </c>
      <c r="I50" s="16" t="s">
        <v>141</v>
      </c>
      <c r="J50" s="16" t="s">
        <v>141</v>
      </c>
      <c r="K50" s="16" t="s">
        <v>141</v>
      </c>
      <c r="L50" s="16" t="s">
        <v>141</v>
      </c>
      <c r="M50" s="16" t="s">
        <v>141</v>
      </c>
      <c r="N50" s="9" t="s">
        <v>40</v>
      </c>
      <c r="O50" s="6" t="s">
        <v>142</v>
      </c>
      <c r="P50" s="7" t="s">
        <v>191</v>
      </c>
    </row>
    <row r="51" customFormat="false" ht="23.85" hidden="false" customHeight="false" outlineLevel="0" collapsed="false">
      <c r="A51" s="16" t="n">
        <v>47</v>
      </c>
      <c r="B51" s="7" t="s">
        <v>136</v>
      </c>
      <c r="C51" s="7" t="s">
        <v>103</v>
      </c>
      <c r="D51" s="7" t="s">
        <v>192</v>
      </c>
      <c r="E51" s="7" t="s">
        <v>138</v>
      </c>
      <c r="F51" s="16" t="s">
        <v>159</v>
      </c>
      <c r="G51" s="7" t="s">
        <v>139</v>
      </c>
      <c r="H51" s="7" t="s">
        <v>190</v>
      </c>
      <c r="I51" s="16" t="s">
        <v>141</v>
      </c>
      <c r="J51" s="16" t="s">
        <v>141</v>
      </c>
      <c r="K51" s="16" t="s">
        <v>141</v>
      </c>
      <c r="L51" s="16" t="s">
        <v>141</v>
      </c>
      <c r="M51" s="16" t="s">
        <v>141</v>
      </c>
      <c r="N51" s="9" t="s">
        <v>40</v>
      </c>
      <c r="O51" s="6" t="s">
        <v>142</v>
      </c>
      <c r="P51" s="7" t="s">
        <v>191</v>
      </c>
    </row>
    <row r="52" customFormat="false" ht="23.85" hidden="false" customHeight="false" outlineLevel="0" collapsed="false">
      <c r="A52" s="16" t="n">
        <v>48</v>
      </c>
      <c r="B52" s="7" t="s">
        <v>136</v>
      </c>
      <c r="C52" s="7" t="s">
        <v>103</v>
      </c>
      <c r="D52" s="7" t="s">
        <v>193</v>
      </c>
      <c r="E52" s="7" t="s">
        <v>138</v>
      </c>
      <c r="F52" s="16" t="s">
        <v>159</v>
      </c>
      <c r="G52" s="7" t="s">
        <v>139</v>
      </c>
      <c r="H52" s="7" t="s">
        <v>190</v>
      </c>
      <c r="I52" s="16" t="s">
        <v>141</v>
      </c>
      <c r="J52" s="16" t="s">
        <v>141</v>
      </c>
      <c r="K52" s="16" t="s">
        <v>141</v>
      </c>
      <c r="L52" s="16" t="s">
        <v>141</v>
      </c>
      <c r="M52" s="16" t="s">
        <v>141</v>
      </c>
      <c r="N52" s="9" t="s">
        <v>40</v>
      </c>
      <c r="O52" s="6" t="s">
        <v>142</v>
      </c>
      <c r="P52" s="7" t="s">
        <v>191</v>
      </c>
    </row>
    <row r="53" customFormat="false" ht="23.85" hidden="false" customHeight="false" outlineLevel="0" collapsed="false">
      <c r="A53" s="16" t="n">
        <v>49</v>
      </c>
      <c r="B53" s="7" t="s">
        <v>136</v>
      </c>
      <c r="C53" s="7" t="s">
        <v>103</v>
      </c>
      <c r="D53" s="7" t="s">
        <v>194</v>
      </c>
      <c r="E53" s="7" t="s">
        <v>138</v>
      </c>
      <c r="F53" s="16" t="s">
        <v>159</v>
      </c>
      <c r="G53" s="7" t="s">
        <v>139</v>
      </c>
      <c r="H53" s="7" t="s">
        <v>190</v>
      </c>
      <c r="I53" s="16" t="s">
        <v>141</v>
      </c>
      <c r="J53" s="16" t="s">
        <v>141</v>
      </c>
      <c r="K53" s="16" t="s">
        <v>141</v>
      </c>
      <c r="L53" s="16" t="s">
        <v>141</v>
      </c>
      <c r="M53" s="16" t="s">
        <v>141</v>
      </c>
      <c r="N53" s="9" t="s">
        <v>40</v>
      </c>
      <c r="O53" s="6" t="s">
        <v>142</v>
      </c>
      <c r="P53" s="7" t="s">
        <v>191</v>
      </c>
    </row>
    <row r="54" customFormat="false" ht="23.85" hidden="false" customHeight="false" outlineLevel="0" collapsed="false">
      <c r="A54" s="16" t="n">
        <v>50</v>
      </c>
      <c r="B54" s="7" t="s">
        <v>136</v>
      </c>
      <c r="C54" s="7" t="s">
        <v>103</v>
      </c>
      <c r="D54" s="7" t="s">
        <v>195</v>
      </c>
      <c r="E54" s="7" t="s">
        <v>138</v>
      </c>
      <c r="F54" s="16" t="s">
        <v>159</v>
      </c>
      <c r="G54" s="7" t="s">
        <v>139</v>
      </c>
      <c r="H54" s="7" t="s">
        <v>190</v>
      </c>
      <c r="I54" s="16" t="s">
        <v>141</v>
      </c>
      <c r="J54" s="16" t="s">
        <v>141</v>
      </c>
      <c r="K54" s="16" t="s">
        <v>141</v>
      </c>
      <c r="L54" s="16" t="s">
        <v>141</v>
      </c>
      <c r="M54" s="16" t="s">
        <v>141</v>
      </c>
      <c r="N54" s="9" t="s">
        <v>40</v>
      </c>
      <c r="O54" s="6" t="s">
        <v>142</v>
      </c>
      <c r="P54" s="7" t="s">
        <v>191</v>
      </c>
    </row>
    <row r="55" customFormat="false" ht="23.85" hidden="false" customHeight="false" outlineLevel="0" collapsed="false">
      <c r="A55" s="16" t="n">
        <v>51</v>
      </c>
      <c r="B55" s="7" t="s">
        <v>136</v>
      </c>
      <c r="C55" s="7" t="s">
        <v>103</v>
      </c>
      <c r="D55" s="7" t="s">
        <v>196</v>
      </c>
      <c r="E55" s="7" t="s">
        <v>138</v>
      </c>
      <c r="F55" s="16" t="s">
        <v>159</v>
      </c>
      <c r="G55" s="7" t="s">
        <v>139</v>
      </c>
      <c r="H55" s="7" t="s">
        <v>190</v>
      </c>
      <c r="I55" s="16" t="s">
        <v>141</v>
      </c>
      <c r="J55" s="16" t="s">
        <v>141</v>
      </c>
      <c r="K55" s="16" t="s">
        <v>141</v>
      </c>
      <c r="L55" s="16" t="s">
        <v>141</v>
      </c>
      <c r="M55" s="16" t="s">
        <v>141</v>
      </c>
      <c r="N55" s="9" t="s">
        <v>40</v>
      </c>
      <c r="O55" s="6" t="s">
        <v>142</v>
      </c>
      <c r="P55" s="7" t="s">
        <v>191</v>
      </c>
    </row>
    <row r="56" customFormat="false" ht="23.85" hidden="false" customHeight="false" outlineLevel="0" collapsed="false">
      <c r="A56" s="16" t="n">
        <v>52</v>
      </c>
      <c r="B56" s="7" t="s">
        <v>136</v>
      </c>
      <c r="C56" s="7" t="s">
        <v>103</v>
      </c>
      <c r="D56" s="7" t="s">
        <v>197</v>
      </c>
      <c r="E56" s="7" t="s">
        <v>138</v>
      </c>
      <c r="F56" s="16" t="s">
        <v>159</v>
      </c>
      <c r="G56" s="7" t="s">
        <v>139</v>
      </c>
      <c r="H56" s="7" t="s">
        <v>190</v>
      </c>
      <c r="I56" s="16" t="s">
        <v>141</v>
      </c>
      <c r="J56" s="16" t="s">
        <v>141</v>
      </c>
      <c r="K56" s="16" t="s">
        <v>141</v>
      </c>
      <c r="L56" s="16" t="s">
        <v>141</v>
      </c>
      <c r="M56" s="16" t="s">
        <v>141</v>
      </c>
      <c r="N56" s="9" t="s">
        <v>40</v>
      </c>
      <c r="O56" s="6" t="s">
        <v>142</v>
      </c>
      <c r="P56" s="7" t="s">
        <v>191</v>
      </c>
    </row>
    <row r="57" customFormat="false" ht="23.85" hidden="false" customHeight="false" outlineLevel="0" collapsed="false">
      <c r="A57" s="16" t="n">
        <v>53</v>
      </c>
      <c r="B57" s="7" t="s">
        <v>136</v>
      </c>
      <c r="C57" s="7" t="s">
        <v>102</v>
      </c>
      <c r="D57" s="7" t="s">
        <v>198</v>
      </c>
      <c r="E57" s="7" t="s">
        <v>138</v>
      </c>
      <c r="F57" s="16" t="s">
        <v>159</v>
      </c>
      <c r="G57" s="7" t="s">
        <v>139</v>
      </c>
      <c r="H57" s="7" t="s">
        <v>190</v>
      </c>
      <c r="I57" s="16" t="s">
        <v>141</v>
      </c>
      <c r="J57" s="16" t="s">
        <v>141</v>
      </c>
      <c r="K57" s="16" t="s">
        <v>141</v>
      </c>
      <c r="L57" s="16" t="s">
        <v>141</v>
      </c>
      <c r="M57" s="16" t="s">
        <v>141</v>
      </c>
      <c r="N57" s="9" t="s">
        <v>40</v>
      </c>
      <c r="O57" s="6" t="s">
        <v>142</v>
      </c>
      <c r="P57" s="7" t="s">
        <v>199</v>
      </c>
    </row>
    <row r="58" customFormat="false" ht="23.85" hidden="false" customHeight="false" outlineLevel="0" collapsed="false">
      <c r="A58" s="16" t="n">
        <v>54</v>
      </c>
      <c r="B58" s="7" t="s">
        <v>136</v>
      </c>
      <c r="C58" s="7" t="s">
        <v>102</v>
      </c>
      <c r="D58" s="7" t="s">
        <v>200</v>
      </c>
      <c r="E58" s="7" t="s">
        <v>138</v>
      </c>
      <c r="F58" s="16" t="s">
        <v>159</v>
      </c>
      <c r="G58" s="7" t="s">
        <v>139</v>
      </c>
      <c r="H58" s="7" t="s">
        <v>190</v>
      </c>
      <c r="I58" s="16" t="s">
        <v>141</v>
      </c>
      <c r="J58" s="16" t="s">
        <v>141</v>
      </c>
      <c r="K58" s="16" t="s">
        <v>141</v>
      </c>
      <c r="L58" s="16" t="s">
        <v>141</v>
      </c>
      <c r="M58" s="16" t="s">
        <v>141</v>
      </c>
      <c r="N58" s="9" t="s">
        <v>40</v>
      </c>
      <c r="O58" s="6" t="s">
        <v>142</v>
      </c>
      <c r="P58" s="7" t="s">
        <v>199</v>
      </c>
    </row>
    <row r="59" customFormat="false" ht="23.85" hidden="false" customHeight="false" outlineLevel="0" collapsed="false">
      <c r="A59" s="16" t="n">
        <v>55</v>
      </c>
      <c r="B59" s="7" t="s">
        <v>136</v>
      </c>
      <c r="C59" s="7" t="s">
        <v>102</v>
      </c>
      <c r="D59" s="7" t="s">
        <v>201</v>
      </c>
      <c r="E59" s="7" t="s">
        <v>138</v>
      </c>
      <c r="F59" s="16" t="s">
        <v>159</v>
      </c>
      <c r="G59" s="7" t="s">
        <v>139</v>
      </c>
      <c r="H59" s="7" t="s">
        <v>190</v>
      </c>
      <c r="I59" s="16" t="s">
        <v>141</v>
      </c>
      <c r="J59" s="16" t="s">
        <v>141</v>
      </c>
      <c r="K59" s="16" t="s">
        <v>141</v>
      </c>
      <c r="L59" s="16" t="s">
        <v>141</v>
      </c>
      <c r="M59" s="16" t="s">
        <v>141</v>
      </c>
      <c r="N59" s="9" t="s">
        <v>40</v>
      </c>
      <c r="O59" s="6" t="s">
        <v>142</v>
      </c>
      <c r="P59" s="7" t="s">
        <v>199</v>
      </c>
    </row>
    <row r="60" customFormat="false" ht="23.85" hidden="false" customHeight="false" outlineLevel="0" collapsed="false">
      <c r="A60" s="16" t="n">
        <v>56</v>
      </c>
      <c r="B60" s="7" t="s">
        <v>136</v>
      </c>
      <c r="C60" s="7" t="s">
        <v>103</v>
      </c>
      <c r="D60" s="7" t="s">
        <v>202</v>
      </c>
      <c r="E60" s="7" t="s">
        <v>138</v>
      </c>
      <c r="F60" s="16" t="s">
        <v>159</v>
      </c>
      <c r="G60" s="7" t="s">
        <v>139</v>
      </c>
      <c r="H60" s="7" t="s">
        <v>190</v>
      </c>
      <c r="I60" s="16" t="s">
        <v>141</v>
      </c>
      <c r="J60" s="16" t="s">
        <v>141</v>
      </c>
      <c r="K60" s="16" t="s">
        <v>141</v>
      </c>
      <c r="L60" s="16" t="s">
        <v>141</v>
      </c>
      <c r="M60" s="16" t="s">
        <v>141</v>
      </c>
      <c r="N60" s="9" t="s">
        <v>40</v>
      </c>
      <c r="O60" s="6" t="s">
        <v>142</v>
      </c>
      <c r="P60" s="7" t="s">
        <v>191</v>
      </c>
    </row>
    <row r="61" customFormat="false" ht="23.85" hidden="false" customHeight="false" outlineLevel="0" collapsed="false">
      <c r="A61" s="16" t="n">
        <v>57</v>
      </c>
      <c r="B61" s="7" t="s">
        <v>136</v>
      </c>
      <c r="C61" s="7" t="s">
        <v>103</v>
      </c>
      <c r="D61" s="7" t="s">
        <v>203</v>
      </c>
      <c r="E61" s="7" t="s">
        <v>138</v>
      </c>
      <c r="F61" s="16" t="s">
        <v>159</v>
      </c>
      <c r="G61" s="7" t="s">
        <v>139</v>
      </c>
      <c r="H61" s="7" t="s">
        <v>190</v>
      </c>
      <c r="I61" s="16" t="s">
        <v>141</v>
      </c>
      <c r="J61" s="16" t="s">
        <v>141</v>
      </c>
      <c r="K61" s="16" t="s">
        <v>141</v>
      </c>
      <c r="L61" s="16" t="s">
        <v>141</v>
      </c>
      <c r="M61" s="16" t="s">
        <v>141</v>
      </c>
      <c r="N61" s="9" t="s">
        <v>40</v>
      </c>
      <c r="O61" s="6" t="s">
        <v>142</v>
      </c>
      <c r="P61" s="7" t="s">
        <v>191</v>
      </c>
    </row>
    <row r="62" customFormat="false" ht="23.85" hidden="false" customHeight="false" outlineLevel="0" collapsed="false">
      <c r="A62" s="16" t="n">
        <v>58</v>
      </c>
      <c r="B62" s="7" t="s">
        <v>136</v>
      </c>
      <c r="C62" s="7" t="s">
        <v>103</v>
      </c>
      <c r="D62" s="7" t="s">
        <v>204</v>
      </c>
      <c r="E62" s="7" t="s">
        <v>138</v>
      </c>
      <c r="F62" s="16" t="s">
        <v>159</v>
      </c>
      <c r="G62" s="7" t="s">
        <v>139</v>
      </c>
      <c r="H62" s="7" t="s">
        <v>190</v>
      </c>
      <c r="I62" s="16" t="s">
        <v>141</v>
      </c>
      <c r="J62" s="16" t="s">
        <v>141</v>
      </c>
      <c r="K62" s="16" t="s">
        <v>141</v>
      </c>
      <c r="L62" s="16" t="s">
        <v>141</v>
      </c>
      <c r="M62" s="16" t="s">
        <v>141</v>
      </c>
      <c r="N62" s="9" t="s">
        <v>40</v>
      </c>
      <c r="O62" s="6" t="s">
        <v>142</v>
      </c>
      <c r="P62" s="7" t="s">
        <v>199</v>
      </c>
    </row>
    <row r="63" customFormat="false" ht="23.85" hidden="false" customHeight="false" outlineLevel="0" collapsed="false">
      <c r="A63" s="16" t="n">
        <v>59</v>
      </c>
      <c r="B63" s="7" t="s">
        <v>136</v>
      </c>
      <c r="C63" s="7" t="s">
        <v>102</v>
      </c>
      <c r="D63" s="7" t="s">
        <v>205</v>
      </c>
      <c r="E63" s="7" t="s">
        <v>138</v>
      </c>
      <c r="F63" s="16" t="s">
        <v>159</v>
      </c>
      <c r="G63" s="7" t="s">
        <v>139</v>
      </c>
      <c r="H63" s="7" t="s">
        <v>190</v>
      </c>
      <c r="I63" s="16" t="s">
        <v>141</v>
      </c>
      <c r="J63" s="16" t="s">
        <v>141</v>
      </c>
      <c r="K63" s="16" t="s">
        <v>141</v>
      </c>
      <c r="L63" s="16" t="s">
        <v>141</v>
      </c>
      <c r="M63" s="16" t="s">
        <v>141</v>
      </c>
      <c r="N63" s="9" t="s">
        <v>40</v>
      </c>
      <c r="O63" s="6" t="s">
        <v>142</v>
      </c>
      <c r="P63" s="7" t="s">
        <v>199</v>
      </c>
    </row>
    <row r="64" customFormat="false" ht="23.85" hidden="false" customHeight="false" outlineLevel="0" collapsed="false">
      <c r="A64" s="16" t="n">
        <v>60</v>
      </c>
      <c r="B64" s="7" t="s">
        <v>136</v>
      </c>
      <c r="C64" s="7" t="s">
        <v>102</v>
      </c>
      <c r="D64" s="7" t="s">
        <v>206</v>
      </c>
      <c r="E64" s="7" t="s">
        <v>138</v>
      </c>
      <c r="F64" s="16" t="s">
        <v>159</v>
      </c>
      <c r="G64" s="7" t="s">
        <v>139</v>
      </c>
      <c r="H64" s="7" t="s">
        <v>190</v>
      </c>
      <c r="I64" s="16" t="s">
        <v>141</v>
      </c>
      <c r="J64" s="16" t="s">
        <v>141</v>
      </c>
      <c r="K64" s="16" t="s">
        <v>141</v>
      </c>
      <c r="L64" s="16" t="s">
        <v>141</v>
      </c>
      <c r="M64" s="16" t="s">
        <v>141</v>
      </c>
      <c r="N64" s="9" t="s">
        <v>40</v>
      </c>
      <c r="O64" s="6" t="s">
        <v>142</v>
      </c>
      <c r="P64" s="7" t="s">
        <v>199</v>
      </c>
    </row>
    <row r="65" customFormat="false" ht="23.85" hidden="false" customHeight="false" outlineLevel="0" collapsed="false">
      <c r="A65" s="16" t="n">
        <v>61</v>
      </c>
      <c r="B65" s="7" t="s">
        <v>136</v>
      </c>
      <c r="C65" s="7" t="s">
        <v>103</v>
      </c>
      <c r="D65" s="7" t="s">
        <v>207</v>
      </c>
      <c r="E65" s="7" t="s">
        <v>138</v>
      </c>
      <c r="F65" s="16" t="s">
        <v>159</v>
      </c>
      <c r="G65" s="7" t="s">
        <v>139</v>
      </c>
      <c r="H65" s="7" t="s">
        <v>190</v>
      </c>
      <c r="I65" s="16" t="s">
        <v>141</v>
      </c>
      <c r="J65" s="16" t="s">
        <v>141</v>
      </c>
      <c r="K65" s="16" t="s">
        <v>141</v>
      </c>
      <c r="L65" s="16" t="s">
        <v>141</v>
      </c>
      <c r="M65" s="16" t="s">
        <v>141</v>
      </c>
      <c r="N65" s="9" t="s">
        <v>40</v>
      </c>
      <c r="O65" s="6" t="s">
        <v>142</v>
      </c>
      <c r="P65" s="7" t="s">
        <v>199</v>
      </c>
    </row>
    <row r="66" customFormat="false" ht="23.85" hidden="false" customHeight="false" outlineLevel="0" collapsed="false">
      <c r="A66" s="16" t="n">
        <v>62</v>
      </c>
      <c r="B66" s="7" t="s">
        <v>136</v>
      </c>
      <c r="C66" s="7" t="s">
        <v>103</v>
      </c>
      <c r="D66" s="7" t="s">
        <v>208</v>
      </c>
      <c r="E66" s="7" t="s">
        <v>138</v>
      </c>
      <c r="F66" s="16" t="s">
        <v>159</v>
      </c>
      <c r="G66" s="7" t="s">
        <v>139</v>
      </c>
      <c r="H66" s="7" t="s">
        <v>190</v>
      </c>
      <c r="I66" s="16" t="s">
        <v>141</v>
      </c>
      <c r="J66" s="16" t="s">
        <v>141</v>
      </c>
      <c r="K66" s="16" t="s">
        <v>141</v>
      </c>
      <c r="L66" s="16" t="s">
        <v>141</v>
      </c>
      <c r="M66" s="16" t="s">
        <v>141</v>
      </c>
      <c r="N66" s="9" t="s">
        <v>40</v>
      </c>
      <c r="O66" s="6" t="s">
        <v>142</v>
      </c>
      <c r="P66" s="7" t="s">
        <v>199</v>
      </c>
    </row>
    <row r="67" customFormat="false" ht="23.85" hidden="false" customHeight="false" outlineLevel="0" collapsed="false">
      <c r="A67" s="16" t="n">
        <v>63</v>
      </c>
      <c r="B67" s="7" t="s">
        <v>136</v>
      </c>
      <c r="C67" s="7" t="s">
        <v>103</v>
      </c>
      <c r="D67" s="7" t="s">
        <v>209</v>
      </c>
      <c r="E67" s="7" t="s">
        <v>138</v>
      </c>
      <c r="F67" s="16" t="s">
        <v>159</v>
      </c>
      <c r="G67" s="7" t="s">
        <v>139</v>
      </c>
      <c r="H67" s="7" t="s">
        <v>190</v>
      </c>
      <c r="I67" s="16" t="s">
        <v>141</v>
      </c>
      <c r="J67" s="16" t="s">
        <v>141</v>
      </c>
      <c r="K67" s="16" t="s">
        <v>141</v>
      </c>
      <c r="L67" s="16" t="s">
        <v>141</v>
      </c>
      <c r="M67" s="16" t="s">
        <v>141</v>
      </c>
      <c r="N67" s="9" t="s">
        <v>40</v>
      </c>
      <c r="O67" s="6" t="s">
        <v>142</v>
      </c>
      <c r="P67" s="7" t="s">
        <v>199</v>
      </c>
    </row>
    <row r="68" customFormat="false" ht="23.85" hidden="false" customHeight="false" outlineLevel="0" collapsed="false">
      <c r="A68" s="16" t="n">
        <v>64</v>
      </c>
      <c r="B68" s="7" t="s">
        <v>136</v>
      </c>
      <c r="C68" s="7" t="s">
        <v>103</v>
      </c>
      <c r="D68" s="7" t="s">
        <v>210</v>
      </c>
      <c r="E68" s="7" t="s">
        <v>138</v>
      </c>
      <c r="F68" s="16" t="s">
        <v>159</v>
      </c>
      <c r="G68" s="7" t="s">
        <v>139</v>
      </c>
      <c r="H68" s="7" t="s">
        <v>190</v>
      </c>
      <c r="I68" s="16" t="s">
        <v>141</v>
      </c>
      <c r="J68" s="16" t="s">
        <v>141</v>
      </c>
      <c r="K68" s="16" t="s">
        <v>141</v>
      </c>
      <c r="L68" s="16" t="s">
        <v>141</v>
      </c>
      <c r="M68" s="16" t="s">
        <v>141</v>
      </c>
      <c r="N68" s="9" t="s">
        <v>40</v>
      </c>
      <c r="O68" s="6" t="s">
        <v>142</v>
      </c>
      <c r="P68" s="7" t="s">
        <v>199</v>
      </c>
    </row>
    <row r="69" customFormat="false" ht="23.85" hidden="false" customHeight="false" outlineLevel="0" collapsed="false">
      <c r="A69" s="16" t="n">
        <v>65</v>
      </c>
      <c r="B69" s="7" t="s">
        <v>136</v>
      </c>
      <c r="C69" s="7" t="s">
        <v>103</v>
      </c>
      <c r="D69" s="7" t="s">
        <v>211</v>
      </c>
      <c r="E69" s="7" t="s">
        <v>138</v>
      </c>
      <c r="F69" s="16" t="s">
        <v>159</v>
      </c>
      <c r="G69" s="7" t="s">
        <v>139</v>
      </c>
      <c r="H69" s="7" t="s">
        <v>190</v>
      </c>
      <c r="I69" s="16" t="s">
        <v>141</v>
      </c>
      <c r="J69" s="16" t="s">
        <v>141</v>
      </c>
      <c r="K69" s="16" t="s">
        <v>141</v>
      </c>
      <c r="L69" s="16" t="s">
        <v>141</v>
      </c>
      <c r="M69" s="16" t="s">
        <v>141</v>
      </c>
      <c r="N69" s="9" t="s">
        <v>40</v>
      </c>
      <c r="O69" s="6" t="s">
        <v>142</v>
      </c>
      <c r="P69" s="7" t="s">
        <v>199</v>
      </c>
    </row>
    <row r="70" customFormat="false" ht="23.85" hidden="false" customHeight="false" outlineLevel="0" collapsed="false">
      <c r="A70" s="16" t="n">
        <v>66</v>
      </c>
      <c r="B70" s="7" t="s">
        <v>136</v>
      </c>
      <c r="C70" s="7" t="s">
        <v>103</v>
      </c>
      <c r="D70" s="7" t="s">
        <v>212</v>
      </c>
      <c r="E70" s="7" t="s">
        <v>138</v>
      </c>
      <c r="F70" s="16" t="s">
        <v>159</v>
      </c>
      <c r="G70" s="7" t="s">
        <v>139</v>
      </c>
      <c r="H70" s="7" t="s">
        <v>190</v>
      </c>
      <c r="I70" s="16" t="s">
        <v>141</v>
      </c>
      <c r="J70" s="16" t="s">
        <v>141</v>
      </c>
      <c r="K70" s="16" t="s">
        <v>141</v>
      </c>
      <c r="L70" s="16" t="s">
        <v>141</v>
      </c>
      <c r="M70" s="16" t="s">
        <v>141</v>
      </c>
      <c r="N70" s="9" t="s">
        <v>40</v>
      </c>
      <c r="O70" s="6" t="s">
        <v>142</v>
      </c>
      <c r="P70" s="7" t="s">
        <v>199</v>
      </c>
    </row>
    <row r="71" customFormat="false" ht="23.85" hidden="false" customHeight="false" outlineLevel="0" collapsed="false">
      <c r="A71" s="16" t="n">
        <v>67</v>
      </c>
      <c r="B71" s="7" t="s">
        <v>136</v>
      </c>
      <c r="C71" s="7" t="s">
        <v>103</v>
      </c>
      <c r="D71" s="7" t="s">
        <v>213</v>
      </c>
      <c r="E71" s="7" t="s">
        <v>138</v>
      </c>
      <c r="F71" s="16" t="s">
        <v>159</v>
      </c>
      <c r="G71" s="7" t="s">
        <v>139</v>
      </c>
      <c r="H71" s="7" t="s">
        <v>190</v>
      </c>
      <c r="I71" s="16" t="s">
        <v>141</v>
      </c>
      <c r="J71" s="16" t="s">
        <v>141</v>
      </c>
      <c r="K71" s="16" t="s">
        <v>141</v>
      </c>
      <c r="L71" s="16" t="s">
        <v>141</v>
      </c>
      <c r="M71" s="16" t="s">
        <v>141</v>
      </c>
      <c r="N71" s="9" t="s">
        <v>40</v>
      </c>
      <c r="O71" s="6" t="s">
        <v>142</v>
      </c>
      <c r="P71" s="7" t="s">
        <v>199</v>
      </c>
    </row>
    <row r="72" customFormat="false" ht="23.85" hidden="false" customHeight="false" outlineLevel="0" collapsed="false">
      <c r="A72" s="16" t="n">
        <v>68</v>
      </c>
      <c r="B72" s="7" t="s">
        <v>136</v>
      </c>
      <c r="C72" s="7" t="s">
        <v>103</v>
      </c>
      <c r="D72" s="7" t="s">
        <v>214</v>
      </c>
      <c r="E72" s="7" t="s">
        <v>138</v>
      </c>
      <c r="F72" s="16" t="s">
        <v>159</v>
      </c>
      <c r="G72" s="7" t="s">
        <v>139</v>
      </c>
      <c r="H72" s="7" t="s">
        <v>190</v>
      </c>
      <c r="I72" s="16" t="s">
        <v>141</v>
      </c>
      <c r="J72" s="16" t="s">
        <v>141</v>
      </c>
      <c r="K72" s="16" t="s">
        <v>141</v>
      </c>
      <c r="L72" s="16" t="s">
        <v>141</v>
      </c>
      <c r="M72" s="16" t="s">
        <v>141</v>
      </c>
      <c r="N72" s="9" t="s">
        <v>40</v>
      </c>
      <c r="O72" s="6" t="s">
        <v>142</v>
      </c>
      <c r="P72" s="7" t="s">
        <v>199</v>
      </c>
    </row>
    <row r="73" customFormat="false" ht="23.85" hidden="false" customHeight="false" outlineLevel="0" collapsed="false">
      <c r="A73" s="16" t="n">
        <v>69</v>
      </c>
      <c r="B73" s="7" t="s">
        <v>136</v>
      </c>
      <c r="C73" s="7" t="s">
        <v>103</v>
      </c>
      <c r="D73" s="7" t="s">
        <v>215</v>
      </c>
      <c r="E73" s="7" t="s">
        <v>138</v>
      </c>
      <c r="F73" s="16" t="s">
        <v>159</v>
      </c>
      <c r="G73" s="7" t="s">
        <v>139</v>
      </c>
      <c r="H73" s="7" t="s">
        <v>190</v>
      </c>
      <c r="I73" s="16" t="s">
        <v>141</v>
      </c>
      <c r="J73" s="16" t="s">
        <v>141</v>
      </c>
      <c r="K73" s="16" t="s">
        <v>141</v>
      </c>
      <c r="L73" s="16" t="s">
        <v>141</v>
      </c>
      <c r="M73" s="16" t="s">
        <v>141</v>
      </c>
      <c r="N73" s="9" t="s">
        <v>40</v>
      </c>
      <c r="O73" s="6" t="s">
        <v>142</v>
      </c>
      <c r="P73" s="7" t="s">
        <v>199</v>
      </c>
    </row>
    <row r="74" customFormat="false" ht="23.85" hidden="false" customHeight="false" outlineLevel="0" collapsed="false">
      <c r="A74" s="16" t="n">
        <v>70</v>
      </c>
      <c r="B74" s="7" t="s">
        <v>136</v>
      </c>
      <c r="C74" s="7" t="s">
        <v>103</v>
      </c>
      <c r="D74" s="7" t="s">
        <v>216</v>
      </c>
      <c r="E74" s="7" t="s">
        <v>138</v>
      </c>
      <c r="F74" s="16" t="s">
        <v>159</v>
      </c>
      <c r="G74" s="7" t="s">
        <v>139</v>
      </c>
      <c r="H74" s="7" t="s">
        <v>190</v>
      </c>
      <c r="I74" s="16" t="s">
        <v>141</v>
      </c>
      <c r="J74" s="16" t="s">
        <v>141</v>
      </c>
      <c r="K74" s="16" t="s">
        <v>141</v>
      </c>
      <c r="L74" s="16" t="s">
        <v>141</v>
      </c>
      <c r="M74" s="16" t="s">
        <v>141</v>
      </c>
      <c r="N74" s="9" t="s">
        <v>40</v>
      </c>
      <c r="O74" s="6" t="s">
        <v>142</v>
      </c>
      <c r="P74" s="7" t="s">
        <v>199</v>
      </c>
    </row>
    <row r="75" customFormat="false" ht="23.85" hidden="false" customHeight="false" outlineLevel="0" collapsed="false">
      <c r="A75" s="16" t="n">
        <v>71</v>
      </c>
      <c r="B75" s="7" t="s">
        <v>136</v>
      </c>
      <c r="C75" s="7" t="s">
        <v>103</v>
      </c>
      <c r="D75" s="7" t="s">
        <v>217</v>
      </c>
      <c r="E75" s="7" t="s">
        <v>138</v>
      </c>
      <c r="F75" s="16" t="s">
        <v>159</v>
      </c>
      <c r="G75" s="7" t="s">
        <v>139</v>
      </c>
      <c r="H75" s="7" t="s">
        <v>190</v>
      </c>
      <c r="I75" s="16" t="s">
        <v>141</v>
      </c>
      <c r="J75" s="16" t="s">
        <v>141</v>
      </c>
      <c r="K75" s="16" t="s">
        <v>141</v>
      </c>
      <c r="L75" s="16" t="s">
        <v>141</v>
      </c>
      <c r="M75" s="16" t="s">
        <v>141</v>
      </c>
      <c r="N75" s="9" t="s">
        <v>40</v>
      </c>
      <c r="O75" s="6" t="s">
        <v>142</v>
      </c>
      <c r="P75" s="7" t="s">
        <v>199</v>
      </c>
    </row>
    <row r="76" customFormat="false" ht="23.85" hidden="false" customHeight="false" outlineLevel="0" collapsed="false">
      <c r="A76" s="16" t="n">
        <v>72</v>
      </c>
      <c r="B76" s="7" t="s">
        <v>136</v>
      </c>
      <c r="C76" s="7" t="s">
        <v>103</v>
      </c>
      <c r="D76" s="7" t="s">
        <v>218</v>
      </c>
      <c r="E76" s="7" t="s">
        <v>138</v>
      </c>
      <c r="F76" s="16" t="s">
        <v>159</v>
      </c>
      <c r="G76" s="7" t="s">
        <v>139</v>
      </c>
      <c r="H76" s="7" t="s">
        <v>190</v>
      </c>
      <c r="I76" s="16" t="s">
        <v>141</v>
      </c>
      <c r="J76" s="16" t="s">
        <v>141</v>
      </c>
      <c r="K76" s="16" t="s">
        <v>141</v>
      </c>
      <c r="L76" s="16" t="s">
        <v>141</v>
      </c>
      <c r="M76" s="16" t="s">
        <v>141</v>
      </c>
      <c r="N76" s="9" t="s">
        <v>40</v>
      </c>
      <c r="O76" s="6" t="s">
        <v>142</v>
      </c>
      <c r="P76" s="7" t="s">
        <v>199</v>
      </c>
    </row>
    <row r="77" customFormat="false" ht="23.85" hidden="false" customHeight="false" outlineLevel="0" collapsed="false">
      <c r="A77" s="16" t="n">
        <v>73</v>
      </c>
      <c r="B77" s="7" t="s">
        <v>136</v>
      </c>
      <c r="C77" s="7" t="s">
        <v>102</v>
      </c>
      <c r="D77" s="7" t="s">
        <v>219</v>
      </c>
      <c r="E77" s="7" t="s">
        <v>138</v>
      </c>
      <c r="F77" s="16" t="s">
        <v>159</v>
      </c>
      <c r="G77" s="7" t="s">
        <v>139</v>
      </c>
      <c r="H77" s="7" t="s">
        <v>190</v>
      </c>
      <c r="I77" s="16" t="s">
        <v>141</v>
      </c>
      <c r="J77" s="16" t="s">
        <v>141</v>
      </c>
      <c r="K77" s="16" t="s">
        <v>141</v>
      </c>
      <c r="L77" s="16" t="s">
        <v>141</v>
      </c>
      <c r="M77" s="16" t="s">
        <v>141</v>
      </c>
      <c r="N77" s="9" t="s">
        <v>40</v>
      </c>
      <c r="O77" s="6" t="s">
        <v>142</v>
      </c>
      <c r="P77" s="7" t="s">
        <v>199</v>
      </c>
    </row>
    <row r="78" customFormat="false" ht="23.85" hidden="false" customHeight="false" outlineLevel="0" collapsed="false">
      <c r="A78" s="16" t="n">
        <v>74</v>
      </c>
      <c r="B78" s="7" t="s">
        <v>136</v>
      </c>
      <c r="C78" s="7" t="s">
        <v>102</v>
      </c>
      <c r="D78" s="7" t="s">
        <v>220</v>
      </c>
      <c r="E78" s="7" t="s">
        <v>138</v>
      </c>
      <c r="F78" s="16" t="s">
        <v>159</v>
      </c>
      <c r="G78" s="7" t="s">
        <v>139</v>
      </c>
      <c r="H78" s="7" t="s">
        <v>190</v>
      </c>
      <c r="I78" s="16" t="s">
        <v>141</v>
      </c>
      <c r="J78" s="16" t="s">
        <v>141</v>
      </c>
      <c r="K78" s="16" t="s">
        <v>141</v>
      </c>
      <c r="L78" s="16" t="s">
        <v>141</v>
      </c>
      <c r="M78" s="16" t="s">
        <v>141</v>
      </c>
      <c r="N78" s="9" t="s">
        <v>40</v>
      </c>
      <c r="O78" s="6" t="s">
        <v>142</v>
      </c>
      <c r="P78" s="7" t="s">
        <v>199</v>
      </c>
    </row>
    <row r="79" customFormat="false" ht="23.85" hidden="false" customHeight="false" outlineLevel="0" collapsed="false">
      <c r="A79" s="16" t="n">
        <v>75</v>
      </c>
      <c r="B79" s="7" t="s">
        <v>136</v>
      </c>
      <c r="C79" s="7" t="s">
        <v>102</v>
      </c>
      <c r="D79" s="7" t="s">
        <v>221</v>
      </c>
      <c r="E79" s="7" t="s">
        <v>138</v>
      </c>
      <c r="F79" s="16" t="s">
        <v>159</v>
      </c>
      <c r="G79" s="7" t="s">
        <v>139</v>
      </c>
      <c r="H79" s="7" t="s">
        <v>190</v>
      </c>
      <c r="I79" s="16" t="s">
        <v>141</v>
      </c>
      <c r="J79" s="16" t="s">
        <v>141</v>
      </c>
      <c r="K79" s="16" t="s">
        <v>141</v>
      </c>
      <c r="L79" s="16" t="s">
        <v>141</v>
      </c>
      <c r="M79" s="16" t="s">
        <v>141</v>
      </c>
      <c r="N79" s="9" t="s">
        <v>40</v>
      </c>
      <c r="O79" s="6" t="s">
        <v>142</v>
      </c>
      <c r="P79" s="7" t="s">
        <v>199</v>
      </c>
    </row>
    <row r="80" customFormat="false" ht="23.85" hidden="false" customHeight="false" outlineLevel="0" collapsed="false">
      <c r="A80" s="16" t="n">
        <v>76</v>
      </c>
      <c r="B80" s="7" t="s">
        <v>136</v>
      </c>
      <c r="C80" s="7" t="s">
        <v>100</v>
      </c>
      <c r="D80" s="7" t="s">
        <v>222</v>
      </c>
      <c r="E80" s="7" t="s">
        <v>223</v>
      </c>
      <c r="F80" s="16" t="n">
        <v>15</v>
      </c>
      <c r="G80" s="7" t="s">
        <v>139</v>
      </c>
      <c r="H80" s="7" t="s">
        <v>224</v>
      </c>
      <c r="I80" s="16" t="s">
        <v>141</v>
      </c>
      <c r="J80" s="16" t="s">
        <v>141</v>
      </c>
      <c r="K80" s="16" t="s">
        <v>141</v>
      </c>
      <c r="L80" s="16" t="s">
        <v>141</v>
      </c>
      <c r="M80" s="16" t="s">
        <v>141</v>
      </c>
      <c r="N80" s="8" t="s">
        <v>38</v>
      </c>
      <c r="O80" s="6" t="s">
        <v>225</v>
      </c>
      <c r="P80" s="7" t="s">
        <v>226</v>
      </c>
    </row>
    <row r="81" customFormat="false" ht="23.85" hidden="false" customHeight="false" outlineLevel="0" collapsed="false">
      <c r="A81" s="16" t="n">
        <v>77</v>
      </c>
      <c r="B81" s="7" t="s">
        <v>136</v>
      </c>
      <c r="C81" s="7" t="s">
        <v>100</v>
      </c>
      <c r="D81" s="7" t="s">
        <v>227</v>
      </c>
      <c r="E81" s="7" t="s">
        <v>223</v>
      </c>
      <c r="F81" s="16" t="n">
        <v>16</v>
      </c>
      <c r="G81" s="7" t="s">
        <v>139</v>
      </c>
      <c r="H81" s="7" t="s">
        <v>224</v>
      </c>
      <c r="I81" s="16" t="s">
        <v>141</v>
      </c>
      <c r="J81" s="16" t="s">
        <v>141</v>
      </c>
      <c r="K81" s="16" t="s">
        <v>141</v>
      </c>
      <c r="L81" s="16" t="s">
        <v>141</v>
      </c>
      <c r="M81" s="16" t="s">
        <v>141</v>
      </c>
      <c r="N81" s="8" t="s">
        <v>38</v>
      </c>
      <c r="O81" s="6" t="s">
        <v>225</v>
      </c>
      <c r="P81" s="7" t="s">
        <v>226</v>
      </c>
    </row>
    <row r="82" customFormat="false" ht="23.85" hidden="false" customHeight="false" outlineLevel="0" collapsed="false">
      <c r="A82" s="16" t="n">
        <v>78</v>
      </c>
      <c r="B82" s="7" t="s">
        <v>136</v>
      </c>
      <c r="C82" s="7" t="s">
        <v>103</v>
      </c>
      <c r="D82" s="7" t="s">
        <v>228</v>
      </c>
      <c r="E82" s="7" t="s">
        <v>223</v>
      </c>
      <c r="F82" s="16" t="n">
        <v>10</v>
      </c>
      <c r="G82" s="7" t="s">
        <v>139</v>
      </c>
      <c r="H82" s="7" t="s">
        <v>224</v>
      </c>
      <c r="I82" s="16" t="s">
        <v>141</v>
      </c>
      <c r="J82" s="16" t="s">
        <v>141</v>
      </c>
      <c r="K82" s="16" t="s">
        <v>141</v>
      </c>
      <c r="L82" s="16" t="s">
        <v>141</v>
      </c>
      <c r="M82" s="16" t="s">
        <v>141</v>
      </c>
      <c r="N82" s="8" t="s">
        <v>38</v>
      </c>
      <c r="O82" s="6" t="s">
        <v>225</v>
      </c>
      <c r="P82" s="7" t="s">
        <v>226</v>
      </c>
    </row>
    <row r="83" customFormat="false" ht="23.85" hidden="false" customHeight="false" outlineLevel="0" collapsed="false">
      <c r="A83" s="16" t="n">
        <v>79</v>
      </c>
      <c r="B83" s="7" t="s">
        <v>136</v>
      </c>
      <c r="C83" s="7" t="s">
        <v>100</v>
      </c>
      <c r="D83" s="7" t="s">
        <v>229</v>
      </c>
      <c r="E83" s="7" t="s">
        <v>223</v>
      </c>
      <c r="F83" s="16" t="n">
        <v>4</v>
      </c>
      <c r="G83" s="7" t="s">
        <v>139</v>
      </c>
      <c r="H83" s="7" t="s">
        <v>224</v>
      </c>
      <c r="I83" s="16" t="s">
        <v>141</v>
      </c>
      <c r="J83" s="16" t="s">
        <v>141</v>
      </c>
      <c r="K83" s="16" t="s">
        <v>141</v>
      </c>
      <c r="L83" s="16" t="s">
        <v>141</v>
      </c>
      <c r="M83" s="16" t="s">
        <v>141</v>
      </c>
      <c r="N83" s="8" t="s">
        <v>38</v>
      </c>
      <c r="O83" s="6" t="s">
        <v>225</v>
      </c>
      <c r="P83" s="7" t="s">
        <v>226</v>
      </c>
    </row>
    <row r="84" customFormat="false" ht="23.85" hidden="false" customHeight="false" outlineLevel="0" collapsed="false">
      <c r="A84" s="16" t="n">
        <v>80</v>
      </c>
      <c r="B84" s="7" t="s">
        <v>136</v>
      </c>
      <c r="C84" s="7" t="s">
        <v>102</v>
      </c>
      <c r="D84" s="7" t="s">
        <v>230</v>
      </c>
      <c r="E84" s="7" t="s">
        <v>223</v>
      </c>
      <c r="F84" s="16" t="n">
        <v>10</v>
      </c>
      <c r="G84" s="7" t="s">
        <v>139</v>
      </c>
      <c r="H84" s="7" t="s">
        <v>224</v>
      </c>
      <c r="I84" s="16" t="s">
        <v>141</v>
      </c>
      <c r="J84" s="16" t="s">
        <v>141</v>
      </c>
      <c r="K84" s="16" t="s">
        <v>141</v>
      </c>
      <c r="L84" s="16" t="s">
        <v>141</v>
      </c>
      <c r="M84" s="16" t="s">
        <v>141</v>
      </c>
      <c r="N84" s="8" t="s">
        <v>38</v>
      </c>
      <c r="O84" s="6" t="s">
        <v>225</v>
      </c>
      <c r="P84" s="7" t="s">
        <v>226</v>
      </c>
    </row>
    <row r="85" customFormat="false" ht="23.85" hidden="false" customHeight="false" outlineLevel="0" collapsed="false">
      <c r="A85" s="16" t="n">
        <v>81</v>
      </c>
      <c r="B85" s="7" t="s">
        <v>136</v>
      </c>
      <c r="C85" s="7" t="s">
        <v>103</v>
      </c>
      <c r="D85" s="7" t="s">
        <v>231</v>
      </c>
      <c r="E85" s="7" t="s">
        <v>223</v>
      </c>
      <c r="F85" s="16" t="n">
        <v>4</v>
      </c>
      <c r="G85" s="7" t="s">
        <v>139</v>
      </c>
      <c r="H85" s="7" t="s">
        <v>224</v>
      </c>
      <c r="I85" s="16" t="s">
        <v>141</v>
      </c>
      <c r="J85" s="16" t="s">
        <v>141</v>
      </c>
      <c r="K85" s="16" t="s">
        <v>141</v>
      </c>
      <c r="L85" s="16" t="s">
        <v>141</v>
      </c>
      <c r="M85" s="16" t="s">
        <v>141</v>
      </c>
      <c r="N85" s="8" t="s">
        <v>38</v>
      </c>
      <c r="O85" s="6" t="s">
        <v>225</v>
      </c>
      <c r="P85" s="7" t="s">
        <v>226</v>
      </c>
    </row>
    <row r="86" customFormat="false" ht="23.85" hidden="false" customHeight="false" outlineLevel="0" collapsed="false">
      <c r="A86" s="16" t="n">
        <v>82</v>
      </c>
      <c r="B86" s="7" t="s">
        <v>136</v>
      </c>
      <c r="C86" s="7" t="s">
        <v>100</v>
      </c>
      <c r="D86" s="7" t="s">
        <v>232</v>
      </c>
      <c r="E86" s="7" t="s">
        <v>223</v>
      </c>
      <c r="F86" s="16" t="n">
        <v>2</v>
      </c>
      <c r="G86" s="7" t="s">
        <v>139</v>
      </c>
      <c r="H86" s="7" t="s">
        <v>224</v>
      </c>
      <c r="I86" s="16" t="s">
        <v>141</v>
      </c>
      <c r="J86" s="16" t="s">
        <v>141</v>
      </c>
      <c r="K86" s="16" t="s">
        <v>141</v>
      </c>
      <c r="L86" s="16" t="s">
        <v>141</v>
      </c>
      <c r="M86" s="16" t="s">
        <v>141</v>
      </c>
      <c r="N86" s="8" t="s">
        <v>38</v>
      </c>
      <c r="O86" s="6" t="s">
        <v>225</v>
      </c>
      <c r="P86" s="7" t="s">
        <v>226</v>
      </c>
    </row>
    <row r="87" customFormat="false" ht="23.85" hidden="false" customHeight="false" outlineLevel="0" collapsed="false">
      <c r="A87" s="16" t="n">
        <v>83</v>
      </c>
      <c r="B87" s="7" t="s">
        <v>136</v>
      </c>
      <c r="C87" s="7" t="s">
        <v>103</v>
      </c>
      <c r="D87" s="7" t="s">
        <v>233</v>
      </c>
      <c r="E87" s="7" t="s">
        <v>223</v>
      </c>
      <c r="F87" s="16" t="n">
        <v>12</v>
      </c>
      <c r="G87" s="7" t="s">
        <v>139</v>
      </c>
      <c r="H87" s="7" t="s">
        <v>224</v>
      </c>
      <c r="I87" s="16" t="s">
        <v>141</v>
      </c>
      <c r="J87" s="16" t="s">
        <v>141</v>
      </c>
      <c r="K87" s="16" t="s">
        <v>141</v>
      </c>
      <c r="L87" s="16" t="s">
        <v>141</v>
      </c>
      <c r="M87" s="16" t="s">
        <v>141</v>
      </c>
      <c r="N87" s="8" t="s">
        <v>38</v>
      </c>
      <c r="O87" s="6" t="s">
        <v>225</v>
      </c>
      <c r="P87" s="7" t="s">
        <v>226</v>
      </c>
    </row>
    <row r="88" customFormat="false" ht="23.85" hidden="false" customHeight="false" outlineLevel="0" collapsed="false">
      <c r="A88" s="16" t="n">
        <v>84</v>
      </c>
      <c r="B88" s="7" t="s">
        <v>136</v>
      </c>
      <c r="C88" s="7" t="s">
        <v>103</v>
      </c>
      <c r="D88" s="7" t="s">
        <v>234</v>
      </c>
      <c r="E88" s="7" t="s">
        <v>223</v>
      </c>
      <c r="F88" s="16" t="n">
        <v>16</v>
      </c>
      <c r="G88" s="7" t="s">
        <v>139</v>
      </c>
      <c r="H88" s="7" t="s">
        <v>224</v>
      </c>
      <c r="I88" s="16" t="s">
        <v>141</v>
      </c>
      <c r="J88" s="16" t="s">
        <v>141</v>
      </c>
      <c r="K88" s="16" t="s">
        <v>141</v>
      </c>
      <c r="L88" s="16" t="s">
        <v>141</v>
      </c>
      <c r="M88" s="16" t="s">
        <v>141</v>
      </c>
      <c r="N88" s="8" t="s">
        <v>38</v>
      </c>
      <c r="O88" s="6" t="s">
        <v>225</v>
      </c>
      <c r="P88" s="7" t="s">
        <v>226</v>
      </c>
    </row>
    <row r="89" customFormat="false" ht="23.85" hidden="false" customHeight="false" outlineLevel="0" collapsed="false">
      <c r="A89" s="16" t="n">
        <v>85</v>
      </c>
      <c r="B89" s="7" t="s">
        <v>136</v>
      </c>
      <c r="C89" s="7" t="s">
        <v>103</v>
      </c>
      <c r="D89" s="7" t="s">
        <v>235</v>
      </c>
      <c r="E89" s="7" t="s">
        <v>223</v>
      </c>
      <c r="F89" s="16" t="n">
        <v>6</v>
      </c>
      <c r="G89" s="7" t="s">
        <v>139</v>
      </c>
      <c r="H89" s="7" t="s">
        <v>224</v>
      </c>
      <c r="I89" s="16" t="s">
        <v>141</v>
      </c>
      <c r="J89" s="16" t="s">
        <v>141</v>
      </c>
      <c r="K89" s="16" t="s">
        <v>141</v>
      </c>
      <c r="L89" s="16" t="s">
        <v>141</v>
      </c>
      <c r="M89" s="16" t="s">
        <v>141</v>
      </c>
      <c r="N89" s="8" t="s">
        <v>38</v>
      </c>
      <c r="O89" s="6" t="s">
        <v>225</v>
      </c>
      <c r="P89" s="7" t="s">
        <v>226</v>
      </c>
    </row>
    <row r="90" customFormat="false" ht="23.85" hidden="false" customHeight="false" outlineLevel="0" collapsed="false">
      <c r="A90" s="16" t="n">
        <v>86</v>
      </c>
      <c r="B90" s="7" t="s">
        <v>136</v>
      </c>
      <c r="C90" s="7" t="s">
        <v>103</v>
      </c>
      <c r="D90" s="7" t="s">
        <v>236</v>
      </c>
      <c r="E90" s="7" t="s">
        <v>223</v>
      </c>
      <c r="F90" s="16" t="n">
        <v>2</v>
      </c>
      <c r="G90" s="7" t="s">
        <v>139</v>
      </c>
      <c r="H90" s="7" t="s">
        <v>224</v>
      </c>
      <c r="I90" s="16" t="s">
        <v>141</v>
      </c>
      <c r="J90" s="16" t="s">
        <v>141</v>
      </c>
      <c r="K90" s="16" t="s">
        <v>141</v>
      </c>
      <c r="L90" s="16" t="s">
        <v>141</v>
      </c>
      <c r="M90" s="16" t="s">
        <v>141</v>
      </c>
      <c r="N90" s="8" t="s">
        <v>38</v>
      </c>
      <c r="O90" s="6" t="s">
        <v>225</v>
      </c>
      <c r="P90" s="7" t="s">
        <v>226</v>
      </c>
    </row>
    <row r="91" customFormat="false" ht="23.85" hidden="false" customHeight="false" outlineLevel="0" collapsed="false">
      <c r="A91" s="16" t="n">
        <v>87</v>
      </c>
      <c r="B91" s="7" t="s">
        <v>136</v>
      </c>
      <c r="C91" s="7" t="s">
        <v>103</v>
      </c>
      <c r="D91" s="7" t="s">
        <v>237</v>
      </c>
      <c r="E91" s="7" t="s">
        <v>223</v>
      </c>
      <c r="F91" s="16" t="n">
        <v>10</v>
      </c>
      <c r="G91" s="7" t="s">
        <v>139</v>
      </c>
      <c r="H91" s="7" t="s">
        <v>224</v>
      </c>
      <c r="I91" s="16" t="s">
        <v>141</v>
      </c>
      <c r="J91" s="16" t="s">
        <v>141</v>
      </c>
      <c r="K91" s="16" t="s">
        <v>141</v>
      </c>
      <c r="L91" s="16" t="s">
        <v>141</v>
      </c>
      <c r="M91" s="16" t="s">
        <v>141</v>
      </c>
      <c r="N91" s="8" t="s">
        <v>38</v>
      </c>
      <c r="O91" s="6" t="s">
        <v>225</v>
      </c>
      <c r="P91" s="7" t="s">
        <v>226</v>
      </c>
    </row>
    <row r="92" customFormat="false" ht="15" hidden="false" customHeight="false" outlineLevel="0" collapsed="false">
      <c r="A92" s="16" t="n">
        <v>88</v>
      </c>
      <c r="B92" s="7" t="s">
        <v>136</v>
      </c>
      <c r="C92" s="7" t="s">
        <v>98</v>
      </c>
      <c r="D92" s="7" t="s">
        <v>238</v>
      </c>
      <c r="E92" s="7" t="s">
        <v>239</v>
      </c>
      <c r="F92" s="16" t="n">
        <v>20</v>
      </c>
      <c r="G92" s="7" t="s">
        <v>139</v>
      </c>
      <c r="H92" s="7" t="s">
        <v>240</v>
      </c>
      <c r="I92" s="16" t="s">
        <v>141</v>
      </c>
      <c r="J92" s="16" t="s">
        <v>141</v>
      </c>
      <c r="K92" s="16" t="s">
        <v>141</v>
      </c>
      <c r="L92" s="16" t="s">
        <v>141</v>
      </c>
      <c r="M92" s="16" t="s">
        <v>141</v>
      </c>
      <c r="N92" s="8" t="s">
        <v>38</v>
      </c>
      <c r="O92" s="6" t="s">
        <v>241</v>
      </c>
      <c r="P92" s="7" t="s">
        <v>242</v>
      </c>
    </row>
    <row r="93" customFormat="false" ht="15" hidden="false" customHeight="false" outlineLevel="0" collapsed="false">
      <c r="A93" s="16" t="n">
        <v>89</v>
      </c>
      <c r="B93" s="7" t="s">
        <v>136</v>
      </c>
      <c r="C93" s="7" t="s">
        <v>98</v>
      </c>
      <c r="D93" s="7" t="s">
        <v>243</v>
      </c>
      <c r="E93" s="7" t="s">
        <v>239</v>
      </c>
      <c r="F93" s="16" t="n">
        <v>4</v>
      </c>
      <c r="G93" s="7" t="s">
        <v>139</v>
      </c>
      <c r="H93" s="7" t="s">
        <v>240</v>
      </c>
      <c r="I93" s="16" t="s">
        <v>141</v>
      </c>
      <c r="J93" s="16" t="s">
        <v>141</v>
      </c>
      <c r="K93" s="16" t="s">
        <v>141</v>
      </c>
      <c r="L93" s="16" t="s">
        <v>141</v>
      </c>
      <c r="M93" s="16" t="s">
        <v>141</v>
      </c>
      <c r="N93" s="8" t="s">
        <v>38</v>
      </c>
      <c r="O93" s="6" t="s">
        <v>241</v>
      </c>
      <c r="P93" s="7" t="s">
        <v>242</v>
      </c>
    </row>
    <row r="94" customFormat="false" ht="15" hidden="false" customHeight="false" outlineLevel="0" collapsed="false">
      <c r="A94" s="16" t="n">
        <v>90</v>
      </c>
      <c r="B94" s="7" t="s">
        <v>136</v>
      </c>
      <c r="C94" s="7" t="s">
        <v>103</v>
      </c>
      <c r="D94" s="7" t="s">
        <v>244</v>
      </c>
      <c r="E94" s="7" t="s">
        <v>239</v>
      </c>
      <c r="F94" s="16" t="n">
        <v>12</v>
      </c>
      <c r="G94" s="7" t="s">
        <v>139</v>
      </c>
      <c r="H94" s="7" t="s">
        <v>240</v>
      </c>
      <c r="I94" s="16" t="s">
        <v>141</v>
      </c>
      <c r="J94" s="16" t="s">
        <v>141</v>
      </c>
      <c r="K94" s="16" t="s">
        <v>141</v>
      </c>
      <c r="L94" s="16" t="s">
        <v>141</v>
      </c>
      <c r="M94" s="16" t="s">
        <v>141</v>
      </c>
      <c r="N94" s="8" t="s">
        <v>38</v>
      </c>
      <c r="O94" s="6" t="s">
        <v>241</v>
      </c>
      <c r="P94" s="7" t="s">
        <v>242</v>
      </c>
    </row>
    <row r="95" customFormat="false" ht="23.85" hidden="false" customHeight="false" outlineLevel="0" collapsed="false">
      <c r="A95" s="16" t="n">
        <v>91</v>
      </c>
      <c r="B95" s="7" t="s">
        <v>136</v>
      </c>
      <c r="C95" s="7" t="s">
        <v>98</v>
      </c>
      <c r="D95" s="7" t="s">
        <v>245</v>
      </c>
      <c r="E95" s="7" t="s">
        <v>239</v>
      </c>
      <c r="F95" s="16" t="n">
        <v>20</v>
      </c>
      <c r="G95" s="7" t="s">
        <v>246</v>
      </c>
      <c r="H95" s="7" t="s">
        <v>247</v>
      </c>
      <c r="I95" s="16"/>
      <c r="J95" s="16"/>
      <c r="K95" s="16"/>
      <c r="L95" s="16" t="s">
        <v>141</v>
      </c>
      <c r="M95" s="16"/>
      <c r="N95" s="8" t="s">
        <v>38</v>
      </c>
      <c r="O95" s="6" t="s">
        <v>241</v>
      </c>
      <c r="P95" s="7" t="s">
        <v>248</v>
      </c>
    </row>
    <row r="96" customFormat="false" ht="23.85" hidden="false" customHeight="false" outlineLevel="0" collapsed="false">
      <c r="A96" s="16" t="n">
        <v>92</v>
      </c>
      <c r="B96" s="7" t="s">
        <v>136</v>
      </c>
      <c r="C96" s="7" t="s">
        <v>98</v>
      </c>
      <c r="D96" s="7" t="s">
        <v>249</v>
      </c>
      <c r="E96" s="7" t="s">
        <v>239</v>
      </c>
      <c r="F96" s="16" t="n">
        <v>40</v>
      </c>
      <c r="G96" s="7" t="s">
        <v>246</v>
      </c>
      <c r="H96" s="7" t="s">
        <v>247</v>
      </c>
      <c r="I96" s="16"/>
      <c r="J96" s="16"/>
      <c r="K96" s="16"/>
      <c r="L96" s="16" t="s">
        <v>141</v>
      </c>
      <c r="M96" s="16"/>
      <c r="N96" s="8" t="s">
        <v>38</v>
      </c>
      <c r="O96" s="6" t="s">
        <v>241</v>
      </c>
      <c r="P96" s="7" t="s">
        <v>248</v>
      </c>
    </row>
    <row r="97" customFormat="false" ht="23.85" hidden="false" customHeight="false" outlineLevel="0" collapsed="false">
      <c r="A97" s="16" t="n">
        <v>93</v>
      </c>
      <c r="B97" s="7" t="s">
        <v>136</v>
      </c>
      <c r="C97" s="7" t="s">
        <v>98</v>
      </c>
      <c r="D97" s="7" t="s">
        <v>250</v>
      </c>
      <c r="E97" s="7" t="s">
        <v>239</v>
      </c>
      <c r="F97" s="16" t="n">
        <v>60</v>
      </c>
      <c r="G97" s="7" t="s">
        <v>246</v>
      </c>
      <c r="H97" s="7" t="s">
        <v>247</v>
      </c>
      <c r="I97" s="16"/>
      <c r="J97" s="16"/>
      <c r="K97" s="16"/>
      <c r="L97" s="16" t="s">
        <v>141</v>
      </c>
      <c r="M97" s="16"/>
      <c r="N97" s="8" t="s">
        <v>38</v>
      </c>
      <c r="O97" s="6" t="s">
        <v>241</v>
      </c>
      <c r="P97" s="7" t="s">
        <v>248</v>
      </c>
    </row>
    <row r="98" customFormat="false" ht="23.85" hidden="false" customHeight="false" outlineLevel="0" collapsed="false">
      <c r="A98" s="16" t="n">
        <v>94</v>
      </c>
      <c r="B98" s="7" t="s">
        <v>136</v>
      </c>
      <c r="C98" s="7" t="s">
        <v>100</v>
      </c>
      <c r="D98" s="7" t="s">
        <v>251</v>
      </c>
      <c r="E98" s="7" t="s">
        <v>239</v>
      </c>
      <c r="F98" s="16" t="n">
        <v>60</v>
      </c>
      <c r="G98" s="7" t="s">
        <v>246</v>
      </c>
      <c r="H98" s="7" t="s">
        <v>247</v>
      </c>
      <c r="I98" s="16"/>
      <c r="J98" s="16"/>
      <c r="K98" s="16"/>
      <c r="L98" s="16" t="s">
        <v>141</v>
      </c>
      <c r="M98" s="16"/>
      <c r="N98" s="8" t="s">
        <v>38</v>
      </c>
      <c r="O98" s="6" t="s">
        <v>241</v>
      </c>
      <c r="P98" s="7" t="s">
        <v>248</v>
      </c>
    </row>
    <row r="99" customFormat="false" ht="23.85" hidden="false" customHeight="false" outlineLevel="0" collapsed="false">
      <c r="A99" s="16" t="n">
        <v>95</v>
      </c>
      <c r="B99" s="7" t="s">
        <v>136</v>
      </c>
      <c r="C99" s="7" t="s">
        <v>98</v>
      </c>
      <c r="D99" s="7" t="s">
        <v>252</v>
      </c>
      <c r="E99" s="7" t="s">
        <v>239</v>
      </c>
      <c r="F99" s="16" t="n">
        <v>80</v>
      </c>
      <c r="G99" s="7" t="s">
        <v>246</v>
      </c>
      <c r="H99" s="7" t="s">
        <v>247</v>
      </c>
      <c r="I99" s="16"/>
      <c r="J99" s="16"/>
      <c r="K99" s="16"/>
      <c r="L99" s="16" t="s">
        <v>141</v>
      </c>
      <c r="M99" s="16"/>
      <c r="N99" s="8" t="s">
        <v>38</v>
      </c>
      <c r="O99" s="6" t="s">
        <v>241</v>
      </c>
      <c r="P99" s="7" t="s">
        <v>248</v>
      </c>
    </row>
    <row r="100" customFormat="false" ht="23.85" hidden="false" customHeight="false" outlineLevel="0" collapsed="false">
      <c r="A100" s="16" t="n">
        <v>96</v>
      </c>
      <c r="B100" s="7" t="s">
        <v>136</v>
      </c>
      <c r="C100" s="7" t="s">
        <v>100</v>
      </c>
      <c r="D100" s="7" t="s">
        <v>253</v>
      </c>
      <c r="E100" s="7" t="s">
        <v>239</v>
      </c>
      <c r="F100" s="16" t="n">
        <v>32</v>
      </c>
      <c r="G100" s="7" t="s">
        <v>246</v>
      </c>
      <c r="H100" s="7" t="s">
        <v>247</v>
      </c>
      <c r="I100" s="16"/>
      <c r="J100" s="16"/>
      <c r="K100" s="16"/>
      <c r="L100" s="16" t="s">
        <v>141</v>
      </c>
      <c r="M100" s="16"/>
      <c r="N100" s="8" t="s">
        <v>38</v>
      </c>
      <c r="O100" s="6" t="s">
        <v>241</v>
      </c>
      <c r="P100" s="7" t="s">
        <v>248</v>
      </c>
    </row>
    <row r="101" customFormat="false" ht="23.85" hidden="false" customHeight="false" outlineLevel="0" collapsed="false">
      <c r="A101" s="16" t="n">
        <v>97</v>
      </c>
      <c r="B101" s="7" t="s">
        <v>136</v>
      </c>
      <c r="C101" s="7" t="s">
        <v>98</v>
      </c>
      <c r="D101" s="7" t="s">
        <v>254</v>
      </c>
      <c r="E101" s="7" t="s">
        <v>239</v>
      </c>
      <c r="F101" s="16" t="n">
        <v>200</v>
      </c>
      <c r="G101" s="7" t="s">
        <v>246</v>
      </c>
      <c r="H101" s="7" t="s">
        <v>247</v>
      </c>
      <c r="I101" s="16"/>
      <c r="J101" s="16"/>
      <c r="K101" s="16"/>
      <c r="L101" s="16" t="s">
        <v>141</v>
      </c>
      <c r="M101" s="16"/>
      <c r="N101" s="8" t="s">
        <v>38</v>
      </c>
      <c r="O101" s="6" t="s">
        <v>241</v>
      </c>
      <c r="P101" s="7" t="s">
        <v>248</v>
      </c>
    </row>
    <row r="102" customFormat="false" ht="23.85" hidden="false" customHeight="false" outlineLevel="0" collapsed="false">
      <c r="A102" s="16" t="n">
        <v>98</v>
      </c>
      <c r="B102" s="7" t="s">
        <v>136</v>
      </c>
      <c r="C102" s="7" t="s">
        <v>98</v>
      </c>
      <c r="D102" s="7" t="s">
        <v>255</v>
      </c>
      <c r="E102" s="7" t="s">
        <v>256</v>
      </c>
      <c r="F102" s="16" t="s">
        <v>159</v>
      </c>
      <c r="G102" s="7" t="s">
        <v>139</v>
      </c>
      <c r="H102" s="7" t="s">
        <v>190</v>
      </c>
      <c r="I102" s="16" t="s">
        <v>141</v>
      </c>
      <c r="J102" s="16" t="s">
        <v>141</v>
      </c>
      <c r="K102" s="16" t="s">
        <v>141</v>
      </c>
      <c r="L102" s="16" t="s">
        <v>141</v>
      </c>
      <c r="M102" s="16" t="s">
        <v>141</v>
      </c>
      <c r="N102" s="9" t="s">
        <v>40</v>
      </c>
      <c r="O102" s="6" t="s">
        <v>257</v>
      </c>
      <c r="P102" s="7" t="s">
        <v>258</v>
      </c>
    </row>
    <row r="103" customFormat="false" ht="23.85" hidden="false" customHeight="false" outlineLevel="0" collapsed="false">
      <c r="A103" s="16" t="n">
        <v>99</v>
      </c>
      <c r="B103" s="7" t="s">
        <v>136</v>
      </c>
      <c r="C103" s="7" t="s">
        <v>98</v>
      </c>
      <c r="D103" s="7" t="s">
        <v>259</v>
      </c>
      <c r="E103" s="7" t="s">
        <v>256</v>
      </c>
      <c r="F103" s="16" t="s">
        <v>159</v>
      </c>
      <c r="G103" s="7" t="s">
        <v>139</v>
      </c>
      <c r="H103" s="7" t="s">
        <v>190</v>
      </c>
      <c r="I103" s="16" t="s">
        <v>141</v>
      </c>
      <c r="J103" s="16" t="s">
        <v>141</v>
      </c>
      <c r="K103" s="16" t="s">
        <v>141</v>
      </c>
      <c r="L103" s="16" t="s">
        <v>141</v>
      </c>
      <c r="M103" s="16" t="s">
        <v>141</v>
      </c>
      <c r="N103" s="9" t="s">
        <v>40</v>
      </c>
      <c r="O103" s="6" t="s">
        <v>257</v>
      </c>
      <c r="P103" s="7" t="s">
        <v>258</v>
      </c>
    </row>
    <row r="104" customFormat="false" ht="23.85" hidden="false" customHeight="false" outlineLevel="0" collapsed="false">
      <c r="A104" s="16" t="n">
        <v>100</v>
      </c>
      <c r="B104" s="7" t="s">
        <v>136</v>
      </c>
      <c r="C104" s="7" t="s">
        <v>98</v>
      </c>
      <c r="D104" s="7" t="s">
        <v>260</v>
      </c>
      <c r="E104" s="7" t="s">
        <v>256</v>
      </c>
      <c r="F104" s="16" t="s">
        <v>159</v>
      </c>
      <c r="G104" s="7" t="s">
        <v>139</v>
      </c>
      <c r="H104" s="7" t="s">
        <v>190</v>
      </c>
      <c r="I104" s="16" t="s">
        <v>141</v>
      </c>
      <c r="J104" s="16" t="s">
        <v>141</v>
      </c>
      <c r="K104" s="16" t="s">
        <v>141</v>
      </c>
      <c r="L104" s="16" t="s">
        <v>141</v>
      </c>
      <c r="M104" s="16" t="s">
        <v>141</v>
      </c>
      <c r="N104" s="9" t="s">
        <v>40</v>
      </c>
      <c r="O104" s="6" t="s">
        <v>257</v>
      </c>
      <c r="P104" s="7" t="s">
        <v>258</v>
      </c>
    </row>
    <row r="105" customFormat="false" ht="23.85" hidden="false" customHeight="false" outlineLevel="0" collapsed="false">
      <c r="A105" s="16" t="n">
        <v>101</v>
      </c>
      <c r="B105" s="7" t="s">
        <v>136</v>
      </c>
      <c r="C105" s="7" t="s">
        <v>100</v>
      </c>
      <c r="D105" s="7" t="s">
        <v>261</v>
      </c>
      <c r="E105" s="7" t="s">
        <v>256</v>
      </c>
      <c r="F105" s="16" t="s">
        <v>159</v>
      </c>
      <c r="G105" s="7" t="s">
        <v>139</v>
      </c>
      <c r="H105" s="7" t="s">
        <v>190</v>
      </c>
      <c r="I105" s="16" t="s">
        <v>141</v>
      </c>
      <c r="J105" s="16" t="s">
        <v>141</v>
      </c>
      <c r="K105" s="16" t="s">
        <v>141</v>
      </c>
      <c r="L105" s="16" t="s">
        <v>141</v>
      </c>
      <c r="M105" s="16" t="s">
        <v>141</v>
      </c>
      <c r="N105" s="9" t="s">
        <v>40</v>
      </c>
      <c r="O105" s="6" t="s">
        <v>257</v>
      </c>
      <c r="P105" s="7" t="s">
        <v>258</v>
      </c>
    </row>
    <row r="106" customFormat="false" ht="23.85" hidden="false" customHeight="false" outlineLevel="0" collapsed="false">
      <c r="A106" s="16" t="n">
        <v>102</v>
      </c>
      <c r="B106" s="7" t="s">
        <v>136</v>
      </c>
      <c r="C106" s="7" t="s">
        <v>100</v>
      </c>
      <c r="D106" s="7" t="s">
        <v>262</v>
      </c>
      <c r="E106" s="7" t="s">
        <v>256</v>
      </c>
      <c r="F106" s="16" t="s">
        <v>159</v>
      </c>
      <c r="G106" s="7" t="s">
        <v>139</v>
      </c>
      <c r="H106" s="7" t="s">
        <v>190</v>
      </c>
      <c r="I106" s="16" t="s">
        <v>141</v>
      </c>
      <c r="J106" s="16" t="s">
        <v>141</v>
      </c>
      <c r="K106" s="16" t="s">
        <v>141</v>
      </c>
      <c r="L106" s="16" t="s">
        <v>141</v>
      </c>
      <c r="M106" s="16" t="s">
        <v>141</v>
      </c>
      <c r="N106" s="9" t="s">
        <v>40</v>
      </c>
      <c r="O106" s="6" t="s">
        <v>257</v>
      </c>
      <c r="P106" s="7" t="s">
        <v>258</v>
      </c>
    </row>
    <row r="107" customFormat="false" ht="23.85" hidden="false" customHeight="false" outlineLevel="0" collapsed="false">
      <c r="A107" s="16" t="n">
        <v>103</v>
      </c>
      <c r="B107" s="7" t="s">
        <v>136</v>
      </c>
      <c r="C107" s="7" t="s">
        <v>98</v>
      </c>
      <c r="D107" s="7" t="s">
        <v>263</v>
      </c>
      <c r="E107" s="7" t="s">
        <v>256</v>
      </c>
      <c r="F107" s="16" t="s">
        <v>159</v>
      </c>
      <c r="G107" s="7" t="s">
        <v>139</v>
      </c>
      <c r="H107" s="7" t="s">
        <v>190</v>
      </c>
      <c r="I107" s="16" t="s">
        <v>141</v>
      </c>
      <c r="J107" s="16" t="s">
        <v>141</v>
      </c>
      <c r="K107" s="16" t="s">
        <v>141</v>
      </c>
      <c r="L107" s="16" t="s">
        <v>141</v>
      </c>
      <c r="M107" s="16" t="s">
        <v>141</v>
      </c>
      <c r="N107" s="9" t="s">
        <v>40</v>
      </c>
      <c r="O107" s="6" t="s">
        <v>257</v>
      </c>
      <c r="P107" s="7" t="s">
        <v>258</v>
      </c>
    </row>
    <row r="108" customFormat="false" ht="23.85" hidden="false" customHeight="false" outlineLevel="0" collapsed="false">
      <c r="A108" s="16" t="n">
        <v>104</v>
      </c>
      <c r="B108" s="7" t="s">
        <v>136</v>
      </c>
      <c r="C108" s="7" t="s">
        <v>103</v>
      </c>
      <c r="D108" s="7" t="s">
        <v>264</v>
      </c>
      <c r="E108" s="7" t="s">
        <v>256</v>
      </c>
      <c r="F108" s="16" t="s">
        <v>159</v>
      </c>
      <c r="G108" s="7" t="s">
        <v>139</v>
      </c>
      <c r="H108" s="7" t="s">
        <v>190</v>
      </c>
      <c r="I108" s="16" t="s">
        <v>141</v>
      </c>
      <c r="J108" s="16" t="s">
        <v>141</v>
      </c>
      <c r="K108" s="16" t="s">
        <v>141</v>
      </c>
      <c r="L108" s="16" t="s">
        <v>141</v>
      </c>
      <c r="M108" s="16" t="s">
        <v>141</v>
      </c>
      <c r="N108" s="9" t="s">
        <v>40</v>
      </c>
      <c r="O108" s="6" t="s">
        <v>257</v>
      </c>
      <c r="P108" s="7" t="s">
        <v>258</v>
      </c>
    </row>
    <row r="109" customFormat="false" ht="23.85" hidden="false" customHeight="false" outlineLevel="0" collapsed="false">
      <c r="A109" s="16" t="n">
        <v>105</v>
      </c>
      <c r="B109" s="7" t="s">
        <v>136</v>
      </c>
      <c r="C109" s="7" t="s">
        <v>100</v>
      </c>
      <c r="D109" s="7" t="s">
        <v>265</v>
      </c>
      <c r="E109" s="7" t="s">
        <v>256</v>
      </c>
      <c r="F109" s="16" t="s">
        <v>159</v>
      </c>
      <c r="G109" s="7" t="s">
        <v>139</v>
      </c>
      <c r="H109" s="7" t="s">
        <v>190</v>
      </c>
      <c r="I109" s="16" t="s">
        <v>141</v>
      </c>
      <c r="J109" s="16" t="s">
        <v>141</v>
      </c>
      <c r="K109" s="16" t="s">
        <v>141</v>
      </c>
      <c r="L109" s="16" t="s">
        <v>141</v>
      </c>
      <c r="M109" s="16" t="s">
        <v>141</v>
      </c>
      <c r="N109" s="9" t="s">
        <v>40</v>
      </c>
      <c r="O109" s="6" t="s">
        <v>257</v>
      </c>
      <c r="P109" s="7" t="s">
        <v>258</v>
      </c>
    </row>
    <row r="110" customFormat="false" ht="23.85" hidden="false" customHeight="false" outlineLevel="0" collapsed="false">
      <c r="A110" s="16" t="n">
        <v>106</v>
      </c>
      <c r="B110" s="7" t="s">
        <v>136</v>
      </c>
      <c r="C110" s="7" t="s">
        <v>98</v>
      </c>
      <c r="D110" s="7" t="s">
        <v>266</v>
      </c>
      <c r="E110" s="7" t="s">
        <v>256</v>
      </c>
      <c r="F110" s="16" t="s">
        <v>159</v>
      </c>
      <c r="G110" s="7" t="s">
        <v>139</v>
      </c>
      <c r="H110" s="7" t="s">
        <v>190</v>
      </c>
      <c r="I110" s="16" t="s">
        <v>141</v>
      </c>
      <c r="J110" s="16" t="s">
        <v>141</v>
      </c>
      <c r="K110" s="16" t="s">
        <v>141</v>
      </c>
      <c r="L110" s="16" t="s">
        <v>141</v>
      </c>
      <c r="M110" s="16" t="s">
        <v>141</v>
      </c>
      <c r="N110" s="9" t="s">
        <v>40</v>
      </c>
      <c r="O110" s="6" t="s">
        <v>257</v>
      </c>
      <c r="P110" s="7" t="s">
        <v>258</v>
      </c>
    </row>
    <row r="111" customFormat="false" ht="23.85" hidden="false" customHeight="false" outlineLevel="0" collapsed="false">
      <c r="A111" s="16" t="n">
        <v>107</v>
      </c>
      <c r="B111" s="7" t="s">
        <v>136</v>
      </c>
      <c r="C111" s="7" t="s">
        <v>103</v>
      </c>
      <c r="D111" s="7" t="s">
        <v>267</v>
      </c>
      <c r="E111" s="7" t="s">
        <v>256</v>
      </c>
      <c r="F111" s="16" t="s">
        <v>159</v>
      </c>
      <c r="G111" s="7" t="s">
        <v>139</v>
      </c>
      <c r="H111" s="7" t="s">
        <v>190</v>
      </c>
      <c r="I111" s="16" t="s">
        <v>141</v>
      </c>
      <c r="J111" s="16" t="s">
        <v>141</v>
      </c>
      <c r="K111" s="16" t="s">
        <v>141</v>
      </c>
      <c r="L111" s="16" t="s">
        <v>141</v>
      </c>
      <c r="M111" s="16" t="s">
        <v>141</v>
      </c>
      <c r="N111" s="9" t="s">
        <v>40</v>
      </c>
      <c r="O111" s="6" t="s">
        <v>257</v>
      </c>
      <c r="P111" s="7" t="s">
        <v>258</v>
      </c>
    </row>
    <row r="112" customFormat="false" ht="23.85" hidden="false" customHeight="false" outlineLevel="0" collapsed="false">
      <c r="A112" s="16" t="n">
        <v>108</v>
      </c>
      <c r="B112" s="7" t="s">
        <v>136</v>
      </c>
      <c r="C112" s="7" t="s">
        <v>100</v>
      </c>
      <c r="D112" s="7" t="s">
        <v>268</v>
      </c>
      <c r="E112" s="7" t="s">
        <v>256</v>
      </c>
      <c r="F112" s="16" t="s">
        <v>159</v>
      </c>
      <c r="G112" s="7" t="s">
        <v>139</v>
      </c>
      <c r="H112" s="7" t="s">
        <v>190</v>
      </c>
      <c r="I112" s="16" t="s">
        <v>141</v>
      </c>
      <c r="J112" s="16" t="s">
        <v>141</v>
      </c>
      <c r="K112" s="16" t="s">
        <v>141</v>
      </c>
      <c r="L112" s="16" t="s">
        <v>141</v>
      </c>
      <c r="M112" s="16" t="s">
        <v>141</v>
      </c>
      <c r="N112" s="9" t="s">
        <v>40</v>
      </c>
      <c r="O112" s="6" t="s">
        <v>257</v>
      </c>
      <c r="P112" s="7" t="s">
        <v>258</v>
      </c>
    </row>
    <row r="113" customFormat="false" ht="23.85" hidden="false" customHeight="false" outlineLevel="0" collapsed="false">
      <c r="A113" s="16" t="n">
        <v>109</v>
      </c>
      <c r="B113" s="7" t="s">
        <v>136</v>
      </c>
      <c r="C113" s="7" t="s">
        <v>98</v>
      </c>
      <c r="D113" s="7" t="s">
        <v>269</v>
      </c>
      <c r="E113" s="7" t="s">
        <v>256</v>
      </c>
      <c r="F113" s="16" t="s">
        <v>159</v>
      </c>
      <c r="G113" s="7" t="s">
        <v>139</v>
      </c>
      <c r="H113" s="7" t="s">
        <v>190</v>
      </c>
      <c r="I113" s="16" t="s">
        <v>141</v>
      </c>
      <c r="J113" s="16" t="s">
        <v>141</v>
      </c>
      <c r="K113" s="16" t="s">
        <v>141</v>
      </c>
      <c r="L113" s="16" t="s">
        <v>141</v>
      </c>
      <c r="M113" s="16" t="s">
        <v>141</v>
      </c>
      <c r="N113" s="9" t="s">
        <v>40</v>
      </c>
      <c r="O113" s="6" t="s">
        <v>257</v>
      </c>
      <c r="P113" s="7" t="s">
        <v>258</v>
      </c>
    </row>
    <row r="114" customFormat="false" ht="23.85" hidden="false" customHeight="false" outlineLevel="0" collapsed="false">
      <c r="A114" s="16" t="n">
        <v>110</v>
      </c>
      <c r="B114" s="7" t="s">
        <v>270</v>
      </c>
      <c r="C114" s="7" t="s">
        <v>98</v>
      </c>
      <c r="D114" s="7" t="s">
        <v>271</v>
      </c>
      <c r="E114" s="7" t="s">
        <v>256</v>
      </c>
      <c r="F114" s="16" t="s">
        <v>159</v>
      </c>
      <c r="G114" s="7" t="s">
        <v>139</v>
      </c>
      <c r="H114" s="7" t="s">
        <v>190</v>
      </c>
      <c r="I114" s="16" t="s">
        <v>141</v>
      </c>
      <c r="J114" s="16" t="s">
        <v>141</v>
      </c>
      <c r="K114" s="16" t="s">
        <v>141</v>
      </c>
      <c r="L114" s="16" t="s">
        <v>141</v>
      </c>
      <c r="M114" s="16" t="s">
        <v>141</v>
      </c>
      <c r="N114" s="9" t="s">
        <v>40</v>
      </c>
      <c r="O114" s="6" t="s">
        <v>257</v>
      </c>
      <c r="P114" s="7" t="s">
        <v>272</v>
      </c>
    </row>
    <row r="115" customFormat="false" ht="23.85" hidden="false" customHeight="false" outlineLevel="0" collapsed="false">
      <c r="A115" s="16" t="n">
        <v>111</v>
      </c>
      <c r="B115" s="7" t="s">
        <v>270</v>
      </c>
      <c r="C115" s="7" t="s">
        <v>104</v>
      </c>
      <c r="D115" s="7" t="s">
        <v>273</v>
      </c>
      <c r="E115" s="7" t="s">
        <v>256</v>
      </c>
      <c r="F115" s="16" t="s">
        <v>159</v>
      </c>
      <c r="G115" s="7" t="s">
        <v>139</v>
      </c>
      <c r="H115" s="7" t="s">
        <v>190</v>
      </c>
      <c r="I115" s="16" t="s">
        <v>141</v>
      </c>
      <c r="J115" s="16" t="s">
        <v>141</v>
      </c>
      <c r="K115" s="16" t="s">
        <v>141</v>
      </c>
      <c r="L115" s="16" t="s">
        <v>141</v>
      </c>
      <c r="M115" s="16" t="s">
        <v>141</v>
      </c>
      <c r="N115" s="9" t="s">
        <v>40</v>
      </c>
      <c r="O115" s="6" t="s">
        <v>257</v>
      </c>
      <c r="P115" s="7" t="s">
        <v>272</v>
      </c>
    </row>
    <row r="116" customFormat="false" ht="23.85" hidden="false" customHeight="false" outlineLevel="0" collapsed="false">
      <c r="A116" s="16" t="n">
        <v>112</v>
      </c>
      <c r="B116" s="7" t="s">
        <v>270</v>
      </c>
      <c r="C116" s="7" t="s">
        <v>98</v>
      </c>
      <c r="D116" s="7" t="s">
        <v>274</v>
      </c>
      <c r="E116" s="7" t="s">
        <v>256</v>
      </c>
      <c r="F116" s="16" t="s">
        <v>159</v>
      </c>
      <c r="G116" s="7" t="s">
        <v>139</v>
      </c>
      <c r="H116" s="7" t="s">
        <v>190</v>
      </c>
      <c r="I116" s="16" t="s">
        <v>141</v>
      </c>
      <c r="J116" s="16" t="s">
        <v>141</v>
      </c>
      <c r="K116" s="16" t="s">
        <v>141</v>
      </c>
      <c r="L116" s="16" t="s">
        <v>141</v>
      </c>
      <c r="M116" s="16" t="s">
        <v>141</v>
      </c>
      <c r="N116" s="9" t="s">
        <v>40</v>
      </c>
      <c r="O116" s="6" t="s">
        <v>257</v>
      </c>
      <c r="P116" s="7" t="s">
        <v>272</v>
      </c>
    </row>
    <row r="117" customFormat="false" ht="23.85" hidden="false" customHeight="false" outlineLevel="0" collapsed="false">
      <c r="A117" s="16" t="n">
        <v>113</v>
      </c>
      <c r="B117" s="7" t="s">
        <v>270</v>
      </c>
      <c r="C117" s="7" t="s">
        <v>100</v>
      </c>
      <c r="D117" s="7" t="s">
        <v>275</v>
      </c>
      <c r="E117" s="7" t="s">
        <v>256</v>
      </c>
      <c r="F117" s="16" t="s">
        <v>159</v>
      </c>
      <c r="G117" s="7" t="s">
        <v>139</v>
      </c>
      <c r="H117" s="7" t="s">
        <v>190</v>
      </c>
      <c r="I117" s="16" t="s">
        <v>141</v>
      </c>
      <c r="J117" s="16" t="s">
        <v>141</v>
      </c>
      <c r="K117" s="16" t="s">
        <v>141</v>
      </c>
      <c r="L117" s="16" t="s">
        <v>141</v>
      </c>
      <c r="M117" s="16" t="s">
        <v>141</v>
      </c>
      <c r="N117" s="9" t="s">
        <v>40</v>
      </c>
      <c r="O117" s="6" t="s">
        <v>257</v>
      </c>
      <c r="P117" s="7" t="s">
        <v>272</v>
      </c>
    </row>
    <row r="118" customFormat="false" ht="23.85" hidden="false" customHeight="false" outlineLevel="0" collapsed="false">
      <c r="A118" s="16" t="n">
        <v>114</v>
      </c>
      <c r="B118" s="7" t="s">
        <v>136</v>
      </c>
      <c r="C118" s="7" t="s">
        <v>98</v>
      </c>
      <c r="D118" s="7" t="s">
        <v>276</v>
      </c>
      <c r="E118" s="7" t="s">
        <v>256</v>
      </c>
      <c r="F118" s="16" t="s">
        <v>159</v>
      </c>
      <c r="G118" s="7" t="s">
        <v>139</v>
      </c>
      <c r="H118" s="7" t="s">
        <v>190</v>
      </c>
      <c r="I118" s="16" t="s">
        <v>141</v>
      </c>
      <c r="J118" s="16" t="s">
        <v>141</v>
      </c>
      <c r="K118" s="16" t="s">
        <v>141</v>
      </c>
      <c r="L118" s="16" t="s">
        <v>141</v>
      </c>
      <c r="M118" s="16" t="s">
        <v>141</v>
      </c>
      <c r="N118" s="9" t="s">
        <v>40</v>
      </c>
      <c r="O118" s="6" t="s">
        <v>257</v>
      </c>
      <c r="P118" s="7" t="s">
        <v>258</v>
      </c>
    </row>
    <row r="119" customFormat="false" ht="23.85" hidden="false" customHeight="false" outlineLevel="0" collapsed="false">
      <c r="A119" s="16" t="n">
        <v>115</v>
      </c>
      <c r="B119" s="7" t="s">
        <v>136</v>
      </c>
      <c r="C119" s="7" t="s">
        <v>104</v>
      </c>
      <c r="D119" s="7" t="s">
        <v>277</v>
      </c>
      <c r="E119" s="7" t="s">
        <v>278</v>
      </c>
      <c r="F119" s="16" t="n">
        <v>30</v>
      </c>
      <c r="G119" s="7" t="s">
        <v>139</v>
      </c>
      <c r="H119" s="7" t="s">
        <v>190</v>
      </c>
      <c r="I119" s="16" t="s">
        <v>141</v>
      </c>
      <c r="J119" s="16" t="s">
        <v>141</v>
      </c>
      <c r="K119" s="16" t="s">
        <v>141</v>
      </c>
      <c r="L119" s="16" t="s">
        <v>141</v>
      </c>
      <c r="M119" s="16" t="s">
        <v>141</v>
      </c>
      <c r="N119" s="9" t="s">
        <v>40</v>
      </c>
      <c r="O119" s="6" t="s">
        <v>279</v>
      </c>
      <c r="P119" s="7" t="s">
        <v>280</v>
      </c>
    </row>
    <row r="120" customFormat="false" ht="23.85" hidden="false" customHeight="false" outlineLevel="0" collapsed="false">
      <c r="A120" s="16" t="n">
        <v>116</v>
      </c>
      <c r="B120" s="7" t="s">
        <v>136</v>
      </c>
      <c r="C120" s="7" t="s">
        <v>104</v>
      </c>
      <c r="D120" s="7" t="s">
        <v>281</v>
      </c>
      <c r="E120" s="7" t="s">
        <v>278</v>
      </c>
      <c r="F120" s="16" t="n">
        <v>10</v>
      </c>
      <c r="G120" s="7" t="s">
        <v>139</v>
      </c>
      <c r="H120" s="7" t="s">
        <v>190</v>
      </c>
      <c r="I120" s="16" t="s">
        <v>141</v>
      </c>
      <c r="J120" s="16" t="s">
        <v>141</v>
      </c>
      <c r="K120" s="16" t="s">
        <v>141</v>
      </c>
      <c r="L120" s="16" t="s">
        <v>141</v>
      </c>
      <c r="M120" s="16" t="s">
        <v>141</v>
      </c>
      <c r="N120" s="9" t="s">
        <v>40</v>
      </c>
      <c r="O120" s="6" t="s">
        <v>279</v>
      </c>
      <c r="P120" s="7" t="s">
        <v>280</v>
      </c>
    </row>
    <row r="121" customFormat="false" ht="23.85" hidden="false" customHeight="false" outlineLevel="0" collapsed="false">
      <c r="A121" s="16" t="n">
        <v>117</v>
      </c>
      <c r="B121" s="7" t="s">
        <v>136</v>
      </c>
      <c r="C121" s="7" t="s">
        <v>102</v>
      </c>
      <c r="D121" s="7" t="s">
        <v>282</v>
      </c>
      <c r="E121" s="7" t="s">
        <v>278</v>
      </c>
      <c r="F121" s="16" t="n">
        <v>30</v>
      </c>
      <c r="G121" s="7" t="s">
        <v>139</v>
      </c>
      <c r="H121" s="7" t="s">
        <v>190</v>
      </c>
      <c r="I121" s="16" t="s">
        <v>141</v>
      </c>
      <c r="J121" s="16" t="s">
        <v>141</v>
      </c>
      <c r="K121" s="16" t="s">
        <v>141</v>
      </c>
      <c r="L121" s="16" t="s">
        <v>141</v>
      </c>
      <c r="M121" s="16" t="s">
        <v>141</v>
      </c>
      <c r="N121" s="9" t="s">
        <v>40</v>
      </c>
      <c r="O121" s="6" t="s">
        <v>279</v>
      </c>
      <c r="P121" s="7" t="s">
        <v>280</v>
      </c>
    </row>
    <row r="122" customFormat="false" ht="23.85" hidden="false" customHeight="false" outlineLevel="0" collapsed="false">
      <c r="A122" s="16" t="n">
        <v>118</v>
      </c>
      <c r="B122" s="7" t="s">
        <v>136</v>
      </c>
      <c r="C122" s="7" t="s">
        <v>100</v>
      </c>
      <c r="D122" s="7" t="s">
        <v>283</v>
      </c>
      <c r="E122" s="7" t="s">
        <v>278</v>
      </c>
      <c r="F122" s="16" t="n">
        <v>4</v>
      </c>
      <c r="G122" s="7" t="s">
        <v>139</v>
      </c>
      <c r="H122" s="7" t="s">
        <v>190</v>
      </c>
      <c r="I122" s="16" t="s">
        <v>141</v>
      </c>
      <c r="J122" s="16" t="s">
        <v>141</v>
      </c>
      <c r="K122" s="16" t="s">
        <v>141</v>
      </c>
      <c r="L122" s="16" t="s">
        <v>141</v>
      </c>
      <c r="M122" s="16" t="s">
        <v>141</v>
      </c>
      <c r="N122" s="9" t="s">
        <v>40</v>
      </c>
      <c r="O122" s="6" t="s">
        <v>279</v>
      </c>
      <c r="P122" s="7" t="s">
        <v>280</v>
      </c>
    </row>
    <row r="123" customFormat="false" ht="23.85" hidden="false" customHeight="false" outlineLevel="0" collapsed="false">
      <c r="A123" s="16" t="n">
        <v>119</v>
      </c>
      <c r="B123" s="7" t="s">
        <v>136</v>
      </c>
      <c r="C123" s="7" t="s">
        <v>103</v>
      </c>
      <c r="D123" s="7" t="s">
        <v>284</v>
      </c>
      <c r="E123" s="7" t="s">
        <v>278</v>
      </c>
      <c r="F123" s="16" t="n">
        <v>30</v>
      </c>
      <c r="G123" s="7" t="s">
        <v>139</v>
      </c>
      <c r="H123" s="7" t="s">
        <v>190</v>
      </c>
      <c r="I123" s="16" t="s">
        <v>141</v>
      </c>
      <c r="J123" s="16" t="s">
        <v>141</v>
      </c>
      <c r="K123" s="16" t="s">
        <v>141</v>
      </c>
      <c r="L123" s="16" t="s">
        <v>141</v>
      </c>
      <c r="M123" s="16" t="s">
        <v>141</v>
      </c>
      <c r="N123" s="9" t="s">
        <v>40</v>
      </c>
      <c r="O123" s="6" t="s">
        <v>279</v>
      </c>
      <c r="P123" s="7" t="s">
        <v>280</v>
      </c>
    </row>
    <row r="124" customFormat="false" ht="23.85" hidden="false" customHeight="false" outlineLevel="0" collapsed="false">
      <c r="A124" s="16" t="n">
        <v>120</v>
      </c>
      <c r="B124" s="7" t="s">
        <v>136</v>
      </c>
      <c r="C124" s="7" t="s">
        <v>104</v>
      </c>
      <c r="D124" s="7" t="s">
        <v>285</v>
      </c>
      <c r="E124" s="7" t="s">
        <v>278</v>
      </c>
      <c r="F124" s="16" t="n">
        <v>4</v>
      </c>
      <c r="G124" s="7" t="s">
        <v>139</v>
      </c>
      <c r="H124" s="7" t="s">
        <v>190</v>
      </c>
      <c r="I124" s="16" t="s">
        <v>141</v>
      </c>
      <c r="J124" s="16" t="s">
        <v>141</v>
      </c>
      <c r="K124" s="16" t="s">
        <v>141</v>
      </c>
      <c r="L124" s="16" t="s">
        <v>141</v>
      </c>
      <c r="M124" s="16" t="s">
        <v>141</v>
      </c>
      <c r="N124" s="9" t="s">
        <v>40</v>
      </c>
      <c r="O124" s="6" t="s">
        <v>279</v>
      </c>
      <c r="P124" s="7" t="s">
        <v>280</v>
      </c>
    </row>
    <row r="125" customFormat="false" ht="23.85" hidden="false" customHeight="false" outlineLevel="0" collapsed="false">
      <c r="A125" s="16" t="n">
        <v>121</v>
      </c>
      <c r="B125" s="7" t="s">
        <v>136</v>
      </c>
      <c r="C125" s="7" t="s">
        <v>103</v>
      </c>
      <c r="D125" s="7" t="s">
        <v>286</v>
      </c>
      <c r="E125" s="7" t="s">
        <v>278</v>
      </c>
      <c r="F125" s="16" t="n">
        <v>20</v>
      </c>
      <c r="G125" s="7" t="s">
        <v>139</v>
      </c>
      <c r="H125" s="7" t="s">
        <v>190</v>
      </c>
      <c r="I125" s="16" t="s">
        <v>141</v>
      </c>
      <c r="J125" s="16" t="s">
        <v>141</v>
      </c>
      <c r="K125" s="16" t="s">
        <v>141</v>
      </c>
      <c r="L125" s="16" t="s">
        <v>141</v>
      </c>
      <c r="M125" s="16" t="s">
        <v>141</v>
      </c>
      <c r="N125" s="9" t="s">
        <v>40</v>
      </c>
      <c r="O125" s="6" t="s">
        <v>279</v>
      </c>
      <c r="P125" s="7" t="s">
        <v>280</v>
      </c>
    </row>
    <row r="126" customFormat="false" ht="23.85" hidden="false" customHeight="false" outlineLevel="0" collapsed="false">
      <c r="A126" s="16" t="n">
        <v>122</v>
      </c>
      <c r="B126" s="7" t="s">
        <v>136</v>
      </c>
      <c r="C126" s="7" t="s">
        <v>103</v>
      </c>
      <c r="D126" s="7" t="s">
        <v>287</v>
      </c>
      <c r="E126" s="7" t="s">
        <v>278</v>
      </c>
      <c r="F126" s="16" t="n">
        <v>20</v>
      </c>
      <c r="G126" s="7" t="s">
        <v>139</v>
      </c>
      <c r="H126" s="7" t="s">
        <v>190</v>
      </c>
      <c r="I126" s="16" t="s">
        <v>141</v>
      </c>
      <c r="J126" s="16" t="s">
        <v>141</v>
      </c>
      <c r="K126" s="16" t="s">
        <v>141</v>
      </c>
      <c r="L126" s="16" t="s">
        <v>141</v>
      </c>
      <c r="M126" s="16" t="s">
        <v>141</v>
      </c>
      <c r="N126" s="9" t="s">
        <v>40</v>
      </c>
      <c r="O126" s="6" t="s">
        <v>279</v>
      </c>
      <c r="P126" s="7" t="s">
        <v>280</v>
      </c>
    </row>
    <row r="127" customFormat="false" ht="23.85" hidden="false" customHeight="false" outlineLevel="0" collapsed="false">
      <c r="A127" s="16" t="n">
        <v>123</v>
      </c>
      <c r="B127" s="7" t="s">
        <v>136</v>
      </c>
      <c r="C127" s="7" t="s">
        <v>103</v>
      </c>
      <c r="D127" s="7" t="s">
        <v>288</v>
      </c>
      <c r="E127" s="7" t="s">
        <v>278</v>
      </c>
      <c r="F127" s="16" t="n">
        <v>20</v>
      </c>
      <c r="G127" s="7" t="s">
        <v>139</v>
      </c>
      <c r="H127" s="7" t="s">
        <v>190</v>
      </c>
      <c r="I127" s="16" t="s">
        <v>141</v>
      </c>
      <c r="J127" s="16" t="s">
        <v>141</v>
      </c>
      <c r="K127" s="16" t="s">
        <v>141</v>
      </c>
      <c r="L127" s="16" t="s">
        <v>141</v>
      </c>
      <c r="M127" s="16" t="s">
        <v>141</v>
      </c>
      <c r="N127" s="9" t="s">
        <v>40</v>
      </c>
      <c r="O127" s="6" t="s">
        <v>279</v>
      </c>
      <c r="P127" s="7" t="s">
        <v>280</v>
      </c>
    </row>
    <row r="128" customFormat="false" ht="23.85" hidden="false" customHeight="false" outlineLevel="0" collapsed="false">
      <c r="A128" s="16" t="n">
        <v>124</v>
      </c>
      <c r="B128" s="7" t="s">
        <v>136</v>
      </c>
      <c r="C128" s="7" t="s">
        <v>103</v>
      </c>
      <c r="D128" s="7" t="s">
        <v>289</v>
      </c>
      <c r="E128" s="7" t="s">
        <v>278</v>
      </c>
      <c r="F128" s="16" t="n">
        <v>8</v>
      </c>
      <c r="G128" s="7" t="s">
        <v>139</v>
      </c>
      <c r="H128" s="7" t="s">
        <v>190</v>
      </c>
      <c r="I128" s="16" t="s">
        <v>141</v>
      </c>
      <c r="J128" s="16" t="s">
        <v>141</v>
      </c>
      <c r="K128" s="16" t="s">
        <v>141</v>
      </c>
      <c r="L128" s="16" t="s">
        <v>141</v>
      </c>
      <c r="M128" s="16" t="s">
        <v>141</v>
      </c>
      <c r="N128" s="9" t="s">
        <v>40</v>
      </c>
      <c r="O128" s="6" t="s">
        <v>279</v>
      </c>
      <c r="P128" s="7" t="s">
        <v>280</v>
      </c>
    </row>
    <row r="129" customFormat="false" ht="23.85" hidden="false" customHeight="false" outlineLevel="0" collapsed="false">
      <c r="A129" s="16" t="n">
        <v>125</v>
      </c>
      <c r="B129" s="7" t="s">
        <v>136</v>
      </c>
      <c r="C129" s="7" t="s">
        <v>103</v>
      </c>
      <c r="D129" s="7" t="s">
        <v>290</v>
      </c>
      <c r="E129" s="7" t="s">
        <v>278</v>
      </c>
      <c r="F129" s="16" t="n">
        <v>30</v>
      </c>
      <c r="G129" s="7" t="s">
        <v>139</v>
      </c>
      <c r="H129" s="7" t="s">
        <v>190</v>
      </c>
      <c r="I129" s="16" t="s">
        <v>141</v>
      </c>
      <c r="J129" s="16" t="s">
        <v>141</v>
      </c>
      <c r="K129" s="16" t="s">
        <v>141</v>
      </c>
      <c r="L129" s="16" t="s">
        <v>141</v>
      </c>
      <c r="M129" s="16" t="s">
        <v>141</v>
      </c>
      <c r="N129" s="9" t="s">
        <v>40</v>
      </c>
      <c r="O129" s="6" t="s">
        <v>279</v>
      </c>
      <c r="P129" s="7" t="s">
        <v>280</v>
      </c>
    </row>
    <row r="130" customFormat="false" ht="23.85" hidden="false" customHeight="false" outlineLevel="0" collapsed="false">
      <c r="A130" s="16" t="n">
        <v>126</v>
      </c>
      <c r="B130" s="7" t="s">
        <v>136</v>
      </c>
      <c r="C130" s="7" t="s">
        <v>100</v>
      </c>
      <c r="D130" s="7" t="s">
        <v>291</v>
      </c>
      <c r="E130" s="7" t="s">
        <v>278</v>
      </c>
      <c r="F130" s="16" t="n">
        <v>4</v>
      </c>
      <c r="G130" s="7" t="s">
        <v>139</v>
      </c>
      <c r="H130" s="7" t="s">
        <v>190</v>
      </c>
      <c r="I130" s="16" t="s">
        <v>141</v>
      </c>
      <c r="J130" s="16" t="s">
        <v>141</v>
      </c>
      <c r="K130" s="16" t="s">
        <v>141</v>
      </c>
      <c r="L130" s="16" t="s">
        <v>141</v>
      </c>
      <c r="M130" s="16" t="s">
        <v>141</v>
      </c>
      <c r="N130" s="9" t="s">
        <v>40</v>
      </c>
      <c r="O130" s="6" t="s">
        <v>279</v>
      </c>
      <c r="P130" s="7" t="s">
        <v>280</v>
      </c>
    </row>
    <row r="131" customFormat="false" ht="23.85" hidden="false" customHeight="false" outlineLevel="0" collapsed="false">
      <c r="A131" s="16" t="n">
        <v>127</v>
      </c>
      <c r="B131" s="7" t="s">
        <v>136</v>
      </c>
      <c r="C131" s="7" t="s">
        <v>102</v>
      </c>
      <c r="D131" s="7" t="s">
        <v>292</v>
      </c>
      <c r="E131" s="7" t="s">
        <v>278</v>
      </c>
      <c r="F131" s="16" t="n">
        <v>8</v>
      </c>
      <c r="G131" s="7" t="s">
        <v>139</v>
      </c>
      <c r="H131" s="7" t="s">
        <v>190</v>
      </c>
      <c r="I131" s="16" t="s">
        <v>141</v>
      </c>
      <c r="J131" s="16" t="s">
        <v>141</v>
      </c>
      <c r="K131" s="16" t="s">
        <v>141</v>
      </c>
      <c r="L131" s="16" t="s">
        <v>141</v>
      </c>
      <c r="M131" s="16" t="s">
        <v>141</v>
      </c>
      <c r="N131" s="9" t="s">
        <v>40</v>
      </c>
      <c r="O131" s="6" t="s">
        <v>279</v>
      </c>
      <c r="P131" s="7" t="s">
        <v>280</v>
      </c>
    </row>
    <row r="132" customFormat="false" ht="23.85" hidden="false" customHeight="false" outlineLevel="0" collapsed="false">
      <c r="A132" s="16" t="n">
        <v>128</v>
      </c>
      <c r="B132" s="7" t="s">
        <v>136</v>
      </c>
      <c r="C132" s="7" t="s">
        <v>103</v>
      </c>
      <c r="D132" s="7" t="s">
        <v>293</v>
      </c>
      <c r="E132" s="7" t="s">
        <v>278</v>
      </c>
      <c r="F132" s="16" t="n">
        <v>60</v>
      </c>
      <c r="G132" s="7" t="s">
        <v>139</v>
      </c>
      <c r="H132" s="7" t="s">
        <v>190</v>
      </c>
      <c r="I132" s="16" t="s">
        <v>141</v>
      </c>
      <c r="J132" s="16" t="s">
        <v>141</v>
      </c>
      <c r="K132" s="16" t="s">
        <v>141</v>
      </c>
      <c r="L132" s="16" t="s">
        <v>141</v>
      </c>
      <c r="M132" s="16" t="s">
        <v>141</v>
      </c>
      <c r="N132" s="9" t="s">
        <v>40</v>
      </c>
      <c r="O132" s="6" t="s">
        <v>279</v>
      </c>
      <c r="P132" s="7" t="s">
        <v>280</v>
      </c>
    </row>
    <row r="133" customFormat="false" ht="23.85" hidden="false" customHeight="false" outlineLevel="0" collapsed="false">
      <c r="A133" s="16" t="n">
        <v>129</v>
      </c>
      <c r="B133" s="7" t="s">
        <v>136</v>
      </c>
      <c r="C133" s="7" t="s">
        <v>101</v>
      </c>
      <c r="D133" s="7" t="s">
        <v>294</v>
      </c>
      <c r="E133" s="7" t="s">
        <v>295</v>
      </c>
      <c r="F133" s="16" t="s">
        <v>159</v>
      </c>
      <c r="G133" s="7" t="s">
        <v>139</v>
      </c>
      <c r="H133" s="7" t="s">
        <v>190</v>
      </c>
      <c r="I133" s="16" t="s">
        <v>141</v>
      </c>
      <c r="J133" s="16" t="s">
        <v>141</v>
      </c>
      <c r="K133" s="16" t="s">
        <v>141</v>
      </c>
      <c r="L133" s="16" t="s">
        <v>141</v>
      </c>
      <c r="M133" s="16" t="s">
        <v>141</v>
      </c>
      <c r="N133" s="9" t="s">
        <v>40</v>
      </c>
      <c r="O133" s="6" t="s">
        <v>296</v>
      </c>
      <c r="P133" s="7" t="s">
        <v>297</v>
      </c>
    </row>
    <row r="134" customFormat="false" ht="23.85" hidden="false" customHeight="false" outlineLevel="0" collapsed="false">
      <c r="A134" s="16" t="n">
        <v>130</v>
      </c>
      <c r="B134" s="7" t="s">
        <v>136</v>
      </c>
      <c r="C134" s="7" t="s">
        <v>101</v>
      </c>
      <c r="D134" s="7" t="s">
        <v>298</v>
      </c>
      <c r="E134" s="7" t="s">
        <v>295</v>
      </c>
      <c r="F134" s="16" t="s">
        <v>159</v>
      </c>
      <c r="G134" s="7" t="s">
        <v>139</v>
      </c>
      <c r="H134" s="7" t="s">
        <v>190</v>
      </c>
      <c r="I134" s="16" t="s">
        <v>141</v>
      </c>
      <c r="J134" s="16" t="s">
        <v>141</v>
      </c>
      <c r="K134" s="16" t="s">
        <v>141</v>
      </c>
      <c r="L134" s="16" t="s">
        <v>141</v>
      </c>
      <c r="M134" s="16" t="s">
        <v>141</v>
      </c>
      <c r="N134" s="9" t="s">
        <v>40</v>
      </c>
      <c r="O134" s="6" t="s">
        <v>296</v>
      </c>
      <c r="P134" s="7" t="s">
        <v>297</v>
      </c>
    </row>
    <row r="135" customFormat="false" ht="23.85" hidden="false" customHeight="false" outlineLevel="0" collapsed="false">
      <c r="A135" s="16" t="n">
        <v>131</v>
      </c>
      <c r="B135" s="7" t="s">
        <v>136</v>
      </c>
      <c r="C135" s="7" t="s">
        <v>101</v>
      </c>
      <c r="D135" s="7" t="s">
        <v>299</v>
      </c>
      <c r="E135" s="7" t="s">
        <v>295</v>
      </c>
      <c r="F135" s="16" t="s">
        <v>159</v>
      </c>
      <c r="G135" s="7" t="s">
        <v>139</v>
      </c>
      <c r="H135" s="7" t="s">
        <v>190</v>
      </c>
      <c r="I135" s="16" t="s">
        <v>141</v>
      </c>
      <c r="J135" s="16" t="s">
        <v>141</v>
      </c>
      <c r="K135" s="16" t="s">
        <v>141</v>
      </c>
      <c r="L135" s="16" t="s">
        <v>141</v>
      </c>
      <c r="M135" s="16" t="s">
        <v>141</v>
      </c>
      <c r="N135" s="9" t="s">
        <v>40</v>
      </c>
      <c r="O135" s="6" t="s">
        <v>296</v>
      </c>
      <c r="P135" s="7" t="s">
        <v>297</v>
      </c>
    </row>
    <row r="136" customFormat="false" ht="23.85" hidden="false" customHeight="false" outlineLevel="0" collapsed="false">
      <c r="A136" s="16" t="n">
        <v>132</v>
      </c>
      <c r="B136" s="7" t="s">
        <v>136</v>
      </c>
      <c r="C136" s="7" t="s">
        <v>101</v>
      </c>
      <c r="D136" s="7" t="s">
        <v>300</v>
      </c>
      <c r="E136" s="7" t="s">
        <v>295</v>
      </c>
      <c r="F136" s="16" t="s">
        <v>159</v>
      </c>
      <c r="G136" s="7" t="s">
        <v>139</v>
      </c>
      <c r="H136" s="7" t="s">
        <v>190</v>
      </c>
      <c r="I136" s="16" t="s">
        <v>141</v>
      </c>
      <c r="J136" s="16" t="s">
        <v>141</v>
      </c>
      <c r="K136" s="16" t="s">
        <v>141</v>
      </c>
      <c r="L136" s="16" t="s">
        <v>141</v>
      </c>
      <c r="M136" s="16" t="s">
        <v>141</v>
      </c>
      <c r="N136" s="9" t="s">
        <v>40</v>
      </c>
      <c r="O136" s="6" t="s">
        <v>296</v>
      </c>
      <c r="P136" s="7" t="s">
        <v>297</v>
      </c>
    </row>
    <row r="137" customFormat="false" ht="23.85" hidden="false" customHeight="false" outlineLevel="0" collapsed="false">
      <c r="A137" s="16" t="n">
        <v>133</v>
      </c>
      <c r="B137" s="7" t="s">
        <v>136</v>
      </c>
      <c r="C137" s="7" t="s">
        <v>101</v>
      </c>
      <c r="D137" s="7" t="s">
        <v>301</v>
      </c>
      <c r="E137" s="7" t="s">
        <v>295</v>
      </c>
      <c r="F137" s="16" t="s">
        <v>159</v>
      </c>
      <c r="G137" s="7" t="s">
        <v>139</v>
      </c>
      <c r="H137" s="7" t="s">
        <v>190</v>
      </c>
      <c r="I137" s="16" t="s">
        <v>141</v>
      </c>
      <c r="J137" s="16" t="s">
        <v>141</v>
      </c>
      <c r="K137" s="16" t="s">
        <v>141</v>
      </c>
      <c r="L137" s="16" t="s">
        <v>141</v>
      </c>
      <c r="M137" s="16" t="s">
        <v>141</v>
      </c>
      <c r="N137" s="9" t="s">
        <v>40</v>
      </c>
      <c r="O137" s="6" t="s">
        <v>296</v>
      </c>
      <c r="P137" s="7" t="s">
        <v>297</v>
      </c>
    </row>
    <row r="138" customFormat="false" ht="23.85" hidden="false" customHeight="false" outlineLevel="0" collapsed="false">
      <c r="A138" s="16" t="n">
        <v>134</v>
      </c>
      <c r="B138" s="7" t="s">
        <v>136</v>
      </c>
      <c r="C138" s="7" t="s">
        <v>101</v>
      </c>
      <c r="D138" s="7" t="s">
        <v>302</v>
      </c>
      <c r="E138" s="7" t="s">
        <v>295</v>
      </c>
      <c r="F138" s="16" t="s">
        <v>159</v>
      </c>
      <c r="G138" s="7" t="s">
        <v>139</v>
      </c>
      <c r="H138" s="7" t="s">
        <v>190</v>
      </c>
      <c r="I138" s="16" t="s">
        <v>141</v>
      </c>
      <c r="J138" s="16" t="s">
        <v>141</v>
      </c>
      <c r="K138" s="16" t="s">
        <v>141</v>
      </c>
      <c r="L138" s="16" t="s">
        <v>141</v>
      </c>
      <c r="M138" s="16" t="s">
        <v>141</v>
      </c>
      <c r="N138" s="9" t="s">
        <v>40</v>
      </c>
      <c r="O138" s="6" t="s">
        <v>296</v>
      </c>
      <c r="P138" s="7" t="s">
        <v>297</v>
      </c>
    </row>
    <row r="139" customFormat="false" ht="23.85" hidden="false" customHeight="false" outlineLevel="0" collapsed="false">
      <c r="A139" s="16" t="n">
        <v>135</v>
      </c>
      <c r="B139" s="7" t="s">
        <v>136</v>
      </c>
      <c r="C139" s="7" t="s">
        <v>101</v>
      </c>
      <c r="D139" s="7" t="s">
        <v>303</v>
      </c>
      <c r="E139" s="7" t="s">
        <v>295</v>
      </c>
      <c r="F139" s="16" t="s">
        <v>159</v>
      </c>
      <c r="G139" s="7" t="s">
        <v>139</v>
      </c>
      <c r="H139" s="7" t="s">
        <v>190</v>
      </c>
      <c r="I139" s="16" t="s">
        <v>141</v>
      </c>
      <c r="J139" s="16" t="s">
        <v>141</v>
      </c>
      <c r="K139" s="16" t="s">
        <v>141</v>
      </c>
      <c r="L139" s="16" t="s">
        <v>141</v>
      </c>
      <c r="M139" s="16" t="s">
        <v>141</v>
      </c>
      <c r="N139" s="9" t="s">
        <v>40</v>
      </c>
      <c r="O139" s="6" t="s">
        <v>296</v>
      </c>
      <c r="P139" s="7" t="s">
        <v>297</v>
      </c>
    </row>
    <row r="140" customFormat="false" ht="23.85" hidden="false" customHeight="false" outlineLevel="0" collapsed="false">
      <c r="A140" s="16" t="n">
        <v>136</v>
      </c>
      <c r="B140" s="7" t="s">
        <v>136</v>
      </c>
      <c r="C140" s="7" t="s">
        <v>100</v>
      </c>
      <c r="D140" s="7" t="s">
        <v>304</v>
      </c>
      <c r="E140" s="7" t="s">
        <v>305</v>
      </c>
      <c r="F140" s="16" t="n">
        <v>15</v>
      </c>
      <c r="G140" s="7" t="s">
        <v>139</v>
      </c>
      <c r="H140" s="7" t="s">
        <v>240</v>
      </c>
      <c r="I140" s="16" t="s">
        <v>141</v>
      </c>
      <c r="J140" s="16" t="s">
        <v>141</v>
      </c>
      <c r="K140" s="16" t="s">
        <v>141</v>
      </c>
      <c r="L140" s="16" t="s">
        <v>141</v>
      </c>
      <c r="M140" s="16" t="s">
        <v>141</v>
      </c>
      <c r="N140" s="8" t="s">
        <v>38</v>
      </c>
      <c r="O140" s="6" t="s">
        <v>306</v>
      </c>
      <c r="P140" s="7" t="s">
        <v>307</v>
      </c>
    </row>
    <row r="141" customFormat="false" ht="15" hidden="false" customHeight="false" outlineLevel="0" collapsed="false">
      <c r="A141" s="16" t="n">
        <v>137</v>
      </c>
      <c r="B141" s="7" t="s">
        <v>136</v>
      </c>
      <c r="C141" s="7" t="s">
        <v>103</v>
      </c>
      <c r="D141" s="7" t="s">
        <v>308</v>
      </c>
      <c r="E141" s="7" t="s">
        <v>309</v>
      </c>
      <c r="F141" s="16" t="n">
        <v>20</v>
      </c>
      <c r="G141" s="7" t="s">
        <v>139</v>
      </c>
      <c r="H141" s="7" t="s">
        <v>240</v>
      </c>
      <c r="I141" s="16" t="s">
        <v>141</v>
      </c>
      <c r="J141" s="16" t="s">
        <v>141</v>
      </c>
      <c r="K141" s="16" t="s">
        <v>141</v>
      </c>
      <c r="L141" s="16" t="s">
        <v>141</v>
      </c>
      <c r="M141" s="16" t="s">
        <v>141</v>
      </c>
      <c r="N141" s="8" t="s">
        <v>38</v>
      </c>
      <c r="O141" s="6" t="s">
        <v>306</v>
      </c>
      <c r="P141" s="7" t="s">
        <v>307</v>
      </c>
    </row>
    <row r="142" customFormat="false" ht="35.05" hidden="false" customHeight="false" outlineLevel="0" collapsed="false">
      <c r="A142" s="16" t="n">
        <v>138</v>
      </c>
      <c r="B142" s="7" t="s">
        <v>310</v>
      </c>
      <c r="C142" s="7" t="s">
        <v>99</v>
      </c>
      <c r="D142" s="7" t="s">
        <v>311</v>
      </c>
      <c r="E142" s="7" t="s">
        <v>312</v>
      </c>
      <c r="F142" s="16" t="s">
        <v>159</v>
      </c>
      <c r="G142" s="7" t="s">
        <v>139</v>
      </c>
      <c r="H142" s="7" t="s">
        <v>140</v>
      </c>
      <c r="I142" s="16"/>
      <c r="J142" s="16"/>
      <c r="K142" s="16" t="s">
        <v>141</v>
      </c>
      <c r="L142" s="16"/>
      <c r="M142" s="16" t="s">
        <v>141</v>
      </c>
      <c r="N142" s="10" t="s">
        <v>42</v>
      </c>
      <c r="O142" s="6" t="s">
        <v>313</v>
      </c>
      <c r="P142" s="7" t="s">
        <v>314</v>
      </c>
    </row>
    <row r="143" customFormat="false" ht="23.85" hidden="false" customHeight="false" outlineLevel="0" collapsed="false">
      <c r="A143" s="16" t="n">
        <v>139</v>
      </c>
      <c r="B143" s="7" t="s">
        <v>310</v>
      </c>
      <c r="C143" s="7" t="s">
        <v>99</v>
      </c>
      <c r="D143" s="7" t="s">
        <v>315</v>
      </c>
      <c r="E143" s="7" t="s">
        <v>312</v>
      </c>
      <c r="F143" s="16" t="s">
        <v>159</v>
      </c>
      <c r="G143" s="7" t="s">
        <v>139</v>
      </c>
      <c r="H143" s="7" t="s">
        <v>140</v>
      </c>
      <c r="I143" s="16" t="s">
        <v>141</v>
      </c>
      <c r="J143" s="16" t="s">
        <v>141</v>
      </c>
      <c r="K143" s="16" t="s">
        <v>141</v>
      </c>
      <c r="L143" s="16" t="s">
        <v>141</v>
      </c>
      <c r="M143" s="16" t="s">
        <v>141</v>
      </c>
      <c r="N143" s="10" t="s">
        <v>42</v>
      </c>
      <c r="O143" s="6" t="s">
        <v>313</v>
      </c>
      <c r="P143" s="7" t="s">
        <v>316</v>
      </c>
    </row>
    <row r="144" customFormat="false" ht="35.05" hidden="false" customHeight="false" outlineLevel="0" collapsed="false">
      <c r="A144" s="16" t="n">
        <v>140</v>
      </c>
      <c r="B144" s="7" t="s">
        <v>310</v>
      </c>
      <c r="C144" s="7" t="s">
        <v>99</v>
      </c>
      <c r="D144" s="7" t="s">
        <v>317</v>
      </c>
      <c r="E144" s="7" t="s">
        <v>312</v>
      </c>
      <c r="F144" s="16" t="s">
        <v>159</v>
      </c>
      <c r="G144" s="7" t="s">
        <v>139</v>
      </c>
      <c r="H144" s="7" t="s">
        <v>140</v>
      </c>
      <c r="I144" s="16"/>
      <c r="J144" s="16"/>
      <c r="K144" s="16" t="s">
        <v>141</v>
      </c>
      <c r="L144" s="16"/>
      <c r="M144" s="16" t="s">
        <v>141</v>
      </c>
      <c r="N144" s="10" t="s">
        <v>42</v>
      </c>
      <c r="O144" s="6" t="s">
        <v>313</v>
      </c>
      <c r="P144" s="7" t="s">
        <v>314</v>
      </c>
    </row>
    <row r="145" customFormat="false" ht="35.05" hidden="false" customHeight="false" outlineLevel="0" collapsed="false">
      <c r="A145" s="16" t="n">
        <v>141</v>
      </c>
      <c r="B145" s="7" t="s">
        <v>310</v>
      </c>
      <c r="C145" s="7" t="s">
        <v>99</v>
      </c>
      <c r="D145" s="7" t="s">
        <v>318</v>
      </c>
      <c r="E145" s="7" t="s">
        <v>312</v>
      </c>
      <c r="F145" s="16" t="s">
        <v>159</v>
      </c>
      <c r="G145" s="7" t="s">
        <v>139</v>
      </c>
      <c r="H145" s="7" t="s">
        <v>140</v>
      </c>
      <c r="I145" s="16"/>
      <c r="J145" s="16"/>
      <c r="K145" s="16"/>
      <c r="L145" s="16" t="s">
        <v>141</v>
      </c>
      <c r="M145" s="16" t="s">
        <v>141</v>
      </c>
      <c r="N145" s="10" t="s">
        <v>42</v>
      </c>
      <c r="O145" s="6" t="s">
        <v>313</v>
      </c>
      <c r="P145" s="7" t="s">
        <v>314</v>
      </c>
    </row>
    <row r="146" customFormat="false" ht="35.05" hidden="false" customHeight="false" outlineLevel="0" collapsed="false">
      <c r="A146" s="16" t="n">
        <v>142</v>
      </c>
      <c r="B146" s="7" t="s">
        <v>310</v>
      </c>
      <c r="C146" s="7" t="s">
        <v>99</v>
      </c>
      <c r="D146" s="7" t="s">
        <v>319</v>
      </c>
      <c r="E146" s="7" t="s">
        <v>312</v>
      </c>
      <c r="F146" s="16" t="s">
        <v>159</v>
      </c>
      <c r="G146" s="7" t="s">
        <v>139</v>
      </c>
      <c r="H146" s="7" t="s">
        <v>140</v>
      </c>
      <c r="I146" s="16" t="s">
        <v>141</v>
      </c>
      <c r="J146" s="16"/>
      <c r="K146" s="16" t="s">
        <v>141</v>
      </c>
      <c r="L146" s="16"/>
      <c r="M146" s="16"/>
      <c r="N146" s="10" t="s">
        <v>42</v>
      </c>
      <c r="O146" s="6" t="s">
        <v>313</v>
      </c>
      <c r="P146" s="7" t="s">
        <v>314</v>
      </c>
    </row>
    <row r="147" customFormat="false" ht="35.05" hidden="false" customHeight="false" outlineLevel="0" collapsed="false">
      <c r="A147" s="16" t="n">
        <v>143</v>
      </c>
      <c r="B147" s="7" t="s">
        <v>310</v>
      </c>
      <c r="C147" s="7" t="s">
        <v>99</v>
      </c>
      <c r="D147" s="7" t="s">
        <v>320</v>
      </c>
      <c r="E147" s="7" t="s">
        <v>312</v>
      </c>
      <c r="F147" s="16" t="s">
        <v>159</v>
      </c>
      <c r="G147" s="7" t="s">
        <v>139</v>
      </c>
      <c r="H147" s="7" t="s">
        <v>140</v>
      </c>
      <c r="I147" s="16"/>
      <c r="J147" s="16"/>
      <c r="K147" s="16"/>
      <c r="L147" s="16" t="s">
        <v>141</v>
      </c>
      <c r="M147" s="16" t="s">
        <v>141</v>
      </c>
      <c r="N147" s="10" t="s">
        <v>42</v>
      </c>
      <c r="O147" s="6" t="s">
        <v>313</v>
      </c>
      <c r="P147" s="7" t="s">
        <v>314</v>
      </c>
    </row>
    <row r="148" customFormat="false" ht="35.05" hidden="false" customHeight="false" outlineLevel="0" collapsed="false">
      <c r="A148" s="16" t="n">
        <v>144</v>
      </c>
      <c r="B148" s="7" t="s">
        <v>310</v>
      </c>
      <c r="C148" s="7" t="s">
        <v>99</v>
      </c>
      <c r="D148" s="7" t="s">
        <v>321</v>
      </c>
      <c r="E148" s="7" t="s">
        <v>312</v>
      </c>
      <c r="F148" s="16" t="s">
        <v>159</v>
      </c>
      <c r="G148" s="7" t="s">
        <v>139</v>
      </c>
      <c r="H148" s="7" t="s">
        <v>140</v>
      </c>
      <c r="I148" s="16" t="s">
        <v>141</v>
      </c>
      <c r="J148" s="16" t="s">
        <v>141</v>
      </c>
      <c r="K148" s="16"/>
      <c r="L148" s="16"/>
      <c r="M148" s="16"/>
      <c r="N148" s="10" t="s">
        <v>42</v>
      </c>
      <c r="O148" s="6" t="s">
        <v>313</v>
      </c>
      <c r="P148" s="7" t="s">
        <v>314</v>
      </c>
    </row>
    <row r="149" customFormat="false" ht="35.05" hidden="false" customHeight="false" outlineLevel="0" collapsed="false">
      <c r="A149" s="16" t="n">
        <v>145</v>
      </c>
      <c r="B149" s="7" t="s">
        <v>310</v>
      </c>
      <c r="C149" s="7" t="s">
        <v>99</v>
      </c>
      <c r="D149" s="7" t="s">
        <v>322</v>
      </c>
      <c r="E149" s="7" t="s">
        <v>312</v>
      </c>
      <c r="F149" s="16" t="s">
        <v>159</v>
      </c>
      <c r="G149" s="7" t="s">
        <v>139</v>
      </c>
      <c r="H149" s="7" t="s">
        <v>140</v>
      </c>
      <c r="I149" s="16"/>
      <c r="J149" s="16"/>
      <c r="K149" s="16"/>
      <c r="L149" s="16" t="s">
        <v>141</v>
      </c>
      <c r="M149" s="16"/>
      <c r="N149" s="10" t="s">
        <v>42</v>
      </c>
      <c r="O149" s="6" t="s">
        <v>313</v>
      </c>
      <c r="P149" s="7" t="s">
        <v>314</v>
      </c>
    </row>
    <row r="150" customFormat="false" ht="35.05" hidden="false" customHeight="false" outlineLevel="0" collapsed="false">
      <c r="A150" s="16" t="n">
        <v>146</v>
      </c>
      <c r="B150" s="7" t="s">
        <v>310</v>
      </c>
      <c r="C150" s="7" t="s">
        <v>99</v>
      </c>
      <c r="D150" s="7" t="s">
        <v>323</v>
      </c>
      <c r="E150" s="7" t="s">
        <v>312</v>
      </c>
      <c r="F150" s="16" t="s">
        <v>159</v>
      </c>
      <c r="G150" s="7" t="s">
        <v>139</v>
      </c>
      <c r="H150" s="7" t="s">
        <v>140</v>
      </c>
      <c r="I150" s="16"/>
      <c r="J150" s="16" t="s">
        <v>141</v>
      </c>
      <c r="K150" s="16"/>
      <c r="L150" s="16"/>
      <c r="M150" s="16"/>
      <c r="N150" s="10" t="s">
        <v>42</v>
      </c>
      <c r="O150" s="6" t="s">
        <v>313</v>
      </c>
      <c r="P150" s="7" t="s">
        <v>314</v>
      </c>
    </row>
    <row r="151" customFormat="false" ht="35.05" hidden="false" customHeight="false" outlineLevel="0" collapsed="false">
      <c r="A151" s="16" t="n">
        <v>147</v>
      </c>
      <c r="B151" s="7" t="s">
        <v>310</v>
      </c>
      <c r="C151" s="7" t="s">
        <v>99</v>
      </c>
      <c r="D151" s="7" t="s">
        <v>324</v>
      </c>
      <c r="E151" s="7" t="s">
        <v>312</v>
      </c>
      <c r="F151" s="16" t="s">
        <v>159</v>
      </c>
      <c r="G151" s="7" t="s">
        <v>139</v>
      </c>
      <c r="H151" s="7" t="s">
        <v>140</v>
      </c>
      <c r="I151" s="16"/>
      <c r="J151" s="16" t="s">
        <v>141</v>
      </c>
      <c r="K151" s="16"/>
      <c r="L151" s="16"/>
      <c r="M151" s="16"/>
      <c r="N151" s="10" t="s">
        <v>42</v>
      </c>
      <c r="O151" s="6" t="s">
        <v>313</v>
      </c>
      <c r="P151" s="7" t="s">
        <v>314</v>
      </c>
    </row>
    <row r="152" customFormat="false" ht="35.05" hidden="false" customHeight="false" outlineLevel="0" collapsed="false">
      <c r="A152" s="16" t="n">
        <v>148</v>
      </c>
      <c r="B152" s="7" t="s">
        <v>310</v>
      </c>
      <c r="C152" s="7" t="s">
        <v>99</v>
      </c>
      <c r="D152" s="7" t="s">
        <v>325</v>
      </c>
      <c r="E152" s="7" t="s">
        <v>312</v>
      </c>
      <c r="F152" s="16" t="s">
        <v>159</v>
      </c>
      <c r="G152" s="7" t="s">
        <v>139</v>
      </c>
      <c r="H152" s="7" t="s">
        <v>140</v>
      </c>
      <c r="I152" s="16"/>
      <c r="J152" s="16" t="s">
        <v>141</v>
      </c>
      <c r="K152" s="16"/>
      <c r="L152" s="16"/>
      <c r="M152" s="16"/>
      <c r="N152" s="10" t="s">
        <v>42</v>
      </c>
      <c r="O152" s="6" t="s">
        <v>313</v>
      </c>
      <c r="P152" s="7" t="s">
        <v>314</v>
      </c>
    </row>
    <row r="153" customFormat="false" ht="23.85" hidden="false" customHeight="false" outlineLevel="0" collapsed="false">
      <c r="A153" s="16" t="n">
        <v>149</v>
      </c>
      <c r="B153" s="7" t="s">
        <v>310</v>
      </c>
      <c r="C153" s="7" t="s">
        <v>99</v>
      </c>
      <c r="D153" s="7" t="s">
        <v>326</v>
      </c>
      <c r="E153" s="7" t="s">
        <v>312</v>
      </c>
      <c r="F153" s="16" t="s">
        <v>159</v>
      </c>
      <c r="G153" s="7" t="s">
        <v>139</v>
      </c>
      <c r="H153" s="7" t="s">
        <v>140</v>
      </c>
      <c r="I153" s="16" t="s">
        <v>141</v>
      </c>
      <c r="J153" s="16" t="s">
        <v>141</v>
      </c>
      <c r="K153" s="16" t="s">
        <v>141</v>
      </c>
      <c r="L153" s="16" t="s">
        <v>141</v>
      </c>
      <c r="M153" s="16" t="s">
        <v>141</v>
      </c>
      <c r="N153" s="10" t="s">
        <v>42</v>
      </c>
      <c r="O153" s="6" t="s">
        <v>313</v>
      </c>
      <c r="P153" s="7" t="s">
        <v>316</v>
      </c>
    </row>
    <row r="154" customFormat="false" ht="35.05" hidden="false" customHeight="false" outlineLevel="0" collapsed="false">
      <c r="A154" s="16" t="n">
        <v>150</v>
      </c>
      <c r="B154" s="7" t="s">
        <v>310</v>
      </c>
      <c r="C154" s="7" t="s">
        <v>99</v>
      </c>
      <c r="D154" s="7" t="s">
        <v>327</v>
      </c>
      <c r="E154" s="7" t="s">
        <v>312</v>
      </c>
      <c r="F154" s="16" t="s">
        <v>159</v>
      </c>
      <c r="G154" s="7" t="s">
        <v>139</v>
      </c>
      <c r="H154" s="7" t="s">
        <v>140</v>
      </c>
      <c r="I154" s="16"/>
      <c r="J154" s="16"/>
      <c r="K154" s="16"/>
      <c r="L154" s="16" t="s">
        <v>141</v>
      </c>
      <c r="M154" s="16" t="s">
        <v>141</v>
      </c>
      <c r="N154" s="10" t="s">
        <v>42</v>
      </c>
      <c r="O154" s="6" t="s">
        <v>313</v>
      </c>
      <c r="P154" s="7" t="s">
        <v>314</v>
      </c>
    </row>
    <row r="155" customFormat="false" ht="35.05" hidden="false" customHeight="false" outlineLevel="0" collapsed="false">
      <c r="A155" s="16" t="n">
        <v>151</v>
      </c>
      <c r="B155" s="7" t="s">
        <v>310</v>
      </c>
      <c r="C155" s="7" t="s">
        <v>99</v>
      </c>
      <c r="D155" s="7" t="s">
        <v>328</v>
      </c>
      <c r="E155" s="7" t="s">
        <v>312</v>
      </c>
      <c r="F155" s="16" t="s">
        <v>159</v>
      </c>
      <c r="G155" s="7" t="s">
        <v>139</v>
      </c>
      <c r="H155" s="7" t="s">
        <v>140</v>
      </c>
      <c r="I155" s="16"/>
      <c r="J155" s="16"/>
      <c r="K155" s="16" t="s">
        <v>141</v>
      </c>
      <c r="L155" s="16" t="s">
        <v>141</v>
      </c>
      <c r="M155" s="16"/>
      <c r="N155" s="10" t="s">
        <v>42</v>
      </c>
      <c r="O155" s="6" t="s">
        <v>313</v>
      </c>
      <c r="P155" s="7" t="s">
        <v>314</v>
      </c>
    </row>
    <row r="156" customFormat="false" ht="35.05" hidden="false" customHeight="false" outlineLevel="0" collapsed="false">
      <c r="A156" s="16" t="n">
        <v>152</v>
      </c>
      <c r="B156" s="7" t="s">
        <v>310</v>
      </c>
      <c r="C156" s="7" t="s">
        <v>99</v>
      </c>
      <c r="D156" s="7" t="s">
        <v>329</v>
      </c>
      <c r="E156" s="7" t="s">
        <v>312</v>
      </c>
      <c r="F156" s="16" t="s">
        <v>159</v>
      </c>
      <c r="G156" s="7" t="s">
        <v>139</v>
      </c>
      <c r="H156" s="7" t="s">
        <v>140</v>
      </c>
      <c r="I156" s="16"/>
      <c r="J156" s="16" t="s">
        <v>141</v>
      </c>
      <c r="K156" s="16"/>
      <c r="L156" s="16" t="s">
        <v>141</v>
      </c>
      <c r="M156" s="16" t="s">
        <v>141</v>
      </c>
      <c r="N156" s="10" t="s">
        <v>42</v>
      </c>
      <c r="O156" s="6" t="s">
        <v>313</v>
      </c>
      <c r="P156" s="7" t="s">
        <v>314</v>
      </c>
    </row>
    <row r="157" customFormat="false" ht="35.05" hidden="false" customHeight="false" outlineLevel="0" collapsed="false">
      <c r="A157" s="16" t="n">
        <v>153</v>
      </c>
      <c r="B157" s="7" t="s">
        <v>310</v>
      </c>
      <c r="C157" s="7" t="s">
        <v>99</v>
      </c>
      <c r="D157" s="7" t="s">
        <v>330</v>
      </c>
      <c r="E157" s="7" t="s">
        <v>312</v>
      </c>
      <c r="F157" s="16" t="s">
        <v>159</v>
      </c>
      <c r="G157" s="7" t="s">
        <v>139</v>
      </c>
      <c r="H157" s="7" t="s">
        <v>140</v>
      </c>
      <c r="I157" s="16" t="s">
        <v>141</v>
      </c>
      <c r="J157" s="16" t="s">
        <v>141</v>
      </c>
      <c r="K157" s="16"/>
      <c r="L157" s="16"/>
      <c r="M157" s="16"/>
      <c r="N157" s="10" t="s">
        <v>42</v>
      </c>
      <c r="O157" s="6" t="s">
        <v>313</v>
      </c>
      <c r="P157" s="7" t="s">
        <v>314</v>
      </c>
    </row>
    <row r="158" customFormat="false" ht="35.05" hidden="false" customHeight="false" outlineLevel="0" collapsed="false">
      <c r="A158" s="16" t="n">
        <v>154</v>
      </c>
      <c r="B158" s="7" t="s">
        <v>310</v>
      </c>
      <c r="C158" s="7" t="s">
        <v>99</v>
      </c>
      <c r="D158" s="7" t="s">
        <v>331</v>
      </c>
      <c r="E158" s="7" t="s">
        <v>312</v>
      </c>
      <c r="F158" s="16" t="s">
        <v>159</v>
      </c>
      <c r="G158" s="7" t="s">
        <v>139</v>
      </c>
      <c r="H158" s="7" t="s">
        <v>140</v>
      </c>
      <c r="I158" s="16"/>
      <c r="J158" s="16"/>
      <c r="K158" s="16"/>
      <c r="L158" s="16" t="s">
        <v>141</v>
      </c>
      <c r="M158" s="16" t="s">
        <v>141</v>
      </c>
      <c r="N158" s="10" t="s">
        <v>42</v>
      </c>
      <c r="O158" s="6" t="s">
        <v>313</v>
      </c>
      <c r="P158" s="7" t="s">
        <v>314</v>
      </c>
    </row>
    <row r="159" customFormat="false" ht="35.05" hidden="false" customHeight="false" outlineLevel="0" collapsed="false">
      <c r="A159" s="16" t="n">
        <v>155</v>
      </c>
      <c r="B159" s="7" t="s">
        <v>310</v>
      </c>
      <c r="C159" s="7" t="s">
        <v>99</v>
      </c>
      <c r="D159" s="7" t="s">
        <v>332</v>
      </c>
      <c r="E159" s="7" t="s">
        <v>312</v>
      </c>
      <c r="F159" s="16" t="s">
        <v>159</v>
      </c>
      <c r="G159" s="7" t="s">
        <v>139</v>
      </c>
      <c r="H159" s="7" t="s">
        <v>140</v>
      </c>
      <c r="I159" s="16"/>
      <c r="J159" s="16" t="s">
        <v>141</v>
      </c>
      <c r="K159" s="16"/>
      <c r="L159" s="16"/>
      <c r="M159" s="16" t="s">
        <v>141</v>
      </c>
      <c r="N159" s="10" t="s">
        <v>42</v>
      </c>
      <c r="O159" s="6" t="s">
        <v>313</v>
      </c>
      <c r="P159" s="7" t="s">
        <v>314</v>
      </c>
    </row>
    <row r="160" customFormat="false" ht="35.05" hidden="false" customHeight="false" outlineLevel="0" collapsed="false">
      <c r="A160" s="16" t="n">
        <v>156</v>
      </c>
      <c r="B160" s="7" t="s">
        <v>310</v>
      </c>
      <c r="C160" s="7" t="s">
        <v>99</v>
      </c>
      <c r="D160" s="7" t="s">
        <v>333</v>
      </c>
      <c r="E160" s="7" t="s">
        <v>312</v>
      </c>
      <c r="F160" s="16" t="s">
        <v>159</v>
      </c>
      <c r="G160" s="7" t="s">
        <v>139</v>
      </c>
      <c r="H160" s="7" t="s">
        <v>140</v>
      </c>
      <c r="I160" s="16"/>
      <c r="J160" s="16" t="s">
        <v>141</v>
      </c>
      <c r="K160" s="16"/>
      <c r="L160" s="16"/>
      <c r="M160" s="16" t="s">
        <v>141</v>
      </c>
      <c r="N160" s="10" t="s">
        <v>42</v>
      </c>
      <c r="O160" s="6" t="s">
        <v>313</v>
      </c>
      <c r="P160" s="7" t="s">
        <v>314</v>
      </c>
    </row>
    <row r="161" customFormat="false" ht="35.05" hidden="false" customHeight="false" outlineLevel="0" collapsed="false">
      <c r="A161" s="16" t="n">
        <v>157</v>
      </c>
      <c r="B161" s="7" t="s">
        <v>310</v>
      </c>
      <c r="C161" s="7" t="s">
        <v>99</v>
      </c>
      <c r="D161" s="7" t="s">
        <v>334</v>
      </c>
      <c r="E161" s="7" t="s">
        <v>312</v>
      </c>
      <c r="F161" s="16" t="s">
        <v>159</v>
      </c>
      <c r="G161" s="7" t="s">
        <v>139</v>
      </c>
      <c r="H161" s="7" t="s">
        <v>140</v>
      </c>
      <c r="I161" s="16" t="s">
        <v>141</v>
      </c>
      <c r="J161" s="16"/>
      <c r="K161" s="16" t="s">
        <v>141</v>
      </c>
      <c r="L161" s="16"/>
      <c r="M161" s="16"/>
      <c r="N161" s="10" t="s">
        <v>42</v>
      </c>
      <c r="O161" s="6" t="s">
        <v>313</v>
      </c>
      <c r="P161" s="7" t="s">
        <v>314</v>
      </c>
    </row>
    <row r="162" customFormat="false" ht="35.05" hidden="false" customHeight="false" outlineLevel="0" collapsed="false">
      <c r="A162" s="16" t="n">
        <v>158</v>
      </c>
      <c r="B162" s="7" t="s">
        <v>310</v>
      </c>
      <c r="C162" s="7" t="s">
        <v>99</v>
      </c>
      <c r="D162" s="7" t="s">
        <v>335</v>
      </c>
      <c r="E162" s="7" t="s">
        <v>312</v>
      </c>
      <c r="F162" s="16" t="s">
        <v>159</v>
      </c>
      <c r="G162" s="7" t="s">
        <v>139</v>
      </c>
      <c r="H162" s="7" t="s">
        <v>140</v>
      </c>
      <c r="I162" s="16"/>
      <c r="J162" s="16"/>
      <c r="K162" s="16"/>
      <c r="L162" s="16" t="s">
        <v>141</v>
      </c>
      <c r="M162" s="16" t="s">
        <v>141</v>
      </c>
      <c r="N162" s="10" t="s">
        <v>42</v>
      </c>
      <c r="O162" s="6" t="s">
        <v>313</v>
      </c>
      <c r="P162" s="7" t="s">
        <v>314</v>
      </c>
    </row>
    <row r="163" customFormat="false" ht="35.05" hidden="false" customHeight="false" outlineLevel="0" collapsed="false">
      <c r="A163" s="16" t="n">
        <v>159</v>
      </c>
      <c r="B163" s="7" t="s">
        <v>310</v>
      </c>
      <c r="C163" s="7" t="s">
        <v>99</v>
      </c>
      <c r="D163" s="7" t="s">
        <v>336</v>
      </c>
      <c r="E163" s="7" t="s">
        <v>312</v>
      </c>
      <c r="F163" s="16" t="s">
        <v>159</v>
      </c>
      <c r="G163" s="7" t="s">
        <v>139</v>
      </c>
      <c r="H163" s="7" t="s">
        <v>140</v>
      </c>
      <c r="I163" s="16"/>
      <c r="J163" s="16"/>
      <c r="K163" s="16" t="s">
        <v>141</v>
      </c>
      <c r="L163" s="16"/>
      <c r="M163" s="16" t="s">
        <v>141</v>
      </c>
      <c r="N163" s="10" t="s">
        <v>42</v>
      </c>
      <c r="O163" s="6" t="s">
        <v>313</v>
      </c>
      <c r="P163" s="7" t="s">
        <v>314</v>
      </c>
    </row>
    <row r="164" customFormat="false" ht="23.85" hidden="false" customHeight="false" outlineLevel="0" collapsed="false">
      <c r="A164" s="16" t="n">
        <v>160</v>
      </c>
      <c r="B164" s="7" t="s">
        <v>310</v>
      </c>
      <c r="C164" s="7" t="s">
        <v>99</v>
      </c>
      <c r="D164" s="7" t="s">
        <v>337</v>
      </c>
      <c r="E164" s="7" t="s">
        <v>312</v>
      </c>
      <c r="F164" s="16" t="s">
        <v>159</v>
      </c>
      <c r="G164" s="7" t="s">
        <v>139</v>
      </c>
      <c r="H164" s="7" t="s">
        <v>140</v>
      </c>
      <c r="I164" s="16" t="s">
        <v>141</v>
      </c>
      <c r="J164" s="16" t="s">
        <v>141</v>
      </c>
      <c r="K164" s="16" t="s">
        <v>141</v>
      </c>
      <c r="L164" s="16" t="s">
        <v>141</v>
      </c>
      <c r="M164" s="16" t="s">
        <v>141</v>
      </c>
      <c r="N164" s="10" t="s">
        <v>42</v>
      </c>
      <c r="O164" s="6" t="s">
        <v>313</v>
      </c>
      <c r="P164" s="7" t="s">
        <v>338</v>
      </c>
    </row>
    <row r="165" customFormat="false" ht="23.85" hidden="false" customHeight="false" outlineLevel="0" collapsed="false">
      <c r="A165" s="16" t="n">
        <v>161</v>
      </c>
      <c r="B165" s="7" t="s">
        <v>310</v>
      </c>
      <c r="C165" s="7" t="s">
        <v>99</v>
      </c>
      <c r="D165" s="7" t="s">
        <v>339</v>
      </c>
      <c r="E165" s="7" t="s">
        <v>312</v>
      </c>
      <c r="F165" s="16" t="s">
        <v>159</v>
      </c>
      <c r="G165" s="7" t="s">
        <v>139</v>
      </c>
      <c r="H165" s="7" t="s">
        <v>140</v>
      </c>
      <c r="I165" s="16" t="s">
        <v>141</v>
      </c>
      <c r="J165" s="16" t="s">
        <v>141</v>
      </c>
      <c r="K165" s="16" t="s">
        <v>141</v>
      </c>
      <c r="L165" s="16" t="s">
        <v>141</v>
      </c>
      <c r="M165" s="16" t="s">
        <v>141</v>
      </c>
      <c r="N165" s="10" t="s">
        <v>42</v>
      </c>
      <c r="O165" s="6" t="s">
        <v>313</v>
      </c>
      <c r="P165" s="7" t="s">
        <v>338</v>
      </c>
    </row>
    <row r="166" customFormat="false" ht="23.85" hidden="false" customHeight="false" outlineLevel="0" collapsed="false">
      <c r="A166" s="16" t="n">
        <v>162</v>
      </c>
      <c r="B166" s="7" t="s">
        <v>310</v>
      </c>
      <c r="C166" s="7" t="s">
        <v>99</v>
      </c>
      <c r="D166" s="7" t="s">
        <v>340</v>
      </c>
      <c r="E166" s="7" t="s">
        <v>312</v>
      </c>
      <c r="F166" s="16" t="s">
        <v>159</v>
      </c>
      <c r="G166" s="7" t="s">
        <v>139</v>
      </c>
      <c r="H166" s="7" t="s">
        <v>140</v>
      </c>
      <c r="I166" s="16" t="s">
        <v>141</v>
      </c>
      <c r="J166" s="16" t="s">
        <v>141</v>
      </c>
      <c r="K166" s="16" t="s">
        <v>141</v>
      </c>
      <c r="L166" s="16" t="s">
        <v>141</v>
      </c>
      <c r="M166" s="16" t="s">
        <v>141</v>
      </c>
      <c r="N166" s="10" t="s">
        <v>42</v>
      </c>
      <c r="O166" s="6" t="s">
        <v>313</v>
      </c>
      <c r="P166" s="7" t="s">
        <v>338</v>
      </c>
    </row>
    <row r="167" customFormat="false" ht="23.85" hidden="false" customHeight="false" outlineLevel="0" collapsed="false">
      <c r="A167" s="16" t="n">
        <v>163</v>
      </c>
      <c r="B167" s="7" t="s">
        <v>310</v>
      </c>
      <c r="C167" s="7" t="s">
        <v>99</v>
      </c>
      <c r="D167" s="7" t="s">
        <v>341</v>
      </c>
      <c r="E167" s="7" t="s">
        <v>312</v>
      </c>
      <c r="F167" s="16" t="s">
        <v>159</v>
      </c>
      <c r="G167" s="7" t="s">
        <v>139</v>
      </c>
      <c r="H167" s="7" t="s">
        <v>140</v>
      </c>
      <c r="I167" s="16" t="s">
        <v>141</v>
      </c>
      <c r="J167" s="16" t="s">
        <v>141</v>
      </c>
      <c r="K167" s="16" t="s">
        <v>141</v>
      </c>
      <c r="L167" s="16" t="s">
        <v>141</v>
      </c>
      <c r="M167" s="16" t="s">
        <v>141</v>
      </c>
      <c r="N167" s="10" t="s">
        <v>42</v>
      </c>
      <c r="O167" s="6" t="s">
        <v>313</v>
      </c>
      <c r="P167" s="7" t="s">
        <v>338</v>
      </c>
    </row>
    <row r="168" customFormat="false" ht="23.85" hidden="false" customHeight="false" outlineLevel="0" collapsed="false">
      <c r="A168" s="16" t="n">
        <v>164</v>
      </c>
      <c r="B168" s="7" t="s">
        <v>310</v>
      </c>
      <c r="C168" s="7" t="s">
        <v>99</v>
      </c>
      <c r="D168" s="7" t="s">
        <v>342</v>
      </c>
      <c r="E168" s="7" t="s">
        <v>312</v>
      </c>
      <c r="F168" s="16" t="s">
        <v>159</v>
      </c>
      <c r="G168" s="7" t="s">
        <v>139</v>
      </c>
      <c r="H168" s="7" t="s">
        <v>140</v>
      </c>
      <c r="I168" s="16" t="s">
        <v>141</v>
      </c>
      <c r="J168" s="16" t="s">
        <v>141</v>
      </c>
      <c r="K168" s="16" t="s">
        <v>141</v>
      </c>
      <c r="L168" s="16" t="s">
        <v>141</v>
      </c>
      <c r="M168" s="16" t="s">
        <v>141</v>
      </c>
      <c r="N168" s="10" t="s">
        <v>42</v>
      </c>
      <c r="O168" s="6" t="s">
        <v>313</v>
      </c>
      <c r="P168" s="7" t="s">
        <v>338</v>
      </c>
    </row>
    <row r="169" customFormat="false" ht="23.85" hidden="false" customHeight="false" outlineLevel="0" collapsed="false">
      <c r="A169" s="16" t="n">
        <v>165</v>
      </c>
      <c r="B169" s="7" t="s">
        <v>310</v>
      </c>
      <c r="C169" s="7" t="s">
        <v>100</v>
      </c>
      <c r="D169" s="7" t="s">
        <v>343</v>
      </c>
      <c r="E169" s="7" t="s">
        <v>312</v>
      </c>
      <c r="F169" s="16" t="s">
        <v>159</v>
      </c>
      <c r="G169" s="7" t="s">
        <v>139</v>
      </c>
      <c r="H169" s="7" t="s">
        <v>140</v>
      </c>
      <c r="I169" s="16" t="s">
        <v>141</v>
      </c>
      <c r="J169" s="16" t="s">
        <v>141</v>
      </c>
      <c r="K169" s="16" t="s">
        <v>141</v>
      </c>
      <c r="L169" s="16" t="s">
        <v>141</v>
      </c>
      <c r="M169" s="16" t="s">
        <v>141</v>
      </c>
      <c r="N169" s="10" t="s">
        <v>42</v>
      </c>
      <c r="O169" s="6" t="s">
        <v>313</v>
      </c>
      <c r="P169" s="7" t="s">
        <v>338</v>
      </c>
    </row>
    <row r="170" customFormat="false" ht="23.85" hidden="false" customHeight="false" outlineLevel="0" collapsed="false">
      <c r="A170" s="16" t="n">
        <v>166</v>
      </c>
      <c r="B170" s="7" t="s">
        <v>310</v>
      </c>
      <c r="C170" s="7" t="s">
        <v>99</v>
      </c>
      <c r="D170" s="7" t="s">
        <v>344</v>
      </c>
      <c r="E170" s="7" t="s">
        <v>312</v>
      </c>
      <c r="F170" s="16" t="s">
        <v>159</v>
      </c>
      <c r="G170" s="7" t="s">
        <v>139</v>
      </c>
      <c r="H170" s="7" t="s">
        <v>140</v>
      </c>
      <c r="I170" s="16" t="s">
        <v>141</v>
      </c>
      <c r="J170" s="16" t="s">
        <v>141</v>
      </c>
      <c r="K170" s="16" t="s">
        <v>141</v>
      </c>
      <c r="L170" s="16" t="s">
        <v>141</v>
      </c>
      <c r="M170" s="16" t="s">
        <v>141</v>
      </c>
      <c r="N170" s="10" t="s">
        <v>42</v>
      </c>
      <c r="O170" s="6" t="s">
        <v>313</v>
      </c>
      <c r="P170" s="7" t="s">
        <v>338</v>
      </c>
    </row>
    <row r="171" customFormat="false" ht="23.85" hidden="false" customHeight="false" outlineLevel="0" collapsed="false">
      <c r="A171" s="16" t="n">
        <v>167</v>
      </c>
      <c r="B171" s="7" t="s">
        <v>310</v>
      </c>
      <c r="C171" s="7" t="s">
        <v>99</v>
      </c>
      <c r="D171" s="7" t="s">
        <v>345</v>
      </c>
      <c r="E171" s="7" t="s">
        <v>312</v>
      </c>
      <c r="F171" s="16" t="s">
        <v>159</v>
      </c>
      <c r="G171" s="7" t="s">
        <v>139</v>
      </c>
      <c r="H171" s="7" t="s">
        <v>140</v>
      </c>
      <c r="I171" s="16" t="s">
        <v>141</v>
      </c>
      <c r="J171" s="16" t="s">
        <v>141</v>
      </c>
      <c r="K171" s="16" t="s">
        <v>141</v>
      </c>
      <c r="L171" s="16" t="s">
        <v>141</v>
      </c>
      <c r="M171" s="16" t="s">
        <v>141</v>
      </c>
      <c r="N171" s="10" t="s">
        <v>42</v>
      </c>
      <c r="O171" s="6" t="s">
        <v>313</v>
      </c>
      <c r="P171" s="7" t="s">
        <v>338</v>
      </c>
    </row>
    <row r="172" customFormat="false" ht="23.85" hidden="false" customHeight="false" outlineLevel="0" collapsed="false">
      <c r="A172" s="16" t="n">
        <v>168</v>
      </c>
      <c r="B172" s="7" t="s">
        <v>310</v>
      </c>
      <c r="C172" s="7" t="s">
        <v>99</v>
      </c>
      <c r="D172" s="7" t="s">
        <v>346</v>
      </c>
      <c r="E172" s="7" t="s">
        <v>312</v>
      </c>
      <c r="F172" s="16" t="s">
        <v>159</v>
      </c>
      <c r="G172" s="7" t="s">
        <v>139</v>
      </c>
      <c r="H172" s="7" t="s">
        <v>140</v>
      </c>
      <c r="I172" s="16" t="s">
        <v>141</v>
      </c>
      <c r="J172" s="16" t="s">
        <v>141</v>
      </c>
      <c r="K172" s="16" t="s">
        <v>141</v>
      </c>
      <c r="L172" s="16" t="s">
        <v>141</v>
      </c>
      <c r="M172" s="16" t="s">
        <v>141</v>
      </c>
      <c r="N172" s="10" t="s">
        <v>42</v>
      </c>
      <c r="O172" s="6" t="s">
        <v>313</v>
      </c>
      <c r="P172" s="7" t="s">
        <v>338</v>
      </c>
    </row>
    <row r="173" customFormat="false" ht="23.85" hidden="false" customHeight="false" outlineLevel="0" collapsed="false">
      <c r="A173" s="16" t="n">
        <v>169</v>
      </c>
      <c r="B173" s="7" t="s">
        <v>310</v>
      </c>
      <c r="C173" s="7" t="s">
        <v>99</v>
      </c>
      <c r="D173" s="7" t="s">
        <v>347</v>
      </c>
      <c r="E173" s="7" t="s">
        <v>312</v>
      </c>
      <c r="F173" s="16" t="s">
        <v>159</v>
      </c>
      <c r="G173" s="7" t="s">
        <v>139</v>
      </c>
      <c r="H173" s="7" t="s">
        <v>140</v>
      </c>
      <c r="I173" s="16" t="s">
        <v>141</v>
      </c>
      <c r="J173" s="16" t="s">
        <v>141</v>
      </c>
      <c r="K173" s="16" t="s">
        <v>141</v>
      </c>
      <c r="L173" s="16" t="s">
        <v>141</v>
      </c>
      <c r="M173" s="16" t="s">
        <v>141</v>
      </c>
      <c r="N173" s="10" t="s">
        <v>42</v>
      </c>
      <c r="O173" s="6" t="s">
        <v>313</v>
      </c>
      <c r="P173" s="7" t="s">
        <v>338</v>
      </c>
    </row>
    <row r="174" customFormat="false" ht="23.85" hidden="false" customHeight="false" outlineLevel="0" collapsed="false">
      <c r="A174" s="16" t="n">
        <v>170</v>
      </c>
      <c r="B174" s="7" t="s">
        <v>310</v>
      </c>
      <c r="C174" s="7" t="s">
        <v>99</v>
      </c>
      <c r="D174" s="7" t="s">
        <v>348</v>
      </c>
      <c r="E174" s="7" t="s">
        <v>312</v>
      </c>
      <c r="F174" s="16" t="s">
        <v>159</v>
      </c>
      <c r="G174" s="7" t="s">
        <v>139</v>
      </c>
      <c r="H174" s="7" t="s">
        <v>140</v>
      </c>
      <c r="I174" s="16" t="s">
        <v>141</v>
      </c>
      <c r="J174" s="16" t="s">
        <v>141</v>
      </c>
      <c r="K174" s="16" t="s">
        <v>141</v>
      </c>
      <c r="L174" s="16" t="s">
        <v>141</v>
      </c>
      <c r="M174" s="16" t="s">
        <v>141</v>
      </c>
      <c r="N174" s="10" t="s">
        <v>42</v>
      </c>
      <c r="O174" s="6" t="s">
        <v>313</v>
      </c>
      <c r="P174" s="7" t="s">
        <v>338</v>
      </c>
    </row>
    <row r="175" customFormat="false" ht="23.85" hidden="false" customHeight="false" outlineLevel="0" collapsed="false">
      <c r="A175" s="16" t="n">
        <v>171</v>
      </c>
      <c r="B175" s="7" t="s">
        <v>310</v>
      </c>
      <c r="C175" s="7" t="s">
        <v>99</v>
      </c>
      <c r="D175" s="7" t="s">
        <v>349</v>
      </c>
      <c r="E175" s="7" t="s">
        <v>312</v>
      </c>
      <c r="F175" s="16" t="s">
        <v>159</v>
      </c>
      <c r="G175" s="7" t="s">
        <v>139</v>
      </c>
      <c r="H175" s="7" t="s">
        <v>140</v>
      </c>
      <c r="I175" s="16" t="s">
        <v>141</v>
      </c>
      <c r="J175" s="16" t="s">
        <v>141</v>
      </c>
      <c r="K175" s="16" t="s">
        <v>141</v>
      </c>
      <c r="L175" s="16" t="s">
        <v>141</v>
      </c>
      <c r="M175" s="16" t="s">
        <v>141</v>
      </c>
      <c r="N175" s="10" t="s">
        <v>42</v>
      </c>
      <c r="O175" s="6" t="s">
        <v>313</v>
      </c>
      <c r="P175" s="7" t="s">
        <v>338</v>
      </c>
    </row>
    <row r="176" customFormat="false" ht="23.85" hidden="false" customHeight="false" outlineLevel="0" collapsed="false">
      <c r="A176" s="16" t="n">
        <v>172</v>
      </c>
      <c r="B176" s="7" t="s">
        <v>310</v>
      </c>
      <c r="C176" s="7" t="s">
        <v>99</v>
      </c>
      <c r="D176" s="7" t="s">
        <v>350</v>
      </c>
      <c r="E176" s="7" t="s">
        <v>312</v>
      </c>
      <c r="F176" s="16" t="s">
        <v>159</v>
      </c>
      <c r="G176" s="7" t="s">
        <v>139</v>
      </c>
      <c r="H176" s="7" t="s">
        <v>140</v>
      </c>
      <c r="I176" s="16" t="s">
        <v>141</v>
      </c>
      <c r="J176" s="16" t="s">
        <v>141</v>
      </c>
      <c r="K176" s="16" t="s">
        <v>141</v>
      </c>
      <c r="L176" s="16" t="s">
        <v>141</v>
      </c>
      <c r="M176" s="16" t="s">
        <v>141</v>
      </c>
      <c r="N176" s="10" t="s">
        <v>42</v>
      </c>
      <c r="O176" s="6" t="s">
        <v>313</v>
      </c>
      <c r="P176" s="7" t="s">
        <v>338</v>
      </c>
    </row>
    <row r="177" customFormat="false" ht="23.85" hidden="false" customHeight="false" outlineLevel="0" collapsed="false">
      <c r="A177" s="16" t="n">
        <v>173</v>
      </c>
      <c r="B177" s="7" t="s">
        <v>310</v>
      </c>
      <c r="C177" s="7" t="s">
        <v>99</v>
      </c>
      <c r="D177" s="7" t="s">
        <v>351</v>
      </c>
      <c r="E177" s="7" t="s">
        <v>312</v>
      </c>
      <c r="F177" s="16" t="s">
        <v>159</v>
      </c>
      <c r="G177" s="7" t="s">
        <v>139</v>
      </c>
      <c r="H177" s="7" t="s">
        <v>140</v>
      </c>
      <c r="I177" s="16" t="s">
        <v>141</v>
      </c>
      <c r="J177" s="16" t="s">
        <v>141</v>
      </c>
      <c r="K177" s="16" t="s">
        <v>141</v>
      </c>
      <c r="L177" s="16" t="s">
        <v>141</v>
      </c>
      <c r="M177" s="16" t="s">
        <v>141</v>
      </c>
      <c r="N177" s="10" t="s">
        <v>42</v>
      </c>
      <c r="O177" s="6" t="s">
        <v>313</v>
      </c>
      <c r="P177" s="7" t="s">
        <v>338</v>
      </c>
    </row>
    <row r="178" customFormat="false" ht="23.85" hidden="false" customHeight="false" outlineLevel="0" collapsed="false">
      <c r="A178" s="16" t="n">
        <v>174</v>
      </c>
      <c r="B178" s="7" t="s">
        <v>310</v>
      </c>
      <c r="C178" s="7" t="s">
        <v>99</v>
      </c>
      <c r="D178" s="7" t="s">
        <v>352</v>
      </c>
      <c r="E178" s="7" t="s">
        <v>312</v>
      </c>
      <c r="F178" s="16" t="s">
        <v>159</v>
      </c>
      <c r="G178" s="7" t="s">
        <v>139</v>
      </c>
      <c r="H178" s="7" t="s">
        <v>140</v>
      </c>
      <c r="I178" s="16" t="s">
        <v>141</v>
      </c>
      <c r="J178" s="16" t="s">
        <v>141</v>
      </c>
      <c r="K178" s="16" t="s">
        <v>141</v>
      </c>
      <c r="L178" s="16" t="s">
        <v>141</v>
      </c>
      <c r="M178" s="16" t="s">
        <v>141</v>
      </c>
      <c r="N178" s="10" t="s">
        <v>42</v>
      </c>
      <c r="O178" s="6" t="s">
        <v>313</v>
      </c>
      <c r="P178" s="7" t="s">
        <v>338</v>
      </c>
    </row>
    <row r="179" customFormat="false" ht="23.85" hidden="false" customHeight="false" outlineLevel="0" collapsed="false">
      <c r="A179" s="16" t="n">
        <v>175</v>
      </c>
      <c r="B179" s="7" t="s">
        <v>310</v>
      </c>
      <c r="C179" s="7" t="s">
        <v>99</v>
      </c>
      <c r="D179" s="7" t="s">
        <v>353</v>
      </c>
      <c r="E179" s="7" t="s">
        <v>312</v>
      </c>
      <c r="F179" s="16" t="s">
        <v>159</v>
      </c>
      <c r="G179" s="7" t="s">
        <v>139</v>
      </c>
      <c r="H179" s="7" t="s">
        <v>140</v>
      </c>
      <c r="I179" s="16" t="s">
        <v>141</v>
      </c>
      <c r="J179" s="16" t="s">
        <v>141</v>
      </c>
      <c r="K179" s="16" t="s">
        <v>141</v>
      </c>
      <c r="L179" s="16" t="s">
        <v>141</v>
      </c>
      <c r="M179" s="16" t="s">
        <v>141</v>
      </c>
      <c r="N179" s="10" t="s">
        <v>42</v>
      </c>
      <c r="O179" s="6" t="s">
        <v>313</v>
      </c>
      <c r="P179" s="7" t="s">
        <v>338</v>
      </c>
    </row>
    <row r="180" customFormat="false" ht="23.85" hidden="false" customHeight="false" outlineLevel="0" collapsed="false">
      <c r="A180" s="16" t="n">
        <v>176</v>
      </c>
      <c r="B180" s="7" t="s">
        <v>310</v>
      </c>
      <c r="C180" s="7" t="s">
        <v>99</v>
      </c>
      <c r="D180" s="7" t="s">
        <v>354</v>
      </c>
      <c r="E180" s="7" t="s">
        <v>312</v>
      </c>
      <c r="F180" s="16" t="s">
        <v>159</v>
      </c>
      <c r="G180" s="7" t="s">
        <v>139</v>
      </c>
      <c r="H180" s="7" t="s">
        <v>140</v>
      </c>
      <c r="I180" s="16" t="s">
        <v>141</v>
      </c>
      <c r="J180" s="16" t="s">
        <v>141</v>
      </c>
      <c r="K180" s="16" t="s">
        <v>141</v>
      </c>
      <c r="L180" s="16" t="s">
        <v>141</v>
      </c>
      <c r="M180" s="16" t="s">
        <v>141</v>
      </c>
      <c r="N180" s="10" t="s">
        <v>42</v>
      </c>
      <c r="O180" s="6" t="s">
        <v>313</v>
      </c>
      <c r="P180" s="7" t="s">
        <v>338</v>
      </c>
    </row>
    <row r="181" customFormat="false" ht="23.85" hidden="false" customHeight="false" outlineLevel="0" collapsed="false">
      <c r="A181" s="16" t="n">
        <v>177</v>
      </c>
      <c r="B181" s="7" t="s">
        <v>310</v>
      </c>
      <c r="C181" s="7" t="s">
        <v>99</v>
      </c>
      <c r="D181" s="7" t="s">
        <v>355</v>
      </c>
      <c r="E181" s="7" t="s">
        <v>312</v>
      </c>
      <c r="F181" s="16" t="s">
        <v>159</v>
      </c>
      <c r="G181" s="7" t="s">
        <v>139</v>
      </c>
      <c r="H181" s="7" t="s">
        <v>140</v>
      </c>
      <c r="I181" s="16" t="s">
        <v>141</v>
      </c>
      <c r="J181" s="16" t="s">
        <v>141</v>
      </c>
      <c r="K181" s="16" t="s">
        <v>141</v>
      </c>
      <c r="L181" s="16" t="s">
        <v>141</v>
      </c>
      <c r="M181" s="16" t="s">
        <v>141</v>
      </c>
      <c r="N181" s="10" t="s">
        <v>42</v>
      </c>
      <c r="O181" s="6" t="s">
        <v>313</v>
      </c>
      <c r="P181" s="7" t="s">
        <v>338</v>
      </c>
    </row>
    <row r="182" customFormat="false" ht="23.85" hidden="false" customHeight="false" outlineLevel="0" collapsed="false">
      <c r="A182" s="16" t="n">
        <v>178</v>
      </c>
      <c r="B182" s="7" t="s">
        <v>310</v>
      </c>
      <c r="C182" s="7" t="s">
        <v>99</v>
      </c>
      <c r="D182" s="7" t="s">
        <v>356</v>
      </c>
      <c r="E182" s="7" t="s">
        <v>312</v>
      </c>
      <c r="F182" s="16" t="s">
        <v>159</v>
      </c>
      <c r="G182" s="7" t="s">
        <v>139</v>
      </c>
      <c r="H182" s="7" t="s">
        <v>140</v>
      </c>
      <c r="I182" s="16" t="s">
        <v>141</v>
      </c>
      <c r="J182" s="16" t="s">
        <v>141</v>
      </c>
      <c r="K182" s="16" t="s">
        <v>141</v>
      </c>
      <c r="L182" s="16" t="s">
        <v>141</v>
      </c>
      <c r="M182" s="16" t="s">
        <v>141</v>
      </c>
      <c r="N182" s="10" t="s">
        <v>42</v>
      </c>
      <c r="O182" s="6" t="s">
        <v>313</v>
      </c>
      <c r="P182" s="7" t="s">
        <v>338</v>
      </c>
    </row>
    <row r="183" customFormat="false" ht="23.85" hidden="false" customHeight="false" outlineLevel="0" collapsed="false">
      <c r="A183" s="16" t="n">
        <v>179</v>
      </c>
      <c r="B183" s="7" t="s">
        <v>310</v>
      </c>
      <c r="C183" s="7" t="s">
        <v>100</v>
      </c>
      <c r="D183" s="7" t="s">
        <v>357</v>
      </c>
      <c r="E183" s="7" t="s">
        <v>312</v>
      </c>
      <c r="F183" s="16" t="s">
        <v>159</v>
      </c>
      <c r="G183" s="7" t="s">
        <v>139</v>
      </c>
      <c r="H183" s="7" t="s">
        <v>140</v>
      </c>
      <c r="I183" s="16" t="s">
        <v>141</v>
      </c>
      <c r="J183" s="16" t="s">
        <v>141</v>
      </c>
      <c r="K183" s="16" t="s">
        <v>141</v>
      </c>
      <c r="L183" s="16" t="s">
        <v>141</v>
      </c>
      <c r="M183" s="16" t="s">
        <v>141</v>
      </c>
      <c r="N183" s="10" t="s">
        <v>42</v>
      </c>
      <c r="O183" s="6" t="s">
        <v>313</v>
      </c>
      <c r="P183" s="7" t="s">
        <v>338</v>
      </c>
    </row>
    <row r="184" customFormat="false" ht="23.85" hidden="false" customHeight="false" outlineLevel="0" collapsed="false">
      <c r="A184" s="16" t="n">
        <v>180</v>
      </c>
      <c r="B184" s="7" t="s">
        <v>310</v>
      </c>
      <c r="C184" s="7" t="s">
        <v>101</v>
      </c>
      <c r="D184" s="7" t="s">
        <v>358</v>
      </c>
      <c r="E184" s="7" t="s">
        <v>312</v>
      </c>
      <c r="F184" s="16" t="s">
        <v>159</v>
      </c>
      <c r="G184" s="7" t="s">
        <v>139</v>
      </c>
      <c r="H184" s="7" t="s">
        <v>140</v>
      </c>
      <c r="I184" s="16" t="s">
        <v>141</v>
      </c>
      <c r="J184" s="16" t="s">
        <v>141</v>
      </c>
      <c r="K184" s="16" t="s">
        <v>141</v>
      </c>
      <c r="L184" s="16" t="s">
        <v>141</v>
      </c>
      <c r="M184" s="16" t="s">
        <v>141</v>
      </c>
      <c r="N184" s="10" t="s">
        <v>42</v>
      </c>
      <c r="O184" s="6" t="s">
        <v>313</v>
      </c>
      <c r="P184" s="7" t="s">
        <v>338</v>
      </c>
    </row>
    <row r="185" customFormat="false" ht="35.05" hidden="false" customHeight="false" outlineLevel="0" collapsed="false">
      <c r="A185" s="16" t="n">
        <v>181</v>
      </c>
      <c r="B185" s="7" t="s">
        <v>310</v>
      </c>
      <c r="C185" s="7" t="s">
        <v>103</v>
      </c>
      <c r="D185" s="7" t="s">
        <v>359</v>
      </c>
      <c r="E185" s="7" t="s">
        <v>360</v>
      </c>
      <c r="F185" s="16" t="s">
        <v>159</v>
      </c>
      <c r="G185" s="7" t="s">
        <v>139</v>
      </c>
      <c r="H185" s="7" t="s">
        <v>361</v>
      </c>
      <c r="I185" s="16" t="s">
        <v>141</v>
      </c>
      <c r="J185" s="16" t="s">
        <v>141</v>
      </c>
      <c r="K185" s="16" t="s">
        <v>141</v>
      </c>
      <c r="L185" s="16" t="s">
        <v>141</v>
      </c>
      <c r="M185" s="16" t="s">
        <v>141</v>
      </c>
      <c r="N185" s="9" t="s">
        <v>40</v>
      </c>
      <c r="O185" s="6" t="s">
        <v>362</v>
      </c>
      <c r="P185" s="7" t="s">
        <v>363</v>
      </c>
    </row>
    <row r="186" customFormat="false" ht="35.05" hidden="false" customHeight="false" outlineLevel="0" collapsed="false">
      <c r="A186" s="16" t="n">
        <v>182</v>
      </c>
      <c r="B186" s="7" t="s">
        <v>310</v>
      </c>
      <c r="C186" s="7" t="s">
        <v>105</v>
      </c>
      <c r="D186" s="7" t="s">
        <v>364</v>
      </c>
      <c r="E186" s="7" t="s">
        <v>360</v>
      </c>
      <c r="F186" s="16" t="s">
        <v>159</v>
      </c>
      <c r="G186" s="7" t="s">
        <v>139</v>
      </c>
      <c r="H186" s="7" t="s">
        <v>361</v>
      </c>
      <c r="I186" s="16" t="s">
        <v>141</v>
      </c>
      <c r="J186" s="16" t="s">
        <v>141</v>
      </c>
      <c r="K186" s="16" t="s">
        <v>141</v>
      </c>
      <c r="L186" s="16" t="s">
        <v>141</v>
      </c>
      <c r="M186" s="16" t="s">
        <v>141</v>
      </c>
      <c r="N186" s="9" t="s">
        <v>40</v>
      </c>
      <c r="O186" s="6" t="s">
        <v>362</v>
      </c>
      <c r="P186" s="7" t="s">
        <v>363</v>
      </c>
    </row>
    <row r="187" customFormat="false" ht="35.05" hidden="false" customHeight="false" outlineLevel="0" collapsed="false">
      <c r="A187" s="16" t="n">
        <v>183</v>
      </c>
      <c r="B187" s="7" t="s">
        <v>310</v>
      </c>
      <c r="C187" s="7" t="s">
        <v>102</v>
      </c>
      <c r="D187" s="7" t="s">
        <v>365</v>
      </c>
      <c r="E187" s="7" t="s">
        <v>360</v>
      </c>
      <c r="F187" s="16" t="s">
        <v>159</v>
      </c>
      <c r="G187" s="7" t="s">
        <v>139</v>
      </c>
      <c r="H187" s="7" t="s">
        <v>361</v>
      </c>
      <c r="I187" s="16" t="s">
        <v>141</v>
      </c>
      <c r="J187" s="16" t="s">
        <v>141</v>
      </c>
      <c r="K187" s="16" t="s">
        <v>141</v>
      </c>
      <c r="L187" s="16" t="s">
        <v>141</v>
      </c>
      <c r="M187" s="16" t="s">
        <v>141</v>
      </c>
      <c r="N187" s="9" t="s">
        <v>40</v>
      </c>
      <c r="O187" s="6" t="s">
        <v>362</v>
      </c>
      <c r="P187" s="7" t="s">
        <v>363</v>
      </c>
    </row>
    <row r="188" customFormat="false" ht="35.05" hidden="false" customHeight="false" outlineLevel="0" collapsed="false">
      <c r="A188" s="16" t="n">
        <v>184</v>
      </c>
      <c r="B188" s="7" t="s">
        <v>310</v>
      </c>
      <c r="C188" s="7" t="s">
        <v>101</v>
      </c>
      <c r="D188" s="7" t="s">
        <v>366</v>
      </c>
      <c r="E188" s="7" t="s">
        <v>360</v>
      </c>
      <c r="F188" s="16" t="s">
        <v>159</v>
      </c>
      <c r="G188" s="7" t="s">
        <v>139</v>
      </c>
      <c r="H188" s="7" t="s">
        <v>361</v>
      </c>
      <c r="I188" s="16" t="s">
        <v>141</v>
      </c>
      <c r="J188" s="16" t="s">
        <v>141</v>
      </c>
      <c r="K188" s="16" t="s">
        <v>141</v>
      </c>
      <c r="L188" s="16" t="s">
        <v>141</v>
      </c>
      <c r="M188" s="16" t="s">
        <v>141</v>
      </c>
      <c r="N188" s="9" t="s">
        <v>40</v>
      </c>
      <c r="O188" s="6" t="s">
        <v>362</v>
      </c>
      <c r="P188" s="7" t="s">
        <v>363</v>
      </c>
    </row>
    <row r="189" customFormat="false" ht="35.05" hidden="false" customHeight="false" outlineLevel="0" collapsed="false">
      <c r="A189" s="16" t="n">
        <v>185</v>
      </c>
      <c r="B189" s="7" t="s">
        <v>310</v>
      </c>
      <c r="C189" s="7" t="s">
        <v>101</v>
      </c>
      <c r="D189" s="7" t="s">
        <v>367</v>
      </c>
      <c r="E189" s="7" t="s">
        <v>360</v>
      </c>
      <c r="F189" s="16" t="s">
        <v>159</v>
      </c>
      <c r="G189" s="7" t="s">
        <v>139</v>
      </c>
      <c r="H189" s="7" t="s">
        <v>361</v>
      </c>
      <c r="I189" s="16" t="s">
        <v>141</v>
      </c>
      <c r="J189" s="16" t="s">
        <v>141</v>
      </c>
      <c r="K189" s="16" t="s">
        <v>141</v>
      </c>
      <c r="L189" s="16" t="s">
        <v>141</v>
      </c>
      <c r="M189" s="16" t="s">
        <v>141</v>
      </c>
      <c r="N189" s="9" t="s">
        <v>40</v>
      </c>
      <c r="O189" s="6" t="s">
        <v>362</v>
      </c>
      <c r="P189" s="7" t="s">
        <v>363</v>
      </c>
    </row>
    <row r="190" customFormat="false" ht="35.05" hidden="false" customHeight="false" outlineLevel="0" collapsed="false">
      <c r="A190" s="16" t="n">
        <v>186</v>
      </c>
      <c r="B190" s="7" t="s">
        <v>310</v>
      </c>
      <c r="C190" s="7" t="s">
        <v>102</v>
      </c>
      <c r="D190" s="7" t="s">
        <v>368</v>
      </c>
      <c r="E190" s="7" t="s">
        <v>360</v>
      </c>
      <c r="F190" s="16" t="s">
        <v>159</v>
      </c>
      <c r="G190" s="7" t="s">
        <v>139</v>
      </c>
      <c r="H190" s="7" t="s">
        <v>361</v>
      </c>
      <c r="I190" s="16" t="s">
        <v>141</v>
      </c>
      <c r="J190" s="16" t="s">
        <v>141</v>
      </c>
      <c r="K190" s="16" t="s">
        <v>141</v>
      </c>
      <c r="L190" s="16" t="s">
        <v>141</v>
      </c>
      <c r="M190" s="16" t="s">
        <v>141</v>
      </c>
      <c r="N190" s="9" t="s">
        <v>40</v>
      </c>
      <c r="O190" s="6" t="s">
        <v>362</v>
      </c>
      <c r="P190" s="7" t="s">
        <v>363</v>
      </c>
    </row>
    <row r="191" customFormat="false" ht="35.05" hidden="false" customHeight="false" outlineLevel="0" collapsed="false">
      <c r="A191" s="16" t="n">
        <v>187</v>
      </c>
      <c r="B191" s="7" t="s">
        <v>310</v>
      </c>
      <c r="C191" s="7" t="s">
        <v>103</v>
      </c>
      <c r="D191" s="7" t="s">
        <v>369</v>
      </c>
      <c r="E191" s="7" t="s">
        <v>360</v>
      </c>
      <c r="F191" s="16" t="s">
        <v>159</v>
      </c>
      <c r="G191" s="7" t="s">
        <v>139</v>
      </c>
      <c r="H191" s="7" t="s">
        <v>361</v>
      </c>
      <c r="I191" s="16" t="s">
        <v>141</v>
      </c>
      <c r="J191" s="16" t="s">
        <v>141</v>
      </c>
      <c r="K191" s="16" t="s">
        <v>141</v>
      </c>
      <c r="L191" s="16" t="s">
        <v>141</v>
      </c>
      <c r="M191" s="16" t="s">
        <v>141</v>
      </c>
      <c r="N191" s="9" t="s">
        <v>40</v>
      </c>
      <c r="O191" s="6" t="s">
        <v>362</v>
      </c>
      <c r="P191" s="7" t="s">
        <v>363</v>
      </c>
    </row>
    <row r="192" customFormat="false" ht="35.05" hidden="false" customHeight="false" outlineLevel="0" collapsed="false">
      <c r="A192" s="16" t="n">
        <v>188</v>
      </c>
      <c r="B192" s="7" t="s">
        <v>310</v>
      </c>
      <c r="C192" s="7" t="s">
        <v>103</v>
      </c>
      <c r="D192" s="7" t="s">
        <v>370</v>
      </c>
      <c r="E192" s="7" t="s">
        <v>360</v>
      </c>
      <c r="F192" s="16" t="s">
        <v>159</v>
      </c>
      <c r="G192" s="7" t="s">
        <v>139</v>
      </c>
      <c r="H192" s="7" t="s">
        <v>361</v>
      </c>
      <c r="I192" s="16" t="s">
        <v>141</v>
      </c>
      <c r="J192" s="16" t="s">
        <v>141</v>
      </c>
      <c r="K192" s="16" t="s">
        <v>141</v>
      </c>
      <c r="L192" s="16" t="s">
        <v>141</v>
      </c>
      <c r="M192" s="16" t="s">
        <v>141</v>
      </c>
      <c r="N192" s="9" t="s">
        <v>40</v>
      </c>
      <c r="O192" s="6" t="s">
        <v>362</v>
      </c>
      <c r="P192" s="7" t="s">
        <v>363</v>
      </c>
    </row>
    <row r="193" customFormat="false" ht="35.05" hidden="false" customHeight="false" outlineLevel="0" collapsed="false">
      <c r="A193" s="16" t="n">
        <v>189</v>
      </c>
      <c r="B193" s="7" t="s">
        <v>310</v>
      </c>
      <c r="C193" s="7" t="s">
        <v>100</v>
      </c>
      <c r="D193" s="7" t="s">
        <v>371</v>
      </c>
      <c r="E193" s="7" t="s">
        <v>360</v>
      </c>
      <c r="F193" s="16" t="s">
        <v>159</v>
      </c>
      <c r="G193" s="7" t="s">
        <v>139</v>
      </c>
      <c r="H193" s="7" t="s">
        <v>361</v>
      </c>
      <c r="I193" s="16" t="s">
        <v>141</v>
      </c>
      <c r="J193" s="16" t="s">
        <v>141</v>
      </c>
      <c r="K193" s="16" t="s">
        <v>141</v>
      </c>
      <c r="L193" s="16" t="s">
        <v>141</v>
      </c>
      <c r="M193" s="16" t="s">
        <v>141</v>
      </c>
      <c r="N193" s="9" t="s">
        <v>40</v>
      </c>
      <c r="O193" s="6" t="s">
        <v>362</v>
      </c>
      <c r="P193" s="7" t="s">
        <v>363</v>
      </c>
    </row>
  </sheetData>
  <autoFilter ref="A4:P193"/>
  <hyperlinks>
    <hyperlink ref="O5" r:id="rId1" display="https://loja.sebrae.com.br/cursos/cursos-online"/>
    <hyperlink ref="O6" r:id="rId2" display="https://loja.sebrae.com.br/cursos/cursos-online"/>
    <hyperlink ref="O7" r:id="rId3" display="https://loja.sebrae.com.br/cursos/cursos-online"/>
    <hyperlink ref="O8" r:id="rId4" display="https://loja.sebrae.com.br/cursos/cursos-online"/>
    <hyperlink ref="O9" r:id="rId5" display="https://loja.sebrae.com.br/cursos/cursos-online"/>
    <hyperlink ref="O10" r:id="rId6" display="https://loja.sebrae.com.br/cursos/cursos-online"/>
    <hyperlink ref="O11" r:id="rId7" display="https://loja.sebrae.com.br/cursos/cursos-online"/>
    <hyperlink ref="O12" r:id="rId8" display="https://loja.sebrae.com.br/cursos/cursos-online"/>
    <hyperlink ref="O13" r:id="rId9" display="https://loja.sebrae.com.br/cursos/cursos-online"/>
    <hyperlink ref="O14" r:id="rId10" display="https://loja.sebrae.com.br/cursos/cursos-online"/>
    <hyperlink ref="O15" r:id="rId11" display="https://loja.sebrae.com.br/cursos/cursos-online"/>
    <hyperlink ref="O16" r:id="rId12" display="https://loja.sebrae.com.br/cursos/cursos-online"/>
    <hyperlink ref="O17" r:id="rId13" display="https://loja.sebrae.com.br/cursos/cursos-online"/>
    <hyperlink ref="O18" r:id="rId14" display="https://loja.sebrae.com.br/cursos/cursos-online"/>
    <hyperlink ref="O19" r:id="rId15" display="https://loja.sebrae.com.br/cursos/cursos-online"/>
    <hyperlink ref="O20" r:id="rId16" display="https://loja.sebrae.com.br/cursos/cursos-online"/>
    <hyperlink ref="O21" r:id="rId17" display="https://loja.sebrae.com.br/cursos/cursos-online"/>
    <hyperlink ref="O22" r:id="rId18" display="https://loja.sebrae.com.br/cursos/cursos-online"/>
    <hyperlink ref="O23" r:id="rId19" display="https://loja.sebrae.com.br/cursos/cursos-online"/>
    <hyperlink ref="O24" r:id="rId20" display="https://loja.sebrae.com.br/cursos/cursos-online"/>
    <hyperlink ref="O25" r:id="rId21" display="https://loja.sebrae.com.br/cursos/cursos-online"/>
    <hyperlink ref="O26" r:id="rId22" display="https://loja.sebrae.com.br/cursos/cursos-online"/>
    <hyperlink ref="O27" r:id="rId23" display="https://loja.sebrae.com.br/cursos/cursos-online"/>
    <hyperlink ref="O28" r:id="rId24" display="https://loja.sebrae.com.br/cursos/cursos-online"/>
    <hyperlink ref="O29" r:id="rId25" display="https://loja.sebrae.com.br/cursos/cursos-online"/>
    <hyperlink ref="O30" r:id="rId26" display="https://loja.sebrae.com.br/cursos/cursos-online"/>
    <hyperlink ref="O31" r:id="rId27" display="https://loja.sebrae.com.br/cursos/cursos-online"/>
    <hyperlink ref="O32" r:id="rId28" display="https://loja.sebrae.com.br/cursos/cursos-online"/>
    <hyperlink ref="O33" r:id="rId29" display="https://loja.sebrae.com.br/cursos/cursos-online"/>
    <hyperlink ref="O34" r:id="rId30" display="https://loja.sebrae.com.br/cursos/cursos-online"/>
    <hyperlink ref="O35" r:id="rId31" display="https://loja.sebrae.com.br/cursos/cursos-online"/>
    <hyperlink ref="O36" r:id="rId32" display="https://loja.sebrae.com.br/cursos/cursos-online"/>
    <hyperlink ref="O37" r:id="rId33" display="https://loja.sebrae.com.br/cursos/cursos-online"/>
    <hyperlink ref="O38" r:id="rId34" display="https://loja.sebrae.com.br/cursos/cursos-online"/>
    <hyperlink ref="O39" r:id="rId35" display="https://loja.sebrae.com.br/cursos/cursos-online"/>
    <hyperlink ref="O40" r:id="rId36" display="https://loja.sebrae.com.br/cursos/cursos-online"/>
    <hyperlink ref="O41" r:id="rId37" display="https://loja.sebrae.com.br/cursos/cursos-online"/>
    <hyperlink ref="O42" r:id="rId38" display="https://loja.sebrae.com.br/cursos/cursos-online"/>
    <hyperlink ref="O43" r:id="rId39" display="https://loja.sebrae.com.br/cursos/cursos-online"/>
    <hyperlink ref="O44" r:id="rId40" display="https://loja.sebrae.com.br/cursos/cursos-online"/>
    <hyperlink ref="O45" r:id="rId41" display="https://loja.sebrae.com.br/cursos/cursos-online"/>
    <hyperlink ref="O46" r:id="rId42" display="https://loja.sebrae.com.br/cursos/cursos-online"/>
    <hyperlink ref="O47" r:id="rId43" display="https://loja.sebrae.com.br/cursos/cursos-online"/>
    <hyperlink ref="O48" r:id="rId44" display="https://loja.sebrae.com.br/cursos/cursos-online"/>
    <hyperlink ref="O49" r:id="rId45" display="https://loja.sebrae.com.br/cursos/cursos-online"/>
    <hyperlink ref="O50" r:id="rId46" display="https://loja.sebrae.com.br/cursos/cursos-online"/>
    <hyperlink ref="O51" r:id="rId47" display="https://loja.sebrae.com.br/cursos/cursos-online"/>
    <hyperlink ref="O52" r:id="rId48" display="https://loja.sebrae.com.br/cursos/cursos-online"/>
    <hyperlink ref="O53" r:id="rId49" display="https://loja.sebrae.com.br/cursos/cursos-online"/>
    <hyperlink ref="O54" r:id="rId50" display="https://loja.sebrae.com.br/cursos/cursos-online"/>
    <hyperlink ref="O55" r:id="rId51" display="https://loja.sebrae.com.br/cursos/cursos-online"/>
    <hyperlink ref="O56" r:id="rId52" display="https://loja.sebrae.com.br/cursos/cursos-online"/>
    <hyperlink ref="O57" r:id="rId53" display="https://loja.sebrae.com.br/cursos/cursos-online"/>
    <hyperlink ref="O58" r:id="rId54" display="https://loja.sebrae.com.br/cursos/cursos-online"/>
    <hyperlink ref="O59" r:id="rId55" display="https://loja.sebrae.com.br/cursos/cursos-online"/>
    <hyperlink ref="O60" r:id="rId56" display="https://loja.sebrae.com.br/cursos/cursos-online"/>
    <hyperlink ref="O61" r:id="rId57" display="https://loja.sebrae.com.br/cursos/cursos-online"/>
    <hyperlink ref="O62" r:id="rId58" display="https://loja.sebrae.com.br/cursos/cursos-online"/>
    <hyperlink ref="O63" r:id="rId59" display="https://loja.sebrae.com.br/cursos/cursos-online"/>
    <hyperlink ref="O64" r:id="rId60" display="https://loja.sebrae.com.br/cursos/cursos-online"/>
    <hyperlink ref="O65" r:id="rId61" display="https://loja.sebrae.com.br/cursos/cursos-online"/>
    <hyperlink ref="O66" r:id="rId62" display="https://loja.sebrae.com.br/cursos/cursos-online"/>
    <hyperlink ref="O67" r:id="rId63" display="https://loja.sebrae.com.br/cursos/cursos-online"/>
    <hyperlink ref="O68" r:id="rId64" display="https://loja.sebrae.com.br/cursos/cursos-online"/>
    <hyperlink ref="O69" r:id="rId65" display="https://loja.sebrae.com.br/cursos/cursos-online"/>
    <hyperlink ref="O70" r:id="rId66" display="https://loja.sebrae.com.br/cursos/cursos-online"/>
    <hyperlink ref="O71" r:id="rId67" display="https://loja.sebrae.com.br/cursos/cursos-online"/>
    <hyperlink ref="O72" r:id="rId68" display="https://loja.sebrae.com.br/cursos/cursos-online"/>
    <hyperlink ref="O73" r:id="rId69" display="https://loja.sebrae.com.br/cursos/cursos-online"/>
    <hyperlink ref="O74" r:id="rId70" display="https://loja.sebrae.com.br/cursos/cursos-online"/>
    <hyperlink ref="O75" r:id="rId71" display="https://loja.sebrae.com.br/cursos/cursos-online"/>
    <hyperlink ref="O76" r:id="rId72" display="https://loja.sebrae.com.br/cursos/cursos-online"/>
    <hyperlink ref="O77" r:id="rId73" display="https://loja.sebrae.com.br/cursos/cursos-online"/>
    <hyperlink ref="O78" r:id="rId74" display="https://loja.sebrae.com.br/cursos/cursos-online"/>
    <hyperlink ref="O79" r:id="rId75" display="https://loja.sebrae.com.br/cursos/cursos-online"/>
    <hyperlink ref="O80" r:id="rId76" display="https://www.ev.org.br/cursos"/>
    <hyperlink ref="O81" r:id="rId77" display="https://www.ev.org.br/cursos"/>
    <hyperlink ref="O82" r:id="rId78" display="https://www.ev.org.br/cursos"/>
    <hyperlink ref="O83" r:id="rId79" display="https://www.ev.org.br/cursos"/>
    <hyperlink ref="O84" r:id="rId80" display="https://www.ev.org.br/cursos"/>
    <hyperlink ref="O85" r:id="rId81" display="https://www.ev.org.br/cursos"/>
    <hyperlink ref="O86" r:id="rId82" display="https://www.ev.org.br/cursos"/>
    <hyperlink ref="O87" r:id="rId83" display="https://www.ev.org.br/cursos"/>
    <hyperlink ref="O88" r:id="rId84" display="https://www.ev.org.br/cursos"/>
    <hyperlink ref="O89" r:id="rId85" display="https://www.ev.org.br/cursos"/>
    <hyperlink ref="O90" r:id="rId86" display="https://www.ev.org.br/cursos"/>
    <hyperlink ref="O91" r:id="rId87" display="https://www.ev.org.br/cursos"/>
    <hyperlink ref="O92" r:id="rId88" display="https://www.sp.senai.br/cursos"/>
    <hyperlink ref="O93" r:id="rId89" display="https://www.sp.senai.br/cursos"/>
    <hyperlink ref="O94" r:id="rId90" display="https://www.sp.senai.br/cursos"/>
    <hyperlink ref="O95" r:id="rId91" display="https://www.sp.senai.br/cursos"/>
    <hyperlink ref="O96" r:id="rId92" display="https://www.sp.senai.br/cursos"/>
    <hyperlink ref="O97" r:id="rId93" display="https://www.sp.senai.br/cursos"/>
    <hyperlink ref="O98" r:id="rId94" display="https://www.sp.senai.br/cursos"/>
    <hyperlink ref="O99" r:id="rId95" display="https://www.sp.senai.br/cursos"/>
    <hyperlink ref="O100" r:id="rId96" display="https://www.sp.senai.br/cursos"/>
    <hyperlink ref="O101" r:id="rId97" display="https://www.sp.senai.br/cursos"/>
    <hyperlink ref="O102" r:id="rId98" display="https://concursosnobrasil.com/educacao/2023/05/25/senai-oferece-mais-de-200-cursos-on-line-e-gratuitos-a-distancia/"/>
    <hyperlink ref="O103" r:id="rId99" display="https://concursosnobrasil.com/educacao/2023/05/25/senai-oferece-mais-de-200-cursos-on-line-e-gratuitos-a-distancia/"/>
    <hyperlink ref="O104" r:id="rId100" display="https://concursosnobrasil.com/educacao/2023/05/25/senai-oferece-mais-de-200-cursos-on-line-e-gratuitos-a-distancia/"/>
    <hyperlink ref="O105" r:id="rId101" display="https://concursosnobrasil.com/educacao/2023/05/25/senai-oferece-mais-de-200-cursos-on-line-e-gratuitos-a-distancia/"/>
    <hyperlink ref="O106" r:id="rId102" display="https://concursosnobrasil.com/educacao/2023/05/25/senai-oferece-mais-de-200-cursos-on-line-e-gratuitos-a-distancia/"/>
    <hyperlink ref="O107" r:id="rId103" display="https://concursosnobrasil.com/educacao/2023/05/25/senai-oferece-mais-de-200-cursos-on-line-e-gratuitos-a-distancia/"/>
    <hyperlink ref="O108" r:id="rId104" display="https://concursosnobrasil.com/educacao/2023/05/25/senai-oferece-mais-de-200-cursos-on-line-e-gratuitos-a-distancia/"/>
    <hyperlink ref="O109" r:id="rId105" display="https://concursosnobrasil.com/educacao/2023/05/25/senai-oferece-mais-de-200-cursos-on-line-e-gratuitos-a-distancia/"/>
    <hyperlink ref="O110" r:id="rId106" display="https://concursosnobrasil.com/educacao/2023/05/25/senai-oferece-mais-de-200-cursos-on-line-e-gratuitos-a-distancia/"/>
    <hyperlink ref="O111" r:id="rId107" display="https://concursosnobrasil.com/educacao/2023/05/25/senai-oferece-mais-de-200-cursos-on-line-e-gratuitos-a-distancia/"/>
    <hyperlink ref="O112" r:id="rId108" display="https://concursosnobrasil.com/educacao/2023/05/25/senai-oferece-mais-de-200-cursos-on-line-e-gratuitos-a-distancia/"/>
    <hyperlink ref="O113" r:id="rId109" display="https://concursosnobrasil.com/educacao/2023/05/25/senai-oferece-mais-de-200-cursos-on-line-e-gratuitos-a-distancia/"/>
    <hyperlink ref="O114" r:id="rId110" display="https://concursosnobrasil.com/educacao/2023/05/25/senai-oferece-mais-de-200-cursos-on-line-e-gratuitos-a-distancia/"/>
    <hyperlink ref="O115" r:id="rId111" display="https://concursosnobrasil.com/educacao/2023/05/25/senai-oferece-mais-de-200-cursos-on-line-e-gratuitos-a-distancia/"/>
    <hyperlink ref="O116" r:id="rId112" display="https://concursosnobrasil.com/educacao/2023/05/25/senai-oferece-mais-de-200-cursos-on-line-e-gratuitos-a-distancia/"/>
    <hyperlink ref="O117" r:id="rId113" display="https://concursosnobrasil.com/educacao/2023/05/25/senai-oferece-mais-de-200-cursos-on-line-e-gratuitos-a-distancia/"/>
    <hyperlink ref="O118" r:id="rId114" display="https://concursosnobrasil.com/educacao/2023/05/25/senai-oferece-mais-de-200-cursos-on-line-e-gratuitos-a-distancia/"/>
    <hyperlink ref="O119" r:id="rId115" display="https://concursosnobrasil.com/educacao/2022/04/28/sest-senat-oferece-160-cursos-online-gratuitos-veja-opcoes/"/>
    <hyperlink ref="O120" r:id="rId116" display="https://concursosnobrasil.com/educacao/2022/04/28/sest-senat-oferece-160-cursos-online-gratuitos-veja-opcoes/"/>
    <hyperlink ref="O121" r:id="rId117" display="https://concursosnobrasil.com/educacao/2022/04/28/sest-senat-oferece-160-cursos-online-gratuitos-veja-opcoes/"/>
    <hyperlink ref="O122" r:id="rId118" display="https://concursosnobrasil.com/educacao/2022/04/28/sest-senat-oferece-160-cursos-online-gratuitos-veja-opcoes/"/>
    <hyperlink ref="O123" r:id="rId119" display="https://concursosnobrasil.com/educacao/2022/04/28/sest-senat-oferece-160-cursos-online-gratuitos-veja-opcoes/"/>
    <hyperlink ref="O124" r:id="rId120" display="https://concursosnobrasil.com/educacao/2022/04/28/sest-senat-oferece-160-cursos-online-gratuitos-veja-opcoes/"/>
    <hyperlink ref="O125" r:id="rId121" display="https://concursosnobrasil.com/educacao/2022/04/28/sest-senat-oferece-160-cursos-online-gratuitos-veja-opcoes/"/>
    <hyperlink ref="O126" r:id="rId122" display="https://concursosnobrasil.com/educacao/2022/04/28/sest-senat-oferece-160-cursos-online-gratuitos-veja-opcoes/"/>
    <hyperlink ref="O127" r:id="rId123" display="https://concursosnobrasil.com/educacao/2022/04/28/sest-senat-oferece-160-cursos-online-gratuitos-veja-opcoes/"/>
    <hyperlink ref="O128" r:id="rId124" display="https://concursosnobrasil.com/educacao/2022/04/28/sest-senat-oferece-160-cursos-online-gratuitos-veja-opcoes/"/>
    <hyperlink ref="O129" r:id="rId125" display="https://concursosnobrasil.com/educacao/2022/04/28/sest-senat-oferece-160-cursos-online-gratuitos-veja-opcoes/"/>
    <hyperlink ref="O130" r:id="rId126" display="https://concursosnobrasil.com/educacao/2022/04/28/sest-senat-oferece-160-cursos-online-gratuitos-veja-opcoes/"/>
    <hyperlink ref="O131" r:id="rId127" display="https://concursosnobrasil.com/educacao/2022/04/28/sest-senat-oferece-160-cursos-online-gratuitos-veja-opcoes/"/>
    <hyperlink ref="O132" r:id="rId128" display="https://concursosnobrasil.com/educacao/2022/04/28/sest-senat-oferece-160-cursos-online-gratuitos-veja-opcoes/"/>
    <hyperlink ref="O133" r:id="rId129" display="https://brasil61.com/n/mtur-abre-inscricoes-para-mais-de-20-cursos-gratuitos-na-area-do-turismo-bras214762"/>
    <hyperlink ref="O134" r:id="rId130" display="https://brasil61.com/n/mtur-abre-inscricoes-para-mais-de-20-cursos-gratuitos-na-area-do-turismo-bras214762"/>
    <hyperlink ref="O135" r:id="rId131" display="https://brasil61.com/n/mtur-abre-inscricoes-para-mais-de-20-cursos-gratuitos-na-area-do-turismo-bras214762"/>
    <hyperlink ref="O136" r:id="rId132" display="https://brasil61.com/n/mtur-abre-inscricoes-para-mais-de-20-cursos-gratuitos-na-area-do-turismo-bras214762"/>
    <hyperlink ref="O137" r:id="rId133" display="https://brasil61.com/n/mtur-abre-inscricoes-para-mais-de-20-cursos-gratuitos-na-area-do-turismo-bras214762"/>
    <hyperlink ref="O138" r:id="rId134" display="https://brasil61.com/n/mtur-abre-inscricoes-para-mais-de-20-cursos-gratuitos-na-area-do-turismo-bras214762"/>
    <hyperlink ref="O139" r:id="rId135" display="https://brasil61.com/n/mtur-abre-inscricoes-para-mais-de-20-cursos-gratuitos-na-area-do-turismo-bras214762"/>
    <hyperlink ref="O140" r:id="rId136" display="https://www.escolavirtual.gov.br/catalogo"/>
    <hyperlink ref="O141" r:id="rId137" display="https://www.escolavirtual.gov.br/catalogo"/>
    <hyperlink ref="O142" r:id="rId138" display="https://ead.senar.org.br/cursos"/>
    <hyperlink ref="O143" r:id="rId139" display="https://ead.senar.org.br/cursos"/>
    <hyperlink ref="O144" r:id="rId140" display="https://ead.senar.org.br/cursos"/>
    <hyperlink ref="O145" r:id="rId141" display="https://ead.senar.org.br/cursos"/>
    <hyperlink ref="O146" r:id="rId142" display="https://ead.senar.org.br/cursos"/>
    <hyperlink ref="O147" r:id="rId143" display="https://ead.senar.org.br/cursos"/>
    <hyperlink ref="O148" r:id="rId144" display="https://ead.senar.org.br/cursos"/>
    <hyperlink ref="O149" r:id="rId145" display="https://ead.senar.org.br/cursos"/>
    <hyperlink ref="O150" r:id="rId146" display="https://ead.senar.org.br/cursos"/>
    <hyperlink ref="O151" r:id="rId147" display="https://ead.senar.org.br/cursos"/>
    <hyperlink ref="O152" r:id="rId148" display="https://ead.senar.org.br/cursos"/>
    <hyperlink ref="O153" r:id="rId149" display="https://ead.senar.org.br/cursos"/>
    <hyperlink ref="O154" r:id="rId150" display="https://ead.senar.org.br/cursos"/>
    <hyperlink ref="O155" r:id="rId151" display="https://ead.senar.org.br/cursos"/>
    <hyperlink ref="O156" r:id="rId152" display="https://ead.senar.org.br/cursos"/>
    <hyperlink ref="O157" r:id="rId153" display="https://ead.senar.org.br/cursos"/>
    <hyperlink ref="O158" r:id="rId154" display="https://ead.senar.org.br/cursos"/>
    <hyperlink ref="O159" r:id="rId155" display="https://ead.senar.org.br/cursos"/>
    <hyperlink ref="O160" r:id="rId156" display="https://ead.senar.org.br/cursos"/>
    <hyperlink ref="O161" r:id="rId157" display="https://ead.senar.org.br/cursos"/>
    <hyperlink ref="O162" r:id="rId158" display="https://ead.senar.org.br/cursos"/>
    <hyperlink ref="O163" r:id="rId159" display="https://ead.senar.org.br/cursos"/>
    <hyperlink ref="O164" r:id="rId160" display="https://ead.senar.org.br/cursos"/>
    <hyperlink ref="O165" r:id="rId161" display="https://ead.senar.org.br/cursos"/>
    <hyperlink ref="O166" r:id="rId162" display="https://ead.senar.org.br/cursos"/>
    <hyperlink ref="O167" r:id="rId163" display="https://ead.senar.org.br/cursos"/>
    <hyperlink ref="O168" r:id="rId164" display="https://ead.senar.org.br/cursos"/>
    <hyperlink ref="O169" r:id="rId165" display="https://ead.senar.org.br/cursos"/>
    <hyperlink ref="O170" r:id="rId166" display="https://ead.senar.org.br/cursos"/>
    <hyperlink ref="O171" r:id="rId167" display="https://ead.senar.org.br/cursos"/>
    <hyperlink ref="O172" r:id="rId168" display="https://ead.senar.org.br/cursos"/>
    <hyperlink ref="O173" r:id="rId169" display="https://ead.senar.org.br/cursos"/>
    <hyperlink ref="O174" r:id="rId170" display="https://ead.senar.org.br/cursos"/>
    <hyperlink ref="O175" r:id="rId171" display="https://ead.senar.org.br/cursos"/>
    <hyperlink ref="O176" r:id="rId172" display="https://ead.senar.org.br/cursos"/>
    <hyperlink ref="O177" r:id="rId173" display="https://ead.senar.org.br/cursos"/>
    <hyperlink ref="O178" r:id="rId174" display="https://ead.senar.org.br/cursos"/>
    <hyperlink ref="O179" r:id="rId175" display="https://ead.senar.org.br/cursos"/>
    <hyperlink ref="O180" r:id="rId176" display="https://ead.senar.org.br/cursos"/>
    <hyperlink ref="O181" r:id="rId177" display="https://ead.senar.org.br/cursos"/>
    <hyperlink ref="O182" r:id="rId178" display="https://ead.senar.org.br/cursos"/>
    <hyperlink ref="O183" r:id="rId179" display="https://ead.senar.org.br/cursos"/>
    <hyperlink ref="O184" r:id="rId180" display="https://ead.senar.org.br/cursos"/>
    <hyperlink ref="O185" r:id="rId181" display="https://www.ead.senac.br/gratuito/"/>
    <hyperlink ref="O186" r:id="rId182" display="https://www.ead.senac.br/gratuito/"/>
    <hyperlink ref="O187" r:id="rId183" display="https://www.ead.senac.br/gratuito/"/>
    <hyperlink ref="O188" r:id="rId184" display="https://www.ead.senac.br/gratuito/"/>
    <hyperlink ref="O189" r:id="rId185" display="https://www.ead.senac.br/gratuito/"/>
    <hyperlink ref="O190" r:id="rId186" display="https://www.ead.senac.br/gratuito/"/>
    <hyperlink ref="O191" r:id="rId187" display="https://www.ead.senac.br/gratuito/"/>
    <hyperlink ref="O192" r:id="rId188" display="https://www.ead.senac.br/gratuito/"/>
    <hyperlink ref="O193" r:id="rId189" display="https://www.ead.senac.br/gratuito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9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B3C"/>
    <pageSetUpPr fitToPage="tru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40"/>
    <col collapsed="false" customWidth="true" hidden="false" outlineLevel="0" max="4" min="4" style="0" width="70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1" t="s">
        <v>372</v>
      </c>
    </row>
    <row r="2" customFormat="false" ht="15" hidden="false" customHeight="false" outlineLevel="0" collapsed="false">
      <c r="A2" s="2" t="s">
        <v>373</v>
      </c>
    </row>
    <row r="4" customFormat="false" ht="31.5" hidden="false" customHeight="true" outlineLevel="0" collapsed="false">
      <c r="A4" s="11" t="s">
        <v>374</v>
      </c>
      <c r="B4" s="11" t="s">
        <v>375</v>
      </c>
      <c r="C4" s="11" t="s">
        <v>376</v>
      </c>
      <c r="D4" s="11" t="s">
        <v>377</v>
      </c>
      <c r="E4" s="11" t="s">
        <v>378</v>
      </c>
    </row>
    <row r="5" customFormat="false" ht="23.85" hidden="false" customHeight="false" outlineLevel="0" collapsed="false">
      <c r="A5" s="15" t="s">
        <v>92</v>
      </c>
      <c r="B5" s="19" t="n">
        <v>0.058</v>
      </c>
      <c r="C5" s="7" t="s">
        <v>379</v>
      </c>
      <c r="D5" s="7" t="s">
        <v>380</v>
      </c>
      <c r="E5" s="7" t="s">
        <v>381</v>
      </c>
    </row>
    <row r="6" customFormat="false" ht="35.05" hidden="false" customHeight="false" outlineLevel="0" collapsed="false">
      <c r="A6" s="15" t="s">
        <v>93</v>
      </c>
      <c r="B6" s="19" t="n">
        <v>0.138</v>
      </c>
      <c r="C6" s="7" t="s">
        <v>382</v>
      </c>
      <c r="D6" s="7" t="s">
        <v>383</v>
      </c>
      <c r="E6" s="7" t="s">
        <v>384</v>
      </c>
    </row>
    <row r="7" customFormat="false" ht="23.85" hidden="false" customHeight="false" outlineLevel="0" collapsed="false">
      <c r="A7" s="15" t="s">
        <v>94</v>
      </c>
      <c r="B7" s="19" t="n">
        <v>0.106</v>
      </c>
      <c r="C7" s="7" t="s">
        <v>385</v>
      </c>
      <c r="D7" s="7" t="s">
        <v>386</v>
      </c>
      <c r="E7" s="7" t="s">
        <v>387</v>
      </c>
    </row>
    <row r="8" customFormat="false" ht="35.05" hidden="false" customHeight="false" outlineLevel="0" collapsed="false">
      <c r="A8" s="15" t="s">
        <v>95</v>
      </c>
      <c r="B8" s="19" t="n">
        <v>0.53</v>
      </c>
      <c r="C8" s="7" t="s">
        <v>388</v>
      </c>
      <c r="D8" s="7" t="s">
        <v>389</v>
      </c>
      <c r="E8" s="7" t="s">
        <v>390</v>
      </c>
    </row>
    <row r="9" customFormat="false" ht="23.85" hidden="false" customHeight="false" outlineLevel="0" collapsed="false">
      <c r="A9" s="15" t="s">
        <v>96</v>
      </c>
      <c r="B9" s="19" t="n">
        <v>0.168</v>
      </c>
      <c r="C9" s="7" t="s">
        <v>391</v>
      </c>
      <c r="D9" s="7" t="s">
        <v>392</v>
      </c>
      <c r="E9" s="7" t="s">
        <v>393</v>
      </c>
    </row>
    <row r="10" customFormat="false" ht="23.85" hidden="false" customHeight="false" outlineLevel="0" collapsed="false">
      <c r="A10" s="15" t="s">
        <v>394</v>
      </c>
      <c r="B10" s="20" t="n">
        <f aca="false">SUM(B5:B9)</f>
        <v>1</v>
      </c>
      <c r="C10" s="21" t="s">
        <v>395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B3C"/>
    <pageSetUpPr fitToPage="tru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0" min="2" style="0" width="15"/>
  </cols>
  <sheetData>
    <row r="1" customFormat="false" ht="17.35" hidden="false" customHeight="false" outlineLevel="0" collapsed="false">
      <c r="A1" s="1" t="s">
        <v>396</v>
      </c>
    </row>
    <row r="2" customFormat="false" ht="15" hidden="false" customHeight="false" outlineLevel="0" collapsed="false">
      <c r="A2" s="2" t="s">
        <v>397</v>
      </c>
    </row>
    <row r="4" customFormat="false" ht="31.5" hidden="false" customHeight="true" outlineLevel="0" collapsed="false">
      <c r="A4" s="11" t="s">
        <v>374</v>
      </c>
      <c r="B4" s="11" t="s">
        <v>98</v>
      </c>
      <c r="C4" s="11" t="s">
        <v>99</v>
      </c>
      <c r="D4" s="11" t="s">
        <v>100</v>
      </c>
      <c r="E4" s="11" t="s">
        <v>101</v>
      </c>
      <c r="F4" s="11" t="s">
        <v>102</v>
      </c>
      <c r="G4" s="11" t="s">
        <v>103</v>
      </c>
      <c r="H4" s="11" t="s">
        <v>104</v>
      </c>
      <c r="I4" s="11" t="s">
        <v>105</v>
      </c>
      <c r="J4" s="11" t="s">
        <v>106</v>
      </c>
    </row>
    <row r="5" customFormat="false" ht="15" hidden="false" customHeight="false" outlineLevel="0" collapsed="false">
      <c r="A5" s="15" t="s">
        <v>92</v>
      </c>
      <c r="B5" s="14" t="s">
        <v>398</v>
      </c>
      <c r="C5" s="14" t="s">
        <v>399</v>
      </c>
      <c r="D5" s="14" t="s">
        <v>398</v>
      </c>
      <c r="E5" s="14" t="s">
        <v>399</v>
      </c>
      <c r="F5" s="14" t="s">
        <v>399</v>
      </c>
      <c r="G5" s="14" t="s">
        <v>398</v>
      </c>
      <c r="H5" s="14" t="s">
        <v>399</v>
      </c>
      <c r="I5" s="14" t="s">
        <v>399</v>
      </c>
      <c r="J5" s="14" t="s">
        <v>399</v>
      </c>
    </row>
    <row r="6" customFormat="false" ht="15" hidden="false" customHeight="false" outlineLevel="0" collapsed="false">
      <c r="A6" s="15" t="s">
        <v>93</v>
      </c>
      <c r="B6" s="14" t="s">
        <v>399</v>
      </c>
      <c r="C6" s="14" t="s">
        <v>398</v>
      </c>
      <c r="D6" s="14" t="s">
        <v>399</v>
      </c>
      <c r="E6" s="14" t="s">
        <v>398</v>
      </c>
      <c r="F6" s="14" t="s">
        <v>398</v>
      </c>
      <c r="G6" s="14" t="s">
        <v>398</v>
      </c>
      <c r="H6" s="14" t="s">
        <v>399</v>
      </c>
      <c r="I6" s="14" t="s">
        <v>399</v>
      </c>
      <c r="J6" s="14" t="s">
        <v>399</v>
      </c>
    </row>
    <row r="7" customFormat="false" ht="15" hidden="false" customHeight="false" outlineLevel="0" collapsed="false">
      <c r="A7" s="15" t="s">
        <v>94</v>
      </c>
      <c r="B7" s="14" t="s">
        <v>399</v>
      </c>
      <c r="C7" s="14" t="s">
        <v>398</v>
      </c>
      <c r="D7" s="14" t="s">
        <v>399</v>
      </c>
      <c r="E7" s="14" t="s">
        <v>399</v>
      </c>
      <c r="F7" s="14" t="s">
        <v>399</v>
      </c>
      <c r="G7" s="14" t="s">
        <v>398</v>
      </c>
      <c r="H7" s="14" t="s">
        <v>398</v>
      </c>
      <c r="I7" s="14" t="s">
        <v>399</v>
      </c>
      <c r="J7" s="14" t="s">
        <v>399</v>
      </c>
    </row>
    <row r="8" customFormat="false" ht="15" hidden="false" customHeight="false" outlineLevel="0" collapsed="false">
      <c r="A8" s="15" t="s">
        <v>95</v>
      </c>
      <c r="B8" s="14" t="s">
        <v>398</v>
      </c>
      <c r="C8" s="14" t="s">
        <v>399</v>
      </c>
      <c r="D8" s="14" t="s">
        <v>398</v>
      </c>
      <c r="E8" s="14" t="s">
        <v>399</v>
      </c>
      <c r="F8" s="14" t="s">
        <v>398</v>
      </c>
      <c r="G8" s="14" t="s">
        <v>398</v>
      </c>
      <c r="H8" s="14" t="s">
        <v>398</v>
      </c>
      <c r="I8" s="14" t="s">
        <v>399</v>
      </c>
      <c r="J8" s="14" t="s">
        <v>399</v>
      </c>
    </row>
    <row r="9" customFormat="false" ht="15" hidden="false" customHeight="false" outlineLevel="0" collapsed="false">
      <c r="A9" s="15" t="s">
        <v>96</v>
      </c>
      <c r="B9" s="14" t="s">
        <v>398</v>
      </c>
      <c r="C9" s="14" t="s">
        <v>398</v>
      </c>
      <c r="D9" s="14" t="s">
        <v>398</v>
      </c>
      <c r="E9" s="14" t="s">
        <v>399</v>
      </c>
      <c r="F9" s="14" t="s">
        <v>399</v>
      </c>
      <c r="G9" s="14" t="s">
        <v>398</v>
      </c>
      <c r="H9" s="14" t="s">
        <v>398</v>
      </c>
      <c r="I9" s="14" t="s">
        <v>399</v>
      </c>
      <c r="J9" s="14" t="s">
        <v>399</v>
      </c>
    </row>
    <row r="12" customFormat="false" ht="31.5" hidden="false" customHeight="true" outlineLevel="0" collapsed="false">
      <c r="A12" s="11" t="s">
        <v>91</v>
      </c>
      <c r="B12" s="11" t="s">
        <v>400</v>
      </c>
    </row>
    <row r="13" customFormat="false" ht="15" hidden="false" customHeight="true" outlineLevel="0" collapsed="false">
      <c r="A13" s="15" t="s">
        <v>98</v>
      </c>
      <c r="B13" s="7" t="s">
        <v>401</v>
      </c>
      <c r="C13" s="7"/>
      <c r="D13" s="7"/>
      <c r="E13" s="7"/>
      <c r="F13" s="7"/>
      <c r="G13" s="7"/>
      <c r="H13" s="7"/>
      <c r="I13" s="7"/>
      <c r="J13" s="7"/>
    </row>
    <row r="14" customFormat="false" ht="15" hidden="false" customHeight="true" outlineLevel="0" collapsed="false">
      <c r="A14" s="15" t="s">
        <v>99</v>
      </c>
      <c r="B14" s="7" t="s">
        <v>402</v>
      </c>
      <c r="C14" s="7"/>
      <c r="D14" s="7"/>
      <c r="E14" s="7"/>
      <c r="F14" s="7"/>
      <c r="G14" s="7"/>
      <c r="H14" s="7"/>
      <c r="I14" s="7"/>
      <c r="J14" s="7"/>
    </row>
    <row r="15" customFormat="false" ht="23.85" hidden="false" customHeight="true" outlineLevel="0" collapsed="false">
      <c r="A15" s="15" t="s">
        <v>100</v>
      </c>
      <c r="B15" s="7" t="s">
        <v>403</v>
      </c>
      <c r="C15" s="7"/>
      <c r="D15" s="7"/>
      <c r="E15" s="7"/>
      <c r="F15" s="7"/>
      <c r="G15" s="7"/>
      <c r="H15" s="7"/>
      <c r="I15" s="7"/>
      <c r="J15" s="7"/>
    </row>
    <row r="16" customFormat="false" ht="23.85" hidden="false" customHeight="true" outlineLevel="0" collapsed="false">
      <c r="A16" s="15" t="s">
        <v>101</v>
      </c>
      <c r="B16" s="7" t="s">
        <v>404</v>
      </c>
      <c r="C16" s="7"/>
      <c r="D16" s="7"/>
      <c r="E16" s="7"/>
      <c r="F16" s="7"/>
      <c r="G16" s="7"/>
      <c r="H16" s="7"/>
      <c r="I16" s="7"/>
      <c r="J16" s="7"/>
    </row>
    <row r="17" customFormat="false" ht="23.85" hidden="false" customHeight="true" outlineLevel="0" collapsed="false">
      <c r="A17" s="15" t="s">
        <v>102</v>
      </c>
      <c r="B17" s="7" t="s">
        <v>405</v>
      </c>
      <c r="C17" s="7"/>
      <c r="D17" s="7"/>
      <c r="E17" s="7"/>
      <c r="F17" s="7"/>
      <c r="G17" s="7"/>
      <c r="H17" s="7"/>
      <c r="I17" s="7"/>
      <c r="J17" s="7"/>
    </row>
    <row r="18" customFormat="false" ht="15" hidden="false" customHeight="true" outlineLevel="0" collapsed="false">
      <c r="A18" s="15" t="s">
        <v>103</v>
      </c>
      <c r="B18" s="7" t="s">
        <v>406</v>
      </c>
      <c r="C18" s="7"/>
      <c r="D18" s="7"/>
      <c r="E18" s="7"/>
      <c r="F18" s="7"/>
      <c r="G18" s="7"/>
      <c r="H18" s="7"/>
      <c r="I18" s="7"/>
      <c r="J18" s="7"/>
    </row>
    <row r="19" customFormat="false" ht="23.85" hidden="false" customHeight="true" outlineLevel="0" collapsed="false">
      <c r="A19" s="15" t="s">
        <v>104</v>
      </c>
      <c r="B19" s="7" t="s">
        <v>407</v>
      </c>
      <c r="C19" s="7"/>
      <c r="D19" s="7"/>
      <c r="E19" s="7"/>
      <c r="F19" s="7"/>
      <c r="G19" s="7"/>
      <c r="H19" s="7"/>
      <c r="I19" s="7"/>
      <c r="J19" s="7"/>
    </row>
    <row r="20" customFormat="false" ht="15" hidden="false" customHeight="true" outlineLevel="0" collapsed="false">
      <c r="A20" s="15" t="s">
        <v>105</v>
      </c>
      <c r="B20" s="7" t="s">
        <v>408</v>
      </c>
      <c r="C20" s="7"/>
      <c r="D20" s="7"/>
      <c r="E20" s="7"/>
      <c r="F20" s="7"/>
      <c r="G20" s="7"/>
      <c r="H20" s="7"/>
      <c r="I20" s="7"/>
      <c r="J20" s="7"/>
    </row>
    <row r="21" customFormat="false" ht="15" hidden="false" customHeight="true" outlineLevel="0" collapsed="false">
      <c r="A21" s="15" t="s">
        <v>106</v>
      </c>
      <c r="B21" s="7" t="s">
        <v>408</v>
      </c>
      <c r="C21" s="7"/>
      <c r="D21" s="7"/>
      <c r="E21" s="7"/>
      <c r="F21" s="7"/>
      <c r="G21" s="7"/>
      <c r="H21" s="7"/>
      <c r="I21" s="7"/>
      <c r="J21" s="7"/>
    </row>
  </sheetData>
  <mergeCells count="9">
    <mergeCell ref="B13:J13"/>
    <mergeCell ref="B14:J14"/>
    <mergeCell ref="B15:J15"/>
    <mergeCell ref="B16:J16"/>
    <mergeCell ref="B17:J17"/>
    <mergeCell ref="B18:J18"/>
    <mergeCell ref="B19:J19"/>
    <mergeCell ref="B20:J20"/>
    <mergeCell ref="B21:J21"/>
  </mergeCells>
  <conditionalFormatting sqref="B5:J9">
    <cfRule type="cellIs" priority="2" operator="equal" aboveAverage="0" equalAverage="0" bottom="0" percent="0" rank="0" text="" dxfId="7">
      <formula>"Alta"</formula>
    </cfRule>
    <cfRule type="cellIs" priority="3" operator="equal" aboveAverage="0" equalAverage="0" bottom="0" percent="0" rank="0" text="" dxfId="8">
      <formula>"Baixa"</formula>
    </cfRule>
  </conditionalFormatting>
  <dataValidations count="1">
    <dataValidation allowBlank="false" errorStyle="stop" operator="between" showDropDown="false" showErrorMessage="false" showInputMessage="false" sqref="B5:J9" type="list">
      <formula1>"Alta,Média,Baixa"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42"/>
    <col collapsed="false" customWidth="true" hidden="false" outlineLevel="0" max="5" min="5" style="0" width="44"/>
    <col collapsed="false" customWidth="true" hidden="false" outlineLevel="0" max="6" min="6" style="0" width="40"/>
    <col collapsed="false" customWidth="true" hidden="false" outlineLevel="0" max="7" min="7" style="0" width="38"/>
    <col collapsed="false" customWidth="true" hidden="false" outlineLevel="0" max="8" min="8" style="0" width="56"/>
    <col collapsed="false" customWidth="true" hidden="false" outlineLevel="0" max="9" min="9" style="0" width="24"/>
    <col collapsed="false" customWidth="true" hidden="false" outlineLevel="0" max="10" min="10" style="0" width="10"/>
  </cols>
  <sheetData>
    <row r="1" customFormat="false" ht="17.35" hidden="false" customHeight="false" outlineLevel="0" collapsed="false">
      <c r="A1" s="1" t="s">
        <v>409</v>
      </c>
    </row>
    <row r="2" customFormat="false" ht="15" hidden="false" customHeight="false" outlineLevel="0" collapsed="false">
      <c r="A2" s="2" t="s">
        <v>410</v>
      </c>
    </row>
    <row r="4" customFormat="false" ht="31.5" hidden="false" customHeight="true" outlineLevel="0" collapsed="false">
      <c r="A4" s="11" t="s">
        <v>126</v>
      </c>
      <c r="B4" s="11" t="s">
        <v>411</v>
      </c>
      <c r="C4" s="11" t="s">
        <v>412</v>
      </c>
      <c r="D4" s="11" t="s">
        <v>413</v>
      </c>
      <c r="E4" s="11" t="s">
        <v>414</v>
      </c>
      <c r="F4" s="11" t="s">
        <v>415</v>
      </c>
      <c r="G4" s="11" t="s">
        <v>416</v>
      </c>
      <c r="H4" s="11" t="s">
        <v>417</v>
      </c>
      <c r="I4" s="11" t="s">
        <v>418</v>
      </c>
      <c r="J4" s="11" t="s">
        <v>419</v>
      </c>
    </row>
    <row r="5" customFormat="false" ht="35.05" hidden="false" customHeight="false" outlineLevel="0" collapsed="false">
      <c r="A5" s="16" t="n">
        <v>1</v>
      </c>
      <c r="B5" s="7" t="s">
        <v>420</v>
      </c>
      <c r="C5" s="15" t="s">
        <v>421</v>
      </c>
      <c r="D5" s="7" t="s">
        <v>422</v>
      </c>
      <c r="E5" s="7" t="s">
        <v>423</v>
      </c>
      <c r="F5" s="7" t="s">
        <v>424</v>
      </c>
      <c r="G5" s="7" t="s">
        <v>425</v>
      </c>
      <c r="H5" s="7" t="s">
        <v>426</v>
      </c>
      <c r="I5" s="7" t="s">
        <v>427</v>
      </c>
      <c r="J5" s="14" t="n">
        <v>5</v>
      </c>
    </row>
    <row r="6" customFormat="false" ht="23.85" hidden="false" customHeight="false" outlineLevel="0" collapsed="false">
      <c r="A6" s="16" t="n">
        <v>2</v>
      </c>
      <c r="B6" s="7" t="s">
        <v>420</v>
      </c>
      <c r="C6" s="15" t="s">
        <v>131</v>
      </c>
      <c r="D6" s="7" t="s">
        <v>428</v>
      </c>
      <c r="E6" s="7" t="s">
        <v>429</v>
      </c>
      <c r="F6" s="7" t="s">
        <v>430</v>
      </c>
      <c r="G6" s="7" t="s">
        <v>431</v>
      </c>
      <c r="H6" s="7" t="s">
        <v>432</v>
      </c>
      <c r="I6" s="7" t="s">
        <v>427</v>
      </c>
      <c r="J6" s="14" t="n">
        <v>4</v>
      </c>
    </row>
    <row r="7" customFormat="false" ht="23.85" hidden="false" customHeight="false" outlineLevel="0" collapsed="false">
      <c r="A7" s="16" t="n">
        <v>3</v>
      </c>
      <c r="B7" s="7" t="s">
        <v>420</v>
      </c>
      <c r="C7" s="15" t="s">
        <v>433</v>
      </c>
      <c r="D7" s="7" t="s">
        <v>434</v>
      </c>
      <c r="E7" s="7" t="s">
        <v>435</v>
      </c>
      <c r="F7" s="7" t="s">
        <v>436</v>
      </c>
      <c r="G7" s="7" t="s">
        <v>437</v>
      </c>
      <c r="H7" s="7" t="s">
        <v>438</v>
      </c>
      <c r="I7" s="7" t="s">
        <v>427</v>
      </c>
      <c r="J7" s="14" t="n">
        <v>5</v>
      </c>
    </row>
    <row r="8" customFormat="false" ht="23.85" hidden="false" customHeight="false" outlineLevel="0" collapsed="false">
      <c r="A8" s="16" t="n">
        <v>4</v>
      </c>
      <c r="B8" s="7" t="s">
        <v>420</v>
      </c>
      <c r="C8" s="15" t="s">
        <v>439</v>
      </c>
      <c r="D8" s="7" t="s">
        <v>440</v>
      </c>
      <c r="E8" s="7" t="s">
        <v>441</v>
      </c>
      <c r="F8" s="7" t="s">
        <v>442</v>
      </c>
      <c r="G8" s="7" t="s">
        <v>441</v>
      </c>
      <c r="H8" s="7" t="s">
        <v>443</v>
      </c>
      <c r="I8" s="7" t="s">
        <v>427</v>
      </c>
      <c r="J8" s="14" t="n">
        <v>4</v>
      </c>
    </row>
    <row r="9" customFormat="false" ht="35.05" hidden="false" customHeight="false" outlineLevel="0" collapsed="false">
      <c r="A9" s="16" t="n">
        <v>5</v>
      </c>
      <c r="B9" s="7" t="s">
        <v>420</v>
      </c>
      <c r="C9" s="15" t="s">
        <v>444</v>
      </c>
      <c r="D9" s="7" t="s">
        <v>445</v>
      </c>
      <c r="E9" s="7" t="s">
        <v>446</v>
      </c>
      <c r="F9" s="7" t="s">
        <v>447</v>
      </c>
      <c r="G9" s="7" t="s">
        <v>448</v>
      </c>
      <c r="H9" s="7" t="s">
        <v>449</v>
      </c>
      <c r="I9" s="7" t="s">
        <v>427</v>
      </c>
      <c r="J9" s="14" t="n">
        <v>5</v>
      </c>
    </row>
    <row r="10" customFormat="false" ht="23.85" hidden="false" customHeight="false" outlineLevel="0" collapsed="false">
      <c r="A10" s="16" t="n">
        <v>6</v>
      </c>
      <c r="B10" s="7" t="s">
        <v>420</v>
      </c>
      <c r="C10" s="15" t="s">
        <v>450</v>
      </c>
      <c r="D10" s="7" t="s">
        <v>451</v>
      </c>
      <c r="E10" s="7" t="s">
        <v>452</v>
      </c>
      <c r="F10" s="7" t="s">
        <v>453</v>
      </c>
      <c r="G10" s="7" t="s">
        <v>454</v>
      </c>
      <c r="H10" s="7" t="s">
        <v>455</v>
      </c>
      <c r="I10" s="7" t="s">
        <v>456</v>
      </c>
      <c r="J10" s="14" t="n">
        <v>2</v>
      </c>
    </row>
    <row r="11" customFormat="false" ht="35.05" hidden="false" customHeight="false" outlineLevel="0" collapsed="false">
      <c r="A11" s="16" t="n">
        <v>7</v>
      </c>
      <c r="B11" s="7" t="s">
        <v>420</v>
      </c>
      <c r="C11" s="15" t="s">
        <v>457</v>
      </c>
      <c r="D11" s="7" t="s">
        <v>458</v>
      </c>
      <c r="E11" s="7" t="s">
        <v>459</v>
      </c>
      <c r="F11" s="7" t="s">
        <v>460</v>
      </c>
      <c r="G11" s="7" t="s">
        <v>461</v>
      </c>
      <c r="H11" s="7" t="s">
        <v>462</v>
      </c>
      <c r="I11" s="7" t="s">
        <v>456</v>
      </c>
      <c r="J11" s="14" t="n">
        <v>2</v>
      </c>
    </row>
    <row r="12" customFormat="false" ht="23.85" hidden="false" customHeight="false" outlineLevel="0" collapsed="false">
      <c r="A12" s="16" t="n">
        <v>8</v>
      </c>
      <c r="B12" s="7" t="s">
        <v>463</v>
      </c>
      <c r="C12" s="15" t="s">
        <v>464</v>
      </c>
      <c r="D12" s="7" t="s">
        <v>465</v>
      </c>
      <c r="E12" s="7" t="s">
        <v>466</v>
      </c>
      <c r="F12" s="7" t="s">
        <v>467</v>
      </c>
      <c r="G12" s="7" t="s">
        <v>468</v>
      </c>
      <c r="H12" s="7" t="s">
        <v>469</v>
      </c>
      <c r="I12" s="7" t="s">
        <v>456</v>
      </c>
      <c r="J12" s="14" t="n">
        <v>5</v>
      </c>
    </row>
    <row r="13" customFormat="false" ht="46.25" hidden="false" customHeight="false" outlineLevel="0" collapsed="false">
      <c r="A13" s="16" t="n">
        <v>9</v>
      </c>
      <c r="B13" s="7" t="s">
        <v>463</v>
      </c>
      <c r="C13" s="15" t="s">
        <v>470</v>
      </c>
      <c r="D13" s="7" t="s">
        <v>471</v>
      </c>
      <c r="E13" s="7" t="s">
        <v>472</v>
      </c>
      <c r="F13" s="7" t="s">
        <v>473</v>
      </c>
      <c r="G13" s="7" t="s">
        <v>474</v>
      </c>
      <c r="H13" s="7" t="s">
        <v>475</v>
      </c>
      <c r="I13" s="7" t="s">
        <v>476</v>
      </c>
      <c r="J13" s="14" t="n">
        <v>4</v>
      </c>
    </row>
    <row r="14" customFormat="false" ht="35.05" hidden="false" customHeight="false" outlineLevel="0" collapsed="false">
      <c r="A14" s="16" t="n">
        <v>10</v>
      </c>
      <c r="B14" s="7" t="s">
        <v>463</v>
      </c>
      <c r="C14" s="15" t="s">
        <v>477</v>
      </c>
      <c r="D14" s="7" t="s">
        <v>478</v>
      </c>
      <c r="E14" s="7" t="s">
        <v>479</v>
      </c>
      <c r="F14" s="7" t="s">
        <v>480</v>
      </c>
      <c r="G14" s="7" t="s">
        <v>481</v>
      </c>
      <c r="H14" s="7" t="s">
        <v>482</v>
      </c>
      <c r="I14" s="7" t="s">
        <v>476</v>
      </c>
      <c r="J14" s="14" t="n">
        <v>3</v>
      </c>
    </row>
    <row r="15" customFormat="false" ht="35.05" hidden="false" customHeight="false" outlineLevel="0" collapsed="false">
      <c r="A15" s="16" t="n">
        <v>11</v>
      </c>
      <c r="B15" s="7" t="s">
        <v>463</v>
      </c>
      <c r="C15" s="15" t="s">
        <v>483</v>
      </c>
      <c r="D15" s="7" t="s">
        <v>484</v>
      </c>
      <c r="E15" s="7" t="s">
        <v>485</v>
      </c>
      <c r="F15" s="7" t="s">
        <v>486</v>
      </c>
      <c r="G15" s="7" t="s">
        <v>487</v>
      </c>
      <c r="H15" s="7" t="s">
        <v>488</v>
      </c>
      <c r="I15" s="7" t="s">
        <v>456</v>
      </c>
      <c r="J15" s="14" t="n">
        <v>5</v>
      </c>
    </row>
    <row r="16" customFormat="false" ht="35.05" hidden="false" customHeight="false" outlineLevel="0" collapsed="false">
      <c r="A16" s="16" t="n">
        <v>12</v>
      </c>
      <c r="B16" s="7" t="s">
        <v>463</v>
      </c>
      <c r="C16" s="15" t="s">
        <v>489</v>
      </c>
      <c r="D16" s="7" t="s">
        <v>490</v>
      </c>
      <c r="E16" s="7" t="s">
        <v>491</v>
      </c>
      <c r="F16" s="7" t="s">
        <v>492</v>
      </c>
      <c r="G16" s="7" t="s">
        <v>487</v>
      </c>
      <c r="H16" s="7" t="s">
        <v>493</v>
      </c>
      <c r="I16" s="7" t="s">
        <v>456</v>
      </c>
      <c r="J16" s="14" t="n">
        <v>3</v>
      </c>
    </row>
    <row r="17" customFormat="false" ht="23.85" hidden="false" customHeight="false" outlineLevel="0" collapsed="false">
      <c r="A17" s="16" t="n">
        <v>13</v>
      </c>
      <c r="B17" s="7" t="s">
        <v>463</v>
      </c>
      <c r="C17" s="15" t="s">
        <v>494</v>
      </c>
      <c r="D17" s="7" t="s">
        <v>495</v>
      </c>
      <c r="E17" s="7" t="s">
        <v>496</v>
      </c>
      <c r="F17" s="7" t="s">
        <v>497</v>
      </c>
      <c r="G17" s="7" t="s">
        <v>498</v>
      </c>
      <c r="H17" s="7" t="s">
        <v>499</v>
      </c>
      <c r="I17" s="7" t="s">
        <v>500</v>
      </c>
      <c r="J17" s="14" t="n">
        <v>4</v>
      </c>
    </row>
    <row r="18" customFormat="false" ht="23.85" hidden="false" customHeight="false" outlineLevel="0" collapsed="false">
      <c r="A18" s="16" t="n">
        <v>14</v>
      </c>
      <c r="B18" s="7" t="s">
        <v>463</v>
      </c>
      <c r="C18" s="15" t="s">
        <v>501</v>
      </c>
      <c r="D18" s="7" t="s">
        <v>502</v>
      </c>
      <c r="E18" s="7" t="s">
        <v>503</v>
      </c>
      <c r="F18" s="7" t="s">
        <v>504</v>
      </c>
      <c r="G18" s="7" t="s">
        <v>505</v>
      </c>
      <c r="H18" s="7" t="s">
        <v>506</v>
      </c>
      <c r="I18" s="7" t="s">
        <v>456</v>
      </c>
      <c r="J18" s="14" t="n">
        <v>2</v>
      </c>
    </row>
    <row r="19" customFormat="false" ht="23.85" hidden="false" customHeight="false" outlineLevel="0" collapsed="false">
      <c r="A19" s="16" t="n">
        <v>15</v>
      </c>
      <c r="B19" s="7" t="s">
        <v>507</v>
      </c>
      <c r="C19" s="15" t="s">
        <v>508</v>
      </c>
      <c r="D19" s="7" t="s">
        <v>509</v>
      </c>
      <c r="E19" s="7" t="s">
        <v>510</v>
      </c>
      <c r="F19" s="7" t="s">
        <v>511</v>
      </c>
      <c r="G19" s="7" t="s">
        <v>512</v>
      </c>
      <c r="H19" s="7" t="s">
        <v>513</v>
      </c>
      <c r="I19" s="7" t="s">
        <v>456</v>
      </c>
      <c r="J19" s="14" t="n">
        <v>3</v>
      </c>
    </row>
    <row r="20" customFormat="false" ht="23.85" hidden="false" customHeight="false" outlineLevel="0" collapsed="false">
      <c r="A20" s="16" t="n">
        <v>16</v>
      </c>
      <c r="B20" s="7" t="s">
        <v>507</v>
      </c>
      <c r="C20" s="15" t="s">
        <v>514</v>
      </c>
      <c r="D20" s="7" t="s">
        <v>515</v>
      </c>
      <c r="E20" s="7" t="s">
        <v>516</v>
      </c>
      <c r="F20" s="7" t="s">
        <v>517</v>
      </c>
      <c r="G20" s="7" t="s">
        <v>518</v>
      </c>
      <c r="H20" s="7" t="s">
        <v>519</v>
      </c>
      <c r="I20" s="7" t="s">
        <v>456</v>
      </c>
      <c r="J20" s="14" t="n">
        <v>3</v>
      </c>
    </row>
    <row r="21" customFormat="false" ht="23.85" hidden="false" customHeight="false" outlineLevel="0" collapsed="false">
      <c r="A21" s="16" t="n">
        <v>17</v>
      </c>
      <c r="B21" s="7" t="s">
        <v>507</v>
      </c>
      <c r="C21" s="15" t="s">
        <v>520</v>
      </c>
      <c r="D21" s="7" t="s">
        <v>521</v>
      </c>
      <c r="E21" s="7" t="s">
        <v>522</v>
      </c>
      <c r="F21" s="7" t="s">
        <v>523</v>
      </c>
      <c r="G21" s="7" t="s">
        <v>524</v>
      </c>
      <c r="H21" s="7" t="s">
        <v>525</v>
      </c>
      <c r="I21" s="7" t="s">
        <v>456</v>
      </c>
      <c r="J21" s="14" t="n">
        <v>2</v>
      </c>
    </row>
    <row r="22" customFormat="false" ht="23.85" hidden="false" customHeight="false" outlineLevel="0" collapsed="false">
      <c r="A22" s="16" t="n">
        <v>18</v>
      </c>
      <c r="B22" s="7" t="s">
        <v>507</v>
      </c>
      <c r="C22" s="15" t="s">
        <v>526</v>
      </c>
      <c r="D22" s="7" t="s">
        <v>527</v>
      </c>
      <c r="E22" s="7" t="s">
        <v>528</v>
      </c>
      <c r="F22" s="7" t="s">
        <v>529</v>
      </c>
      <c r="G22" s="7" t="s">
        <v>530</v>
      </c>
      <c r="H22" s="7" t="s">
        <v>531</v>
      </c>
      <c r="I22" s="7" t="s">
        <v>456</v>
      </c>
      <c r="J22" s="14" t="n">
        <v>3</v>
      </c>
    </row>
    <row r="23" customFormat="false" ht="35.05" hidden="false" customHeight="false" outlineLevel="0" collapsed="false">
      <c r="A23" s="16" t="n">
        <v>19</v>
      </c>
      <c r="B23" s="7" t="s">
        <v>507</v>
      </c>
      <c r="C23" s="15" t="s">
        <v>532</v>
      </c>
      <c r="D23" s="7" t="s">
        <v>533</v>
      </c>
      <c r="E23" s="7" t="s">
        <v>534</v>
      </c>
      <c r="F23" s="7" t="s">
        <v>535</v>
      </c>
      <c r="G23" s="7" t="s">
        <v>536</v>
      </c>
      <c r="H23" s="7" t="s">
        <v>537</v>
      </c>
      <c r="I23" s="7" t="s">
        <v>456</v>
      </c>
      <c r="J23" s="14" t="n">
        <v>2</v>
      </c>
    </row>
    <row r="24" customFormat="false" ht="23.85" hidden="false" customHeight="false" outlineLevel="0" collapsed="false">
      <c r="A24" s="16" t="n">
        <v>20</v>
      </c>
      <c r="B24" s="7" t="s">
        <v>507</v>
      </c>
      <c r="C24" s="15" t="s">
        <v>538</v>
      </c>
      <c r="D24" s="7" t="s">
        <v>539</v>
      </c>
      <c r="E24" s="7" t="s">
        <v>540</v>
      </c>
      <c r="F24" s="7" t="s">
        <v>541</v>
      </c>
      <c r="G24" s="7" t="s">
        <v>542</v>
      </c>
      <c r="H24" s="7" t="s">
        <v>543</v>
      </c>
      <c r="I24" s="7" t="s">
        <v>456</v>
      </c>
      <c r="J24" s="14" t="n">
        <v>2</v>
      </c>
    </row>
    <row r="25" customFormat="false" ht="15" hidden="false" customHeight="false" outlineLevel="0" collapsed="false">
      <c r="C25" s="15" t="s">
        <v>544</v>
      </c>
      <c r="D25" s="22" t="n">
        <f aca="false">COUNTA(C5:C24)</f>
        <v>20</v>
      </c>
    </row>
    <row r="26" customFormat="false" ht="15" hidden="false" customHeight="false" outlineLevel="0" collapsed="false">
      <c r="C26" s="15" t="s">
        <v>545</v>
      </c>
      <c r="D26" s="22" t="n">
        <f aca="false">SUM(J5:J24)</f>
        <v>68</v>
      </c>
    </row>
    <row r="28" customFormat="false" ht="27.75" hidden="false" customHeight="true" outlineLevel="0" collapsed="false">
      <c r="C28" s="5" t="s">
        <v>546</v>
      </c>
      <c r="D28" s="5"/>
      <c r="E28" s="5"/>
      <c r="F28" s="5"/>
      <c r="G28" s="5"/>
      <c r="H28" s="5"/>
    </row>
    <row r="29" customFormat="false" ht="27.75" hidden="false" customHeight="true" outlineLevel="0" collapsed="false">
      <c r="C29" s="5" t="s">
        <v>547</v>
      </c>
      <c r="D29" s="5"/>
      <c r="E29" s="5"/>
      <c r="F29" s="5"/>
      <c r="G29" s="5"/>
      <c r="H29" s="5"/>
    </row>
    <row r="30" customFormat="false" ht="27.75" hidden="false" customHeight="true" outlineLevel="0" collapsed="false">
      <c r="C30" s="5" t="s">
        <v>548</v>
      </c>
      <c r="D30" s="5"/>
      <c r="E30" s="5"/>
      <c r="F30" s="5"/>
      <c r="G30" s="5"/>
      <c r="H30" s="5"/>
    </row>
    <row r="31" customFormat="false" ht="27.75" hidden="false" customHeight="true" outlineLevel="0" collapsed="false">
      <c r="C31" s="5" t="s">
        <v>549</v>
      </c>
      <c r="D31" s="5"/>
      <c r="E31" s="5"/>
      <c r="F31" s="5"/>
      <c r="G31" s="5"/>
      <c r="H31" s="5"/>
    </row>
    <row r="32" customFormat="false" ht="27.75" hidden="false" customHeight="true" outlineLevel="0" collapsed="false">
      <c r="C32" s="5" t="s">
        <v>550</v>
      </c>
      <c r="D32" s="5"/>
      <c r="E32" s="5"/>
      <c r="F32" s="5"/>
      <c r="G32" s="5"/>
      <c r="H32" s="5"/>
    </row>
    <row r="33" customFormat="false" ht="27.75" hidden="false" customHeight="true" outlineLevel="0" collapsed="false">
      <c r="C33" s="5" t="s">
        <v>551</v>
      </c>
      <c r="D33" s="5"/>
      <c r="E33" s="5"/>
      <c r="F33" s="5"/>
      <c r="G33" s="5"/>
      <c r="H33" s="5"/>
    </row>
  </sheetData>
  <mergeCells count="6">
    <mergeCell ref="C28:H28"/>
    <mergeCell ref="C29:H29"/>
    <mergeCell ref="C30:H30"/>
    <mergeCell ref="C31:H31"/>
    <mergeCell ref="C32:H32"/>
    <mergeCell ref="C33:H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6" min="5" style="0" width="12"/>
    <col collapsed="false" customWidth="true" hidden="false" outlineLevel="0" max="7" min="7" style="0" width="9"/>
    <col collapsed="false" customWidth="true" hidden="false" outlineLevel="0" max="9" min="8" style="0" width="11"/>
    <col collapsed="false" customWidth="true" hidden="false" outlineLevel="0" max="10" min="10" style="0" width="14"/>
    <col collapsed="false" customWidth="true" hidden="false" outlineLevel="0" max="11" min="11" style="0" width="3"/>
    <col collapsed="false" customWidth="true" hidden="false" outlineLevel="0" max="12" min="12" style="0" width="40"/>
    <col collapsed="false" customWidth="true" hidden="false" outlineLevel="0" max="13" min="13" style="0" width="22"/>
  </cols>
  <sheetData>
    <row r="1" customFormat="false" ht="17.35" hidden="false" customHeight="false" outlineLevel="0" collapsed="false">
      <c r="A1" s="1" t="s">
        <v>552</v>
      </c>
    </row>
    <row r="2" customFormat="false" ht="15" hidden="false" customHeight="false" outlineLevel="0" collapsed="false">
      <c r="A2" s="2" t="s">
        <v>553</v>
      </c>
    </row>
    <row r="4" customFormat="false" ht="23.85" hidden="false" customHeight="false" outlineLevel="0" collapsed="false">
      <c r="B4" s="13" t="s">
        <v>554</v>
      </c>
      <c r="C4" s="23" t="n">
        <v>0.5</v>
      </c>
    </row>
    <row r="5" customFormat="false" ht="15" hidden="false" customHeight="false" outlineLevel="0" collapsed="false">
      <c r="B5" s="13" t="s">
        <v>555</v>
      </c>
      <c r="C5" s="24" t="n">
        <v>0.8</v>
      </c>
    </row>
    <row r="6" customFormat="false" ht="15" hidden="false" customHeight="false" outlineLevel="0" collapsed="false">
      <c r="B6" s="13" t="s">
        <v>556</v>
      </c>
      <c r="C6" s="24" t="n">
        <v>0.6</v>
      </c>
    </row>
    <row r="7" customFormat="false" ht="15" hidden="false" customHeight="false" outlineLevel="0" collapsed="false">
      <c r="B7" s="13" t="s">
        <v>557</v>
      </c>
      <c r="C7" s="24" t="n">
        <v>0.4</v>
      </c>
    </row>
    <row r="9" customFormat="false" ht="31.5" hidden="false" customHeight="true" outlineLevel="0" collapsed="false">
      <c r="A9" s="11" t="s">
        <v>126</v>
      </c>
      <c r="B9" s="11" t="s">
        <v>412</v>
      </c>
      <c r="C9" s="11" t="s">
        <v>558</v>
      </c>
      <c r="D9" s="11" t="s">
        <v>559</v>
      </c>
      <c r="E9" s="11" t="s">
        <v>560</v>
      </c>
      <c r="F9" s="11" t="s">
        <v>561</v>
      </c>
      <c r="G9" s="11" t="s">
        <v>562</v>
      </c>
      <c r="H9" s="11" t="s">
        <v>563</v>
      </c>
      <c r="I9" s="11" t="s">
        <v>564</v>
      </c>
      <c r="J9" s="11" t="s">
        <v>565</v>
      </c>
    </row>
    <row r="10" customFormat="false" ht="15" hidden="false" customHeight="false" outlineLevel="0" collapsed="false">
      <c r="A10" s="16" t="n">
        <v>1</v>
      </c>
      <c r="B10" s="7" t="str">
        <f aca="false">Matching!C5</f>
        <v>Local e deslocamento</v>
      </c>
      <c r="C10" s="16" t="n">
        <f aca="false">Matching!J5</f>
        <v>5</v>
      </c>
      <c r="D10" s="14" t="s">
        <v>566</v>
      </c>
      <c r="E10" s="23" t="n">
        <v>1</v>
      </c>
      <c r="F10" s="14" t="s">
        <v>567</v>
      </c>
      <c r="G10" s="25" t="n">
        <f aca="false">IF(D10="Sim",C10*E10,0)</f>
        <v>5</v>
      </c>
      <c r="H10" s="16" t="n">
        <f aca="false">IF(D10="Sim",C10,0)</f>
        <v>5</v>
      </c>
      <c r="I10" s="26" t="n">
        <f aca="false">IF(D10="Sim",C10*(1-E10),0)+ROW()/1000000</f>
        <v>1E-005</v>
      </c>
      <c r="J10" s="16" t="str">
        <f aca="false">IF(AND(D10="Sim",F10="Sim",E10&lt;$C$4),"Não atende","")</f>
        <v/>
      </c>
      <c r="L10" s="15" t="s">
        <v>568</v>
      </c>
      <c r="M10" s="27" t="n">
        <f aca="false">IF(SUM(H10:H29)=0,"",SUM(G10:G29)/SUM(H10:H29))</f>
        <v>0.782258064516129</v>
      </c>
    </row>
    <row r="11" customFormat="false" ht="15" hidden="false" customHeight="false" outlineLevel="0" collapsed="false">
      <c r="A11" s="16" t="n">
        <v>2</v>
      </c>
      <c r="B11" s="7" t="str">
        <f aca="false">Matching!C6</f>
        <v>Modalidade</v>
      </c>
      <c r="C11" s="16" t="n">
        <f aca="false">Matching!J6</f>
        <v>4</v>
      </c>
      <c r="D11" s="14" t="s">
        <v>566</v>
      </c>
      <c r="E11" s="23" t="n">
        <v>1</v>
      </c>
      <c r="F11" s="14" t="s">
        <v>567</v>
      </c>
      <c r="G11" s="25" t="n">
        <f aca="false">IF(D11="Sim",C11*E11,0)</f>
        <v>4</v>
      </c>
      <c r="H11" s="16" t="n">
        <f aca="false">IF(D11="Sim",C11,0)</f>
        <v>4</v>
      </c>
      <c r="I11" s="26" t="n">
        <f aca="false">IF(D11="Sim",C11*(1-E11),0)+ROW()/1000000</f>
        <v>1.1E-005</v>
      </c>
      <c r="J11" s="16" t="str">
        <f aca="false">IF(AND(D11="Sim",F11="Sim",E11&lt;$C$4),"Não atende","")</f>
        <v/>
      </c>
      <c r="L11" s="15" t="s">
        <v>569</v>
      </c>
      <c r="M11" s="28" t="str">
        <f aca="false">IF(M10="","",IF(M10&gt;=$C$5,"Muito boa",IF(M10&gt;=$C$6,"Boa",IF(M10&gt;=$C$7,"Possível","Distante"))))</f>
        <v>Boa</v>
      </c>
    </row>
    <row r="12" customFormat="false" ht="15" hidden="false" customHeight="false" outlineLevel="0" collapsed="false">
      <c r="A12" s="16" t="n">
        <v>3</v>
      </c>
      <c r="B12" s="7" t="str">
        <f aca="false">Matching!C7</f>
        <v>Turno e escala</v>
      </c>
      <c r="C12" s="16" t="n">
        <f aca="false">Matching!J7</f>
        <v>5</v>
      </c>
      <c r="D12" s="14" t="s">
        <v>566</v>
      </c>
      <c r="E12" s="23" t="n">
        <v>1</v>
      </c>
      <c r="F12" s="14" t="s">
        <v>567</v>
      </c>
      <c r="G12" s="25" t="n">
        <f aca="false">IF(D12="Sim",C12*E12,0)</f>
        <v>5</v>
      </c>
      <c r="H12" s="16" t="n">
        <f aca="false">IF(D12="Sim",C12,0)</f>
        <v>5</v>
      </c>
      <c r="I12" s="26" t="n">
        <f aca="false">IF(D12="Sim",C12*(1-E12),0)+ROW()/1000000</f>
        <v>1.2E-005</v>
      </c>
      <c r="J12" s="16" t="str">
        <f aca="false">IF(AND(D12="Sim",F12="Sim",E12&lt;$C$4),"Não atende","")</f>
        <v/>
      </c>
      <c r="L12" s="15" t="s">
        <v>570</v>
      </c>
      <c r="M12" s="28" t="str">
        <f aca="false">IF(COUNTIF(J10:J29,"Não atende")=0,"Sim","Não")</f>
        <v>Sim</v>
      </c>
    </row>
    <row r="13" customFormat="false" ht="15" hidden="false" customHeight="false" outlineLevel="0" collapsed="false">
      <c r="A13" s="16" t="n">
        <v>4</v>
      </c>
      <c r="B13" s="7" t="str">
        <f aca="false">Matching!C8</f>
        <v>Tipo de contrato</v>
      </c>
      <c r="C13" s="16" t="n">
        <f aca="false">Matching!J8</f>
        <v>4</v>
      </c>
      <c r="D13" s="14" t="s">
        <v>566</v>
      </c>
      <c r="E13" s="23" t="n">
        <v>1</v>
      </c>
      <c r="F13" s="14" t="s">
        <v>567</v>
      </c>
      <c r="G13" s="25" t="n">
        <f aca="false">IF(D13="Sim",C13*E13,0)</f>
        <v>4</v>
      </c>
      <c r="H13" s="16" t="n">
        <f aca="false">IF(D13="Sim",C13,0)</f>
        <v>4</v>
      </c>
      <c r="I13" s="26" t="n">
        <f aca="false">IF(D13="Sim",C13*(1-E13),0)+ROW()/1000000</f>
        <v>1.3E-005</v>
      </c>
      <c r="J13" s="16" t="str">
        <f aca="false">IF(AND(D13="Sim",F13="Sim",E13&lt;$C$4),"Não atende","")</f>
        <v/>
      </c>
    </row>
    <row r="14" customFormat="false" ht="15" hidden="false" customHeight="false" outlineLevel="0" collapsed="false">
      <c r="A14" s="16" t="n">
        <v>5</v>
      </c>
      <c r="B14" s="7" t="str">
        <f aca="false">Matching!C9</f>
        <v>Salário e benefícios</v>
      </c>
      <c r="C14" s="16" t="n">
        <f aca="false">Matching!J9</f>
        <v>5</v>
      </c>
      <c r="D14" s="14" t="s">
        <v>566</v>
      </c>
      <c r="E14" s="23" t="n">
        <v>0.5</v>
      </c>
      <c r="F14" s="14" t="s">
        <v>567</v>
      </c>
      <c r="G14" s="25" t="n">
        <f aca="false">IF(D14="Sim",C14*E14,0)</f>
        <v>2.5</v>
      </c>
      <c r="H14" s="16" t="n">
        <f aca="false">IF(D14="Sim",C14,0)</f>
        <v>5</v>
      </c>
      <c r="I14" s="26" t="n">
        <f aca="false">IF(D14="Sim",C14*(1-E14),0)+ROW()/1000000</f>
        <v>2.500014</v>
      </c>
      <c r="J14" s="16" t="str">
        <f aca="false">IF(AND(D14="Sim",F14="Sim",E14&lt;$C$4),"Não atende","")</f>
        <v/>
      </c>
      <c r="L14" s="13" t="s">
        <v>571</v>
      </c>
    </row>
    <row r="15" customFormat="false" ht="15" hidden="false" customHeight="false" outlineLevel="0" collapsed="false">
      <c r="A15" s="16" t="n">
        <v>6</v>
      </c>
      <c r="B15" s="7" t="str">
        <f aca="false">Matching!C10</f>
        <v>Quando começar</v>
      </c>
      <c r="C15" s="16" t="n">
        <f aca="false">Matching!J10</f>
        <v>2</v>
      </c>
      <c r="D15" s="14" t="s">
        <v>566</v>
      </c>
      <c r="E15" s="23" t="n">
        <v>1</v>
      </c>
      <c r="F15" s="14" t="s">
        <v>567</v>
      </c>
      <c r="G15" s="25" t="n">
        <f aca="false">IF(D15="Sim",C15*E15,0)</f>
        <v>2</v>
      </c>
      <c r="H15" s="16" t="n">
        <f aca="false">IF(D15="Sim",C15,0)</f>
        <v>2</v>
      </c>
      <c r="I15" s="26" t="n">
        <f aca="false">IF(D15="Sim",C15*(1-E15),0)+ROW()/1000000</f>
        <v>1.5E-005</v>
      </c>
      <c r="J15" s="16" t="str">
        <f aca="false">IF(AND(D15="Sim",F15="Sim",E15&lt;$C$4),"Não atende","")</f>
        <v/>
      </c>
      <c r="L15" s="7" t="str">
        <f aca="false">IF(LARGE($I$10:$I$29,1)&lt;0.001,"",INDEX($B$10:$B$29,MATCH(LARGE($I$10:$I$29,1),$I$10:$I$29,0)))</f>
        <v>Habilidades</v>
      </c>
    </row>
    <row r="16" customFormat="false" ht="15" hidden="false" customHeight="false" outlineLevel="0" collapsed="false">
      <c r="A16" s="16" t="n">
        <v>7</v>
      </c>
      <c r="B16" s="7" t="str">
        <f aca="false">Matching!C11</f>
        <v>Estudo junto com o trabalho</v>
      </c>
      <c r="C16" s="16" t="n">
        <f aca="false">Matching!J11</f>
        <v>2</v>
      </c>
      <c r="D16" s="14" t="s">
        <v>566</v>
      </c>
      <c r="E16" s="23" t="n">
        <v>0.5</v>
      </c>
      <c r="F16" s="14" t="s">
        <v>567</v>
      </c>
      <c r="G16" s="25" t="n">
        <f aca="false">IF(D16="Sim",C16*E16,0)</f>
        <v>1</v>
      </c>
      <c r="H16" s="16" t="n">
        <f aca="false">IF(D16="Sim",C16,0)</f>
        <v>2</v>
      </c>
      <c r="I16" s="26" t="n">
        <f aca="false">IF(D16="Sim",C16*(1-E16),0)+ROW()/1000000</f>
        <v>1.000016</v>
      </c>
      <c r="J16" s="16" t="str">
        <f aca="false">IF(AND(D16="Sim",F16="Sim",E16&lt;$C$4),"Não atende","")</f>
        <v/>
      </c>
      <c r="L16" s="7" t="str">
        <f aca="false">IF(LARGE($I$10:$I$29,2)&lt;0.001,"",INDEX($B$10:$B$29,MATCH(LARGE($I$10:$I$29,2),$I$10:$I$29,0)))</f>
        <v>Salário e benefícios</v>
      </c>
    </row>
    <row r="17" customFormat="false" ht="15" hidden="false" customHeight="false" outlineLevel="0" collapsed="false">
      <c r="A17" s="16" t="n">
        <v>8</v>
      </c>
      <c r="B17" s="7" t="str">
        <f aca="false">Matching!C12</f>
        <v>Função desejada</v>
      </c>
      <c r="C17" s="16" t="n">
        <f aca="false">Matching!J12</f>
        <v>5</v>
      </c>
      <c r="D17" s="14" t="s">
        <v>566</v>
      </c>
      <c r="E17" s="23" t="n">
        <v>1</v>
      </c>
      <c r="F17" s="14" t="s">
        <v>567</v>
      </c>
      <c r="G17" s="25" t="n">
        <f aca="false">IF(D17="Sim",C17*E17,0)</f>
        <v>5</v>
      </c>
      <c r="H17" s="16" t="n">
        <f aca="false">IF(D17="Sim",C17,0)</f>
        <v>5</v>
      </c>
      <c r="I17" s="26" t="n">
        <f aca="false">IF(D17="Sim",C17*(1-E17),0)+ROW()/1000000</f>
        <v>1.7E-005</v>
      </c>
      <c r="J17" s="16" t="str">
        <f aca="false">IF(AND(D17="Sim",F17="Sim",E17&lt;$C$4),"Não atende","")</f>
        <v/>
      </c>
      <c r="L17" s="7" t="str">
        <f aca="false">IF(LARGE($I$10:$I$29,3)&lt;0.001,"",INDEX($B$10:$B$29,MATCH(LARGE($I$10:$I$29,3),$I$10:$I$29,0)))</f>
        <v>Experiência</v>
      </c>
    </row>
    <row r="18" customFormat="false" ht="15" hidden="false" customHeight="false" outlineLevel="0" collapsed="false">
      <c r="A18" s="16" t="n">
        <v>9</v>
      </c>
      <c r="B18" s="7" t="str">
        <f aca="false">Matching!C13</f>
        <v>Experiência</v>
      </c>
      <c r="C18" s="16" t="n">
        <f aca="false">Matching!J13</f>
        <v>4</v>
      </c>
      <c r="D18" s="14" t="s">
        <v>566</v>
      </c>
      <c r="E18" s="23" t="n">
        <v>0.5</v>
      </c>
      <c r="F18" s="14" t="s">
        <v>566</v>
      </c>
      <c r="G18" s="25" t="n">
        <f aca="false">IF(D18="Sim",C18*E18,0)</f>
        <v>2</v>
      </c>
      <c r="H18" s="16" t="n">
        <f aca="false">IF(D18="Sim",C18,0)</f>
        <v>4</v>
      </c>
      <c r="I18" s="26" t="n">
        <f aca="false">IF(D18="Sim",C18*(1-E18),0)+ROW()/1000000</f>
        <v>2.000018</v>
      </c>
      <c r="J18" s="16" t="str">
        <f aca="false">IF(AND(D18="Sim",F18="Sim",E18&lt;$C$4),"Não atende","")</f>
        <v/>
      </c>
    </row>
    <row r="19" customFormat="false" ht="23.85" hidden="false" customHeight="false" outlineLevel="0" collapsed="false">
      <c r="A19" s="16" t="n">
        <v>10</v>
      </c>
      <c r="B19" s="7" t="str">
        <f aca="false">Matching!C14</f>
        <v>Escolaridade</v>
      </c>
      <c r="C19" s="16" t="n">
        <f aca="false">Matching!J14</f>
        <v>3</v>
      </c>
      <c r="D19" s="14" t="s">
        <v>566</v>
      </c>
      <c r="E19" s="23" t="n">
        <v>1</v>
      </c>
      <c r="F19" s="14" t="s">
        <v>567</v>
      </c>
      <c r="G19" s="25" t="n">
        <f aca="false">IF(D19="Sim",C19*E19,0)</f>
        <v>3</v>
      </c>
      <c r="H19" s="16" t="n">
        <f aca="false">IF(D19="Sim",C19,0)</f>
        <v>3</v>
      </c>
      <c r="I19" s="26" t="n">
        <f aca="false">IF(D19="Sim",C19*(1-E19),0)+ROW()/1000000</f>
        <v>1.9E-005</v>
      </c>
      <c r="J19" s="16" t="str">
        <f aca="false">IF(AND(D19="Sim",F19="Sim",E19&lt;$C$4),"Não atende","")</f>
        <v/>
      </c>
      <c r="L19" s="21" t="s">
        <v>572</v>
      </c>
    </row>
    <row r="20" customFormat="false" ht="15" hidden="false" customHeight="false" outlineLevel="0" collapsed="false">
      <c r="A20" s="16" t="n">
        <v>11</v>
      </c>
      <c r="B20" s="7" t="str">
        <f aca="false">Matching!C15</f>
        <v>Habilidades</v>
      </c>
      <c r="C20" s="16" t="n">
        <f aca="false">Matching!J15</f>
        <v>5</v>
      </c>
      <c r="D20" s="14" t="s">
        <v>566</v>
      </c>
      <c r="E20" s="23" t="n">
        <v>0.4</v>
      </c>
      <c r="F20" s="14" t="s">
        <v>567</v>
      </c>
      <c r="G20" s="25" t="n">
        <f aca="false">IF(D20="Sim",C20*E20,0)</f>
        <v>2</v>
      </c>
      <c r="H20" s="16" t="n">
        <f aca="false">IF(D20="Sim",C20,0)</f>
        <v>5</v>
      </c>
      <c r="I20" s="26" t="n">
        <f aca="false">IF(D20="Sim",C20*(1-E20),0)+ROW()/1000000</f>
        <v>3.00002</v>
      </c>
      <c r="J20" s="16" t="str">
        <f aca="false">IF(AND(D20="Sim",F20="Sim",E20&lt;$C$4),"Não atende","")</f>
        <v/>
      </c>
    </row>
    <row r="21" customFormat="false" ht="15" hidden="false" customHeight="false" outlineLevel="0" collapsed="false">
      <c r="A21" s="16" t="n">
        <v>12</v>
      </c>
      <c r="B21" s="7" t="str">
        <f aca="false">Matching!C16</f>
        <v>Ferramentas e equipamentos</v>
      </c>
      <c r="C21" s="16" t="n">
        <f aca="false">Matching!J16</f>
        <v>3</v>
      </c>
      <c r="D21" s="14" t="s">
        <v>566</v>
      </c>
      <c r="E21" s="23" t="n">
        <v>0.5</v>
      </c>
      <c r="F21" s="14" t="s">
        <v>567</v>
      </c>
      <c r="G21" s="25" t="n">
        <f aca="false">IF(D21="Sim",C21*E21,0)</f>
        <v>1.5</v>
      </c>
      <c r="H21" s="16" t="n">
        <f aca="false">IF(D21="Sim",C21,0)</f>
        <v>3</v>
      </c>
      <c r="I21" s="26" t="n">
        <f aca="false">IF(D21="Sim",C21*(1-E21),0)+ROW()/1000000</f>
        <v>1.500021</v>
      </c>
      <c r="J21" s="16" t="str">
        <f aca="false">IF(AND(D21="Sim",F21="Sim",E21&lt;$C$4),"Não atende","")</f>
        <v/>
      </c>
    </row>
    <row r="22" customFormat="false" ht="15" hidden="false" customHeight="false" outlineLevel="0" collapsed="false">
      <c r="A22" s="16" t="n">
        <v>13</v>
      </c>
      <c r="B22" s="7" t="str">
        <f aca="false">Matching!C17</f>
        <v>Habilitações e certificados</v>
      </c>
      <c r="C22" s="16" t="n">
        <f aca="false">Matching!J17</f>
        <v>4</v>
      </c>
      <c r="D22" s="14" t="s">
        <v>567</v>
      </c>
      <c r="E22" s="23" t="n">
        <v>1</v>
      </c>
      <c r="F22" s="14" t="s">
        <v>567</v>
      </c>
      <c r="G22" s="25" t="n">
        <f aca="false">IF(D22="Sim",C22*E22,0)</f>
        <v>0</v>
      </c>
      <c r="H22" s="16" t="n">
        <f aca="false">IF(D22="Sim",C22,0)</f>
        <v>0</v>
      </c>
      <c r="I22" s="26" t="n">
        <f aca="false">IF(D22="Sim",C22*(1-E22),0)+ROW()/1000000</f>
        <v>2.2E-005</v>
      </c>
      <c r="J22" s="16" t="str">
        <f aca="false">IF(AND(D22="Sim",F22="Sim",E22&lt;$C$4),"Não atende","")</f>
        <v/>
      </c>
    </row>
    <row r="23" customFormat="false" ht="15" hidden="false" customHeight="false" outlineLevel="0" collapsed="false">
      <c r="A23" s="16" t="n">
        <v>14</v>
      </c>
      <c r="B23" s="7" t="str">
        <f aca="false">Matching!C18</f>
        <v>Idiomas</v>
      </c>
      <c r="C23" s="16" t="n">
        <f aca="false">Matching!J18</f>
        <v>2</v>
      </c>
      <c r="D23" s="14" t="s">
        <v>567</v>
      </c>
      <c r="E23" s="23" t="n">
        <v>1</v>
      </c>
      <c r="F23" s="14" t="s">
        <v>567</v>
      </c>
      <c r="G23" s="25" t="n">
        <f aca="false">IF(D23="Sim",C23*E23,0)</f>
        <v>0</v>
      </c>
      <c r="H23" s="16" t="n">
        <f aca="false">IF(D23="Sim",C23,0)</f>
        <v>0</v>
      </c>
      <c r="I23" s="26" t="n">
        <f aca="false">IF(D23="Sim",C23*(1-E23),0)+ROW()/1000000</f>
        <v>2.3E-005</v>
      </c>
      <c r="J23" s="16" t="str">
        <f aca="false">IF(AND(D23="Sim",F23="Sim",E23&lt;$C$4),"Não atende","")</f>
        <v/>
      </c>
    </row>
    <row r="24" customFormat="false" ht="15" hidden="false" customHeight="false" outlineLevel="0" collapsed="false">
      <c r="A24" s="16" t="n">
        <v>15</v>
      </c>
      <c r="B24" s="7" t="str">
        <f aca="false">Matching!C19</f>
        <v>Ambiente</v>
      </c>
      <c r="C24" s="16" t="n">
        <f aca="false">Matching!J19</f>
        <v>3</v>
      </c>
      <c r="D24" s="14" t="s">
        <v>566</v>
      </c>
      <c r="E24" s="23" t="n">
        <v>1</v>
      </c>
      <c r="F24" s="14" t="s">
        <v>567</v>
      </c>
      <c r="G24" s="25" t="n">
        <f aca="false">IF(D24="Sim",C24*E24,0)</f>
        <v>3</v>
      </c>
      <c r="H24" s="16" t="n">
        <f aca="false">IF(D24="Sim",C24,0)</f>
        <v>3</v>
      </c>
      <c r="I24" s="26" t="n">
        <f aca="false">IF(D24="Sim",C24*(1-E24),0)+ROW()/1000000</f>
        <v>2.4E-005</v>
      </c>
      <c r="J24" s="16" t="str">
        <f aca="false">IF(AND(D24="Sim",F24="Sim",E24&lt;$C$4),"Não atende","")</f>
        <v/>
      </c>
    </row>
    <row r="25" customFormat="false" ht="15" hidden="false" customHeight="false" outlineLevel="0" collapsed="false">
      <c r="A25" s="16" t="n">
        <v>16</v>
      </c>
      <c r="B25" s="7" t="str">
        <f aca="false">Matching!C20</f>
        <v>Ritmo</v>
      </c>
      <c r="C25" s="16" t="n">
        <f aca="false">Matching!J20</f>
        <v>3</v>
      </c>
      <c r="D25" s="14" t="s">
        <v>566</v>
      </c>
      <c r="E25" s="23" t="n">
        <v>0.5</v>
      </c>
      <c r="F25" s="14" t="s">
        <v>567</v>
      </c>
      <c r="G25" s="25" t="n">
        <f aca="false">IF(D25="Sim",C25*E25,0)</f>
        <v>1.5</v>
      </c>
      <c r="H25" s="16" t="n">
        <f aca="false">IF(D25="Sim",C25,0)</f>
        <v>3</v>
      </c>
      <c r="I25" s="26" t="n">
        <f aca="false">IF(D25="Sim",C25*(1-E25),0)+ROW()/1000000</f>
        <v>1.500025</v>
      </c>
      <c r="J25" s="16" t="str">
        <f aca="false">IF(AND(D25="Sim",F25="Sim",E25&lt;$C$4),"Não atende","")</f>
        <v/>
      </c>
    </row>
    <row r="26" customFormat="false" ht="15" hidden="false" customHeight="false" outlineLevel="0" collapsed="false">
      <c r="A26" s="16" t="n">
        <v>17</v>
      </c>
      <c r="B26" s="7" t="str">
        <f aca="false">Matching!C21</f>
        <v>Equipe</v>
      </c>
      <c r="C26" s="16" t="n">
        <f aca="false">Matching!J21</f>
        <v>2</v>
      </c>
      <c r="D26" s="14" t="s">
        <v>566</v>
      </c>
      <c r="E26" s="23" t="n">
        <v>1</v>
      </c>
      <c r="F26" s="14" t="s">
        <v>567</v>
      </c>
      <c r="G26" s="25" t="n">
        <f aca="false">IF(D26="Sim",C26*E26,0)</f>
        <v>2</v>
      </c>
      <c r="H26" s="16" t="n">
        <f aca="false">IF(D26="Sim",C26,0)</f>
        <v>2</v>
      </c>
      <c r="I26" s="26" t="n">
        <f aca="false">IF(D26="Sim",C26*(1-E26),0)+ROW()/1000000</f>
        <v>2.6E-005</v>
      </c>
      <c r="J26" s="16" t="str">
        <f aca="false">IF(AND(D26="Sim",F26="Sim",E26&lt;$C$4),"Não atende","")</f>
        <v/>
      </c>
    </row>
    <row r="27" customFormat="false" ht="15" hidden="false" customHeight="false" outlineLevel="0" collapsed="false">
      <c r="A27" s="16" t="n">
        <v>18</v>
      </c>
      <c r="B27" s="7" t="str">
        <f aca="false">Matching!C22</f>
        <v>Contato com o público</v>
      </c>
      <c r="C27" s="16" t="n">
        <f aca="false">Matching!J22</f>
        <v>3</v>
      </c>
      <c r="D27" s="14" t="s">
        <v>566</v>
      </c>
      <c r="E27" s="23" t="n">
        <v>1</v>
      </c>
      <c r="F27" s="14" t="s">
        <v>567</v>
      </c>
      <c r="G27" s="25" t="n">
        <f aca="false">IF(D27="Sim",C27*E27,0)</f>
        <v>3</v>
      </c>
      <c r="H27" s="16" t="n">
        <f aca="false">IF(D27="Sim",C27,0)</f>
        <v>3</v>
      </c>
      <c r="I27" s="26" t="n">
        <f aca="false">IF(D27="Sim",C27*(1-E27),0)+ROW()/1000000</f>
        <v>2.7E-005</v>
      </c>
      <c r="J27" s="16" t="str">
        <f aca="false">IF(AND(D27="Sim",F27="Sim",E27&lt;$C$4),"Não atende","")</f>
        <v/>
      </c>
    </row>
    <row r="28" customFormat="false" ht="15" hidden="false" customHeight="false" outlineLevel="0" collapsed="false">
      <c r="A28" s="16" t="n">
        <v>19</v>
      </c>
      <c r="B28" s="7" t="str">
        <f aca="false">Matching!C23</f>
        <v>Esforço físico</v>
      </c>
      <c r="C28" s="16" t="n">
        <f aca="false">Matching!J23</f>
        <v>2</v>
      </c>
      <c r="D28" s="14" t="s">
        <v>566</v>
      </c>
      <c r="E28" s="23" t="n">
        <v>0.5</v>
      </c>
      <c r="F28" s="14" t="s">
        <v>567</v>
      </c>
      <c r="G28" s="25" t="n">
        <f aca="false">IF(D28="Sim",C28*E28,0)</f>
        <v>1</v>
      </c>
      <c r="H28" s="16" t="n">
        <f aca="false">IF(D28="Sim",C28,0)</f>
        <v>2</v>
      </c>
      <c r="I28" s="26" t="n">
        <f aca="false">IF(D28="Sim",C28*(1-E28),0)+ROW()/1000000</f>
        <v>1.000028</v>
      </c>
      <c r="J28" s="16" t="str">
        <f aca="false">IF(AND(D28="Sim",F28="Sim",E28&lt;$C$4),"Não atende","")</f>
        <v/>
      </c>
    </row>
    <row r="29" customFormat="false" ht="15" hidden="false" customHeight="false" outlineLevel="0" collapsed="false">
      <c r="A29" s="16" t="n">
        <v>20</v>
      </c>
      <c r="B29" s="7" t="str">
        <f aca="false">Matching!C24</f>
        <v>Crescimento</v>
      </c>
      <c r="C29" s="16" t="n">
        <f aca="false">Matching!J24</f>
        <v>2</v>
      </c>
      <c r="D29" s="14" t="s">
        <v>566</v>
      </c>
      <c r="E29" s="23" t="n">
        <v>0.5</v>
      </c>
      <c r="F29" s="14" t="s">
        <v>567</v>
      </c>
      <c r="G29" s="25" t="n">
        <f aca="false">IF(D29="Sim",C29*E29,0)</f>
        <v>1</v>
      </c>
      <c r="H29" s="16" t="n">
        <f aca="false">IF(D29="Sim",C29,0)</f>
        <v>2</v>
      </c>
      <c r="I29" s="26" t="n">
        <f aca="false">IF(D29="Sim",C29*(1-E29),0)+ROW()/1000000</f>
        <v>1.000029</v>
      </c>
      <c r="J29" s="16" t="str">
        <f aca="false">IF(AND(D29="Sim",F29="Sim",E29&lt;$C$4),"Não atende","")</f>
        <v/>
      </c>
    </row>
  </sheetData>
  <dataValidations count="2">
    <dataValidation allowBlank="false" errorStyle="stop" operator="between" showDropDown="false" showErrorMessage="false" showInputMessage="false" sqref="D10:D29 F10:F29" type="list">
      <formula1>"Sim,Não"</formula1>
      <formula2>0</formula2>
    </dataValidation>
    <dataValidation allowBlank="false" errorStyle="stop" operator="between" showDropDown="false" showErrorMessage="false" showInputMessage="false" sqref="E10:E2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D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24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1" t="s">
        <v>573</v>
      </c>
    </row>
    <row r="2" customFormat="false" ht="15" hidden="false" customHeight="false" outlineLevel="0" collapsed="false">
      <c r="A2" s="2" t="s">
        <v>574</v>
      </c>
    </row>
    <row r="4" customFormat="false" ht="31.5" hidden="false" customHeight="true" outlineLevel="0" collapsed="false">
      <c r="A4" s="11" t="s">
        <v>575</v>
      </c>
      <c r="B4" s="11" t="s">
        <v>576</v>
      </c>
      <c r="C4" s="11" t="s">
        <v>577</v>
      </c>
    </row>
    <row r="5" customFormat="false" ht="15" hidden="false" customHeight="false" outlineLevel="0" collapsed="false">
      <c r="A5" s="7" t="s">
        <v>578</v>
      </c>
      <c r="B5" s="14" t="n">
        <v>4.5</v>
      </c>
      <c r="C5" s="14" t="n">
        <v>0</v>
      </c>
    </row>
    <row r="6" customFormat="false" ht="15" hidden="false" customHeight="false" outlineLevel="0" collapsed="false">
      <c r="A6" s="7" t="s">
        <v>579</v>
      </c>
      <c r="B6" s="14" t="n">
        <v>12</v>
      </c>
      <c r="C6" s="14" t="n">
        <v>2</v>
      </c>
    </row>
    <row r="7" customFormat="false" ht="15" hidden="false" customHeight="false" outlineLevel="0" collapsed="false">
      <c r="A7" s="7" t="s">
        <v>580</v>
      </c>
      <c r="B7" s="14" t="n">
        <v>25</v>
      </c>
      <c r="C7" s="14" t="n">
        <v>3</v>
      </c>
    </row>
    <row r="8" customFormat="false" ht="15" hidden="false" customHeight="false" outlineLevel="0" collapsed="false">
      <c r="A8" s="7" t="s">
        <v>581</v>
      </c>
      <c r="B8" s="14" t="n">
        <v>15</v>
      </c>
      <c r="C8" s="14" t="n">
        <v>12</v>
      </c>
    </row>
    <row r="9" customFormat="false" ht="15" hidden="false" customHeight="false" outlineLevel="0" collapsed="false">
      <c r="A9" s="7" t="s">
        <v>582</v>
      </c>
      <c r="B9" s="14" t="n">
        <v>22</v>
      </c>
      <c r="C9" s="14" t="n">
        <v>5</v>
      </c>
    </row>
    <row r="11" customFormat="false" ht="15" hidden="false" customHeight="false" outlineLevel="0" collapsed="false">
      <c r="A11" s="15" t="s">
        <v>583</v>
      </c>
      <c r="B11" s="14" t="n">
        <v>1.3</v>
      </c>
    </row>
    <row r="12" customFormat="false" ht="15" hidden="false" customHeight="false" outlineLevel="0" collapsed="false">
      <c r="A12" s="15" t="s">
        <v>584</v>
      </c>
      <c r="B12" s="14" t="n">
        <v>45</v>
      </c>
    </row>
    <row r="13" customFormat="false" ht="15" hidden="false" customHeight="false" outlineLevel="0" collapsed="false">
      <c r="A13" s="15" t="s">
        <v>585</v>
      </c>
      <c r="B13" s="14" t="s">
        <v>581</v>
      </c>
    </row>
    <row r="14" customFormat="false" ht="15" hidden="false" customHeight="false" outlineLevel="0" collapsed="false">
      <c r="A14" s="15" t="s">
        <v>586</v>
      </c>
      <c r="B14" s="14" t="s">
        <v>587</v>
      </c>
    </row>
    <row r="15" customFormat="false" ht="15" hidden="false" customHeight="false" outlineLevel="0" collapsed="false">
      <c r="A15" s="15" t="s">
        <v>588</v>
      </c>
      <c r="B15" s="14" t="n">
        <v>30</v>
      </c>
    </row>
    <row r="17" customFormat="false" ht="31.5" hidden="false" customHeight="true" outlineLevel="0" collapsed="false">
      <c r="A17" s="11" t="s">
        <v>589</v>
      </c>
      <c r="B17" s="11" t="s">
        <v>590</v>
      </c>
      <c r="C17" s="11" t="s">
        <v>591</v>
      </c>
      <c r="D17" s="11"/>
    </row>
    <row r="18" customFormat="false" ht="15" hidden="false" customHeight="false" outlineLevel="0" collapsed="false">
      <c r="A18" s="15" t="s">
        <v>592</v>
      </c>
      <c r="B18" s="29" t="n">
        <v>-3.78</v>
      </c>
      <c r="C18" s="29" t="n">
        <v>-38.5</v>
      </c>
    </row>
    <row r="19" customFormat="false" ht="15" hidden="false" customHeight="false" outlineLevel="0" collapsed="false">
      <c r="A19" s="15" t="s">
        <v>593</v>
      </c>
      <c r="B19" s="29" t="n">
        <v>-3.73</v>
      </c>
      <c r="C19" s="29" t="n">
        <v>-38.52</v>
      </c>
    </row>
    <row r="20" customFormat="false" ht="15" hidden="false" customHeight="false" outlineLevel="0" collapsed="false">
      <c r="A20" s="15" t="s">
        <v>594</v>
      </c>
      <c r="B20" s="29" t="n">
        <v>-3.75</v>
      </c>
      <c r="C20" s="29" t="n">
        <v>-38.53</v>
      </c>
    </row>
    <row r="22" customFormat="false" ht="31.5" hidden="false" customHeight="true" outlineLevel="0" collapsed="false">
      <c r="A22" s="11" t="s">
        <v>595</v>
      </c>
      <c r="B22" s="11" t="s">
        <v>596</v>
      </c>
      <c r="C22" s="11" t="s">
        <v>597</v>
      </c>
      <c r="D22" s="11" t="s">
        <v>560</v>
      </c>
    </row>
    <row r="23" customFormat="false" ht="15" hidden="false" customHeight="false" outlineLevel="0" collapsed="false">
      <c r="A23" s="15" t="s">
        <v>598</v>
      </c>
      <c r="B23" s="16" t="n">
        <f aca="false">ROUND(2*6371*ASIN(SQRT(SIN(RADIANS(B19-B18)/2)^2+COS(RADIANS(B18))*COS(RADIANS(B19))*SIN(RADIANS(C19-C18)/2)^2)),1)</f>
        <v>6</v>
      </c>
      <c r="C23" s="16" t="n">
        <f aca="false">ROUND(B23*$B$11/INDEX($B$5:$B$9,MATCH($B$13,$A$5:$A$9,0))*60+INDEX($C$5:$C$9,MATCH($B$13,$A$5:$A$9,0)),0)</f>
        <v>43</v>
      </c>
      <c r="D23" s="16" t="n">
        <f aca="false">IF(C23&lt;=$B$12,1,IF(C23&lt;=1.2*$B$12,0.5,0))</f>
        <v>1</v>
      </c>
    </row>
    <row r="24" customFormat="false" ht="15" hidden="false" customHeight="false" outlineLevel="0" collapsed="false">
      <c r="A24" s="15" t="s">
        <v>599</v>
      </c>
      <c r="B24" s="16" t="n">
        <f aca="false">ROUND(2*6371*ASIN(SQRT(SIN(RADIANS(B20-B18)/2)^2+COS(RADIANS(B18))*COS(RADIANS(B20))*SIN(RADIANS(C20-C18)/2)^2)),1)</f>
        <v>4.7</v>
      </c>
      <c r="C24" s="16" t="n">
        <f aca="false">ROUND(B24*$B$11/INDEX($B$5:$B$9,MATCH($B$13,$A$5:$A$9,0))*60+INDEX($C$5:$C$9,MATCH($B$13,$A$5:$A$9,0)),0)</f>
        <v>36</v>
      </c>
      <c r="D24" s="16"/>
    </row>
    <row r="25" customFormat="false" ht="15" hidden="false" customHeight="false" outlineLevel="0" collapsed="false">
      <c r="A25" s="15" t="s">
        <v>600</v>
      </c>
      <c r="B25" s="16" t="n">
        <f aca="false">ROUND(2*6371*ASIN(SQRT(SIN(RADIANS(B19-B20)/2)^2+COS(RADIANS(B20))*COS(RADIANS(B19))*SIN(RADIANS(C19-C20)/2)^2)),1)</f>
        <v>2.5</v>
      </c>
      <c r="C25" s="16" t="n">
        <f aca="false">ROUND(B25*$B$11/INDEX($B$5:$B$9,MATCH($B$13,$A$5:$A$9,0))*60+INDEX($C$5:$C$9,MATCH($B$13,$A$5:$A$9,0)),0)</f>
        <v>25</v>
      </c>
      <c r="D25" s="16"/>
    </row>
    <row r="26" customFormat="false" ht="23.85" hidden="false" customHeight="false" outlineLevel="0" collapsed="false">
      <c r="A26" s="15" t="s">
        <v>601</v>
      </c>
      <c r="D26" s="16" t="n">
        <f aca="false">IF($B$14="EAD",1,IF(MIN(C24,C25)&lt;=$B$15,1,IF(MIN(C24,C25)&lt;=1.5*$B$15,0.5,0)))</f>
        <v>1</v>
      </c>
    </row>
    <row r="28" customFormat="false" ht="31.5" hidden="false" customHeight="true" outlineLevel="0" collapsed="false">
      <c r="A28" s="11" t="s">
        <v>602</v>
      </c>
      <c r="B28" s="11" t="s">
        <v>603</v>
      </c>
    </row>
    <row r="29" customFormat="false" ht="15" hidden="false" customHeight="false" outlineLevel="0" collapsed="false">
      <c r="A29" s="7" t="str">
        <f aca="false">A5</f>
        <v>A pé</v>
      </c>
      <c r="B29" s="16" t="n">
        <f aca="false">ROUND($B$23*$B$11/INDEX($B$5:$B$9,MATCH(A5,$A$5:$A$9,0))*60+INDEX($C$5:$C$9,MATCH(A5,$A$5:$A$9,0)),0)</f>
        <v>104</v>
      </c>
    </row>
    <row r="30" customFormat="false" ht="15" hidden="false" customHeight="false" outlineLevel="0" collapsed="false">
      <c r="A30" s="7" t="str">
        <f aca="false">A6</f>
        <v>Bicicleta</v>
      </c>
      <c r="B30" s="16" t="n">
        <f aca="false">ROUND($B$23*$B$11/INDEX($B$5:$B$9,MATCH(A6,$A$5:$A$9,0))*60+INDEX($C$5:$C$9,MATCH(A6,$A$5:$A$9,0)),0)</f>
        <v>41</v>
      </c>
    </row>
    <row r="31" customFormat="false" ht="15" hidden="false" customHeight="false" outlineLevel="0" collapsed="false">
      <c r="A31" s="7" t="str">
        <f aca="false">A7</f>
        <v>Moto</v>
      </c>
      <c r="B31" s="16" t="n">
        <f aca="false">ROUND($B$23*$B$11/INDEX($B$5:$B$9,MATCH(A7,$A$5:$A$9,0))*60+INDEX($C$5:$C$9,MATCH(A7,$A$5:$A$9,0)),0)</f>
        <v>22</v>
      </c>
    </row>
    <row r="32" customFormat="false" ht="15" hidden="false" customHeight="false" outlineLevel="0" collapsed="false">
      <c r="A32" s="7" t="str">
        <f aca="false">A8</f>
        <v>Ônibus</v>
      </c>
      <c r="B32" s="16" t="n">
        <f aca="false">ROUND($B$23*$B$11/INDEX($B$5:$B$9,MATCH(A8,$A$5:$A$9,0))*60+INDEX($C$5:$C$9,MATCH(A8,$A$5:$A$9,0)),0)</f>
        <v>43</v>
      </c>
    </row>
    <row r="33" customFormat="false" ht="15" hidden="false" customHeight="false" outlineLevel="0" collapsed="false">
      <c r="A33" s="7" t="str">
        <f aca="false">A9</f>
        <v>Carro</v>
      </c>
      <c r="B33" s="16" t="n">
        <f aca="false">ROUND($B$23*$B$11/INDEX($B$5:$B$9,MATCH(A9,$A$5:$A$9,0))*60+INDEX($C$5:$C$9,MATCH(A9,$A$5:$A$9,0)),0)</f>
        <v>26</v>
      </c>
    </row>
    <row r="35" customFormat="false" ht="27.75" hidden="false" customHeight="true" outlineLevel="0" collapsed="false">
      <c r="A35" s="5" t="s">
        <v>604</v>
      </c>
      <c r="B35" s="5"/>
      <c r="C35" s="5"/>
      <c r="D35" s="5"/>
    </row>
    <row r="36" customFormat="false" ht="27.75" hidden="false" customHeight="true" outlineLevel="0" collapsed="false">
      <c r="A36" s="5" t="s">
        <v>605</v>
      </c>
      <c r="B36" s="5"/>
      <c r="C36" s="5"/>
      <c r="D36" s="5"/>
    </row>
    <row r="37" customFormat="false" ht="27.75" hidden="false" customHeight="true" outlineLevel="0" collapsed="false">
      <c r="A37" s="5" t="s">
        <v>606</v>
      </c>
      <c r="B37" s="5"/>
      <c r="C37" s="5"/>
      <c r="D37" s="5"/>
    </row>
    <row r="38" customFormat="false" ht="27.75" hidden="false" customHeight="true" outlineLevel="0" collapsed="false">
      <c r="A38" s="5" t="s">
        <v>607</v>
      </c>
      <c r="B38" s="5"/>
      <c r="C38" s="5"/>
      <c r="D38" s="5"/>
    </row>
  </sheetData>
  <mergeCells count="4">
    <mergeCell ref="A35:D35"/>
    <mergeCell ref="A36:D36"/>
    <mergeCell ref="A37:D37"/>
    <mergeCell ref="A38:D38"/>
  </mergeCells>
  <dataValidations count="2">
    <dataValidation allowBlank="false" errorStyle="stop" operator="between" showDropDown="false" showErrorMessage="false" showInputMessage="false" sqref="B13" type="list">
      <formula1>$A$5:$A$9</formula1>
      <formula2>0</formula2>
    </dataValidation>
    <dataValidation allowBlank="false" errorStyle="stop" operator="between" showDropDown="false" showErrorMessage="false" showInputMessage="false" sqref="B14" type="list">
      <formula1>"EAD,Presencial"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40"/>
    <col collapsed="false" customWidth="true" hidden="false" outlineLevel="0" max="4" min="4" style="0" width="38"/>
    <col collapsed="false" customWidth="true" hidden="false" outlineLevel="0" max="5" min="5" style="0" width="52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36"/>
    <col collapsed="false" customWidth="true" hidden="false" outlineLevel="0" max="9" min="9" style="0" width="26"/>
  </cols>
  <sheetData>
    <row r="1" customFormat="false" ht="17.35" hidden="false" customHeight="false" outlineLevel="0" collapsed="false">
      <c r="A1" s="1" t="s">
        <v>608</v>
      </c>
    </row>
    <row r="2" customFormat="false" ht="15" hidden="false" customHeight="false" outlineLevel="0" collapsed="false">
      <c r="A2" s="2" t="s">
        <v>609</v>
      </c>
    </row>
    <row r="4" customFormat="false" ht="31.5" hidden="false" customHeight="true" outlineLevel="0" collapsed="false">
      <c r="A4" s="11" t="s">
        <v>610</v>
      </c>
      <c r="B4" s="11" t="s">
        <v>611</v>
      </c>
      <c r="C4" s="11" t="s">
        <v>612</v>
      </c>
      <c r="D4" s="11" t="s">
        <v>613</v>
      </c>
      <c r="E4" s="11" t="s">
        <v>614</v>
      </c>
      <c r="F4" s="11" t="s">
        <v>615</v>
      </c>
      <c r="G4" s="11" t="s">
        <v>616</v>
      </c>
      <c r="H4" s="11" t="s">
        <v>617</v>
      </c>
      <c r="I4" s="11" t="s">
        <v>618</v>
      </c>
    </row>
    <row r="5" customFormat="false" ht="23.85" hidden="false" customHeight="false" outlineLevel="0" collapsed="false">
      <c r="A5" s="16" t="n">
        <v>1</v>
      </c>
      <c r="B5" s="7" t="s">
        <v>619</v>
      </c>
      <c r="C5" s="7" t="s">
        <v>620</v>
      </c>
      <c r="D5" s="7" t="s">
        <v>621</v>
      </c>
      <c r="E5" s="7" t="s">
        <v>622</v>
      </c>
      <c r="F5" s="7" t="s">
        <v>566</v>
      </c>
      <c r="G5" s="7" t="s">
        <v>623</v>
      </c>
      <c r="H5" s="7" t="s">
        <v>624</v>
      </c>
      <c r="I5" s="7" t="s">
        <v>567</v>
      </c>
    </row>
    <row r="6" customFormat="false" ht="23.85" hidden="false" customHeight="false" outlineLevel="0" collapsed="false">
      <c r="A6" s="16" t="n">
        <v>2</v>
      </c>
      <c r="B6" s="7" t="s">
        <v>625</v>
      </c>
      <c r="C6" s="7" t="s">
        <v>626</v>
      </c>
      <c r="D6" s="7" t="s">
        <v>627</v>
      </c>
      <c r="E6" s="7" t="s">
        <v>628</v>
      </c>
      <c r="F6" s="7" t="s">
        <v>566</v>
      </c>
      <c r="G6" s="7" t="s">
        <v>629</v>
      </c>
      <c r="H6" s="7" t="s">
        <v>624</v>
      </c>
      <c r="I6" s="7" t="s">
        <v>567</v>
      </c>
    </row>
    <row r="7" customFormat="false" ht="23.85" hidden="false" customHeight="false" outlineLevel="0" collapsed="false">
      <c r="A7" s="16" t="n">
        <v>3</v>
      </c>
      <c r="B7" s="7" t="s">
        <v>630</v>
      </c>
      <c r="C7" s="7" t="s">
        <v>631</v>
      </c>
      <c r="D7" s="7" t="s">
        <v>632</v>
      </c>
      <c r="E7" s="7" t="s">
        <v>633</v>
      </c>
      <c r="F7" s="7" t="s">
        <v>566</v>
      </c>
      <c r="G7" s="7" t="s">
        <v>634</v>
      </c>
      <c r="H7" s="7" t="s">
        <v>635</v>
      </c>
      <c r="I7" s="7" t="s">
        <v>636</v>
      </c>
    </row>
    <row r="8" customFormat="false" ht="15" hidden="false" customHeight="false" outlineLevel="0" collapsed="false">
      <c r="A8" s="16" t="n">
        <v>4</v>
      </c>
      <c r="B8" s="7" t="s">
        <v>637</v>
      </c>
      <c r="C8" s="7" t="s">
        <v>638</v>
      </c>
      <c r="D8" s="7" t="s">
        <v>639</v>
      </c>
      <c r="E8" s="7" t="s">
        <v>640</v>
      </c>
      <c r="F8" s="7" t="s">
        <v>566</v>
      </c>
      <c r="G8" s="7" t="s">
        <v>641</v>
      </c>
      <c r="H8" s="7" t="s">
        <v>624</v>
      </c>
      <c r="I8" s="7" t="s">
        <v>566</v>
      </c>
    </row>
    <row r="9" customFormat="false" ht="15" hidden="false" customHeight="false" outlineLevel="0" collapsed="false">
      <c r="A9" s="16" t="n">
        <v>5</v>
      </c>
      <c r="B9" s="7" t="s">
        <v>637</v>
      </c>
      <c r="C9" s="7" t="s">
        <v>642</v>
      </c>
      <c r="D9" s="7" t="s">
        <v>627</v>
      </c>
      <c r="E9" s="7" t="s">
        <v>643</v>
      </c>
      <c r="F9" s="7" t="s">
        <v>566</v>
      </c>
      <c r="G9" s="7" t="s">
        <v>644</v>
      </c>
      <c r="H9" s="7" t="s">
        <v>624</v>
      </c>
      <c r="I9" s="7" t="s">
        <v>566</v>
      </c>
    </row>
    <row r="10" customFormat="false" ht="23.85" hidden="false" customHeight="false" outlineLevel="0" collapsed="false">
      <c r="A10" s="16" t="n">
        <v>6</v>
      </c>
      <c r="B10" s="7" t="s">
        <v>645</v>
      </c>
      <c r="C10" s="7" t="s">
        <v>478</v>
      </c>
      <c r="D10" s="7" t="s">
        <v>627</v>
      </c>
      <c r="E10" s="7" t="s">
        <v>646</v>
      </c>
      <c r="F10" s="7" t="s">
        <v>566</v>
      </c>
      <c r="G10" s="7" t="s">
        <v>647</v>
      </c>
      <c r="H10" s="7" t="s">
        <v>624</v>
      </c>
      <c r="I10" s="7" t="s">
        <v>566</v>
      </c>
    </row>
    <row r="11" customFormat="false" ht="15" hidden="false" customHeight="false" outlineLevel="0" collapsed="false">
      <c r="A11" s="16" t="n">
        <v>7</v>
      </c>
      <c r="B11" s="7" t="s">
        <v>648</v>
      </c>
      <c r="C11" s="7" t="s">
        <v>649</v>
      </c>
      <c r="D11" s="7" t="s">
        <v>650</v>
      </c>
      <c r="E11" s="7" t="s">
        <v>651</v>
      </c>
      <c r="F11" s="7" t="s">
        <v>566</v>
      </c>
      <c r="G11" s="7" t="s">
        <v>652</v>
      </c>
      <c r="H11" s="7" t="s">
        <v>624</v>
      </c>
      <c r="I11" s="7" t="s">
        <v>566</v>
      </c>
    </row>
    <row r="12" customFormat="false" ht="15" hidden="false" customHeight="false" outlineLevel="0" collapsed="false">
      <c r="A12" s="16" t="n">
        <v>8</v>
      </c>
      <c r="B12" s="7" t="s">
        <v>653</v>
      </c>
      <c r="C12" s="7" t="s">
        <v>654</v>
      </c>
      <c r="D12" s="7" t="s">
        <v>650</v>
      </c>
      <c r="E12" s="7" t="s">
        <v>655</v>
      </c>
      <c r="F12" s="7" t="s">
        <v>566</v>
      </c>
      <c r="G12" s="7" t="s">
        <v>656</v>
      </c>
      <c r="H12" s="7" t="s">
        <v>624</v>
      </c>
      <c r="I12" s="7" t="s">
        <v>566</v>
      </c>
    </row>
    <row r="13" customFormat="false" ht="23.85" hidden="false" customHeight="false" outlineLevel="0" collapsed="false">
      <c r="A13" s="16" t="n">
        <v>9</v>
      </c>
      <c r="B13" s="7" t="s">
        <v>657</v>
      </c>
      <c r="C13" s="7" t="s">
        <v>658</v>
      </c>
      <c r="D13" s="7" t="s">
        <v>659</v>
      </c>
      <c r="E13" s="7" t="s">
        <v>660</v>
      </c>
      <c r="F13" s="7" t="s">
        <v>567</v>
      </c>
      <c r="G13" s="7" t="s">
        <v>661</v>
      </c>
      <c r="H13" s="7" t="s">
        <v>624</v>
      </c>
      <c r="I13" s="7" t="s">
        <v>662</v>
      </c>
    </row>
    <row r="14" customFormat="false" ht="23.85" hidden="false" customHeight="false" outlineLevel="0" collapsed="false">
      <c r="A14" s="16" t="n">
        <v>10</v>
      </c>
      <c r="B14" s="7" t="s">
        <v>7</v>
      </c>
      <c r="C14" s="7" t="s">
        <v>663</v>
      </c>
      <c r="D14" s="7" t="s">
        <v>627</v>
      </c>
      <c r="E14" s="7" t="s">
        <v>664</v>
      </c>
      <c r="F14" s="7" t="s">
        <v>567</v>
      </c>
      <c r="G14" s="7" t="s">
        <v>665</v>
      </c>
      <c r="H14" s="7" t="s">
        <v>624</v>
      </c>
      <c r="I14" s="7" t="s">
        <v>567</v>
      </c>
    </row>
    <row r="15" customFormat="false" ht="23.85" hidden="false" customHeight="false" outlineLevel="0" collapsed="false">
      <c r="A15" s="16" t="n">
        <v>11</v>
      </c>
      <c r="B15" s="7" t="s">
        <v>666</v>
      </c>
      <c r="C15" s="7" t="s">
        <v>667</v>
      </c>
      <c r="D15" s="7" t="s">
        <v>668</v>
      </c>
      <c r="E15" s="7" t="s">
        <v>669</v>
      </c>
      <c r="F15" s="7" t="s">
        <v>567</v>
      </c>
      <c r="G15" s="7" t="s">
        <v>670</v>
      </c>
      <c r="H15" s="7" t="s">
        <v>671</v>
      </c>
      <c r="I15" s="7" t="s">
        <v>567</v>
      </c>
    </row>
    <row r="16" customFormat="false" ht="23.85" hidden="false" customHeight="false" outlineLevel="0" collapsed="false">
      <c r="A16" s="16" t="n">
        <v>12</v>
      </c>
      <c r="B16" s="7" t="s">
        <v>672</v>
      </c>
      <c r="C16" s="7" t="s">
        <v>673</v>
      </c>
      <c r="D16" s="7" t="s">
        <v>674</v>
      </c>
      <c r="E16" s="7" t="s">
        <v>669</v>
      </c>
      <c r="F16" s="7" t="s">
        <v>567</v>
      </c>
      <c r="G16" s="7" t="s">
        <v>675</v>
      </c>
      <c r="H16" s="7" t="s">
        <v>671</v>
      </c>
      <c r="I16" s="7" t="s">
        <v>676</v>
      </c>
    </row>
    <row r="17" customFormat="false" ht="15" hidden="false" customHeight="false" outlineLevel="0" collapsed="false">
      <c r="A17" s="16" t="n">
        <v>13</v>
      </c>
      <c r="B17" s="7" t="s">
        <v>677</v>
      </c>
      <c r="C17" s="7" t="s">
        <v>678</v>
      </c>
      <c r="D17" s="7" t="s">
        <v>627</v>
      </c>
      <c r="E17" s="7" t="s">
        <v>679</v>
      </c>
      <c r="F17" s="7" t="s">
        <v>566</v>
      </c>
      <c r="G17" s="7" t="s">
        <v>680</v>
      </c>
      <c r="H17" s="7" t="s">
        <v>681</v>
      </c>
      <c r="I17" s="7" t="s">
        <v>622</v>
      </c>
    </row>
    <row r="18" customFormat="false" ht="23.85" hidden="false" customHeight="false" outlineLevel="0" collapsed="false">
      <c r="A18" s="16" t="n">
        <v>14</v>
      </c>
      <c r="B18" s="7" t="s">
        <v>677</v>
      </c>
      <c r="C18" s="7" t="s">
        <v>682</v>
      </c>
      <c r="D18" s="7" t="s">
        <v>627</v>
      </c>
      <c r="E18" s="7" t="s">
        <v>683</v>
      </c>
      <c r="F18" s="7" t="s">
        <v>566</v>
      </c>
      <c r="G18" s="7" t="s">
        <v>684</v>
      </c>
      <c r="H18" s="7" t="s">
        <v>681</v>
      </c>
      <c r="I18" s="7" t="s">
        <v>622</v>
      </c>
    </row>
    <row r="19" customFormat="false" ht="15" hidden="false" customHeight="false" outlineLevel="0" collapsed="false">
      <c r="A19" s="16" t="n">
        <v>15</v>
      </c>
      <c r="B19" s="7" t="s">
        <v>677</v>
      </c>
      <c r="C19" s="7" t="s">
        <v>685</v>
      </c>
      <c r="D19" s="7" t="s">
        <v>627</v>
      </c>
      <c r="E19" s="7" t="s">
        <v>686</v>
      </c>
      <c r="F19" s="7" t="s">
        <v>566</v>
      </c>
      <c r="G19" s="7" t="s">
        <v>687</v>
      </c>
      <c r="H19" s="7" t="s">
        <v>681</v>
      </c>
      <c r="I19" s="7" t="s">
        <v>622</v>
      </c>
    </row>
    <row r="21" customFormat="false" ht="31.5" hidden="false" customHeight="true" outlineLevel="0" collapsed="false">
      <c r="A21" s="30" t="s">
        <v>688</v>
      </c>
      <c r="B21" s="30"/>
      <c r="C21" s="30"/>
      <c r="D21" s="30"/>
      <c r="E21" s="30"/>
      <c r="F21" s="30"/>
      <c r="G21" s="30"/>
      <c r="H21" s="30"/>
      <c r="I21" s="30"/>
    </row>
  </sheetData>
  <mergeCells count="1">
    <mergeCell ref="A21:I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3AED"/>
    <pageSetUpPr fitToPage="tru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48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9"/>
    <col collapsed="false" customWidth="true" hidden="false" outlineLevel="0" max="7" min="7" style="0" width="46"/>
    <col collapsed="false" customWidth="true" hidden="false" outlineLevel="0" max="8" min="8" style="0" width="3"/>
    <col collapsed="false" customWidth="true" hidden="false" outlineLevel="0" max="9" min="9" style="0" width="20"/>
    <col collapsed="false" customWidth="true" hidden="false" outlineLevel="0" max="10" min="10" style="0" width="14"/>
  </cols>
  <sheetData>
    <row r="1" customFormat="false" ht="17.35" hidden="false" customHeight="false" outlineLevel="0" collapsed="false">
      <c r="A1" s="1" t="s">
        <v>689</v>
      </c>
    </row>
    <row r="2" customFormat="false" ht="15" hidden="false" customHeight="false" outlineLevel="0" collapsed="false">
      <c r="A2" s="2" t="s">
        <v>690</v>
      </c>
    </row>
    <row r="3" customFormat="false" ht="370.85" hidden="false" customHeight="false" outlineLevel="0" collapsed="false">
      <c r="A3" s="21" t="s">
        <v>691</v>
      </c>
    </row>
    <row r="6" customFormat="false" ht="31.5" hidden="false" customHeight="true" outlineLevel="0" collapsed="false">
      <c r="A6" s="11" t="s">
        <v>126</v>
      </c>
      <c r="B6" s="11" t="s">
        <v>692</v>
      </c>
      <c r="C6" s="11" t="s">
        <v>693</v>
      </c>
      <c r="D6" s="11" t="s">
        <v>694</v>
      </c>
      <c r="E6" s="11" t="s">
        <v>695</v>
      </c>
      <c r="F6" s="11" t="s">
        <v>562</v>
      </c>
      <c r="G6" s="11" t="s">
        <v>696</v>
      </c>
      <c r="I6" s="11" t="s">
        <v>692</v>
      </c>
      <c r="J6" s="11" t="s">
        <v>697</v>
      </c>
    </row>
    <row r="7" customFormat="false" ht="15" hidden="false" customHeight="false" outlineLevel="0" collapsed="false">
      <c r="A7" s="16" t="n">
        <v>1</v>
      </c>
      <c r="B7" s="7" t="s">
        <v>698</v>
      </c>
      <c r="C7" s="7" t="s">
        <v>699</v>
      </c>
      <c r="D7" s="7" t="s">
        <v>700</v>
      </c>
      <c r="E7" s="14"/>
      <c r="F7" s="16" t="str">
        <f aca="false">IF(E7="","",IF(D7="Invertido",6-E7,E7))</f>
        <v/>
      </c>
      <c r="G7" s="31" t="s">
        <v>701</v>
      </c>
      <c r="I7" s="15" t="s">
        <v>698</v>
      </c>
      <c r="J7" s="25" t="str">
        <f aca="false">IFERROR(AVERAGEIF($B$7:$B$31,I7,$F$7:$F$31),"")</f>
        <v/>
      </c>
    </row>
    <row r="8" customFormat="false" ht="15" hidden="false" customHeight="false" outlineLevel="0" collapsed="false">
      <c r="A8" s="16" t="n">
        <v>2</v>
      </c>
      <c r="B8" s="7" t="s">
        <v>698</v>
      </c>
      <c r="C8" s="7" t="s">
        <v>702</v>
      </c>
      <c r="D8" s="7" t="s">
        <v>700</v>
      </c>
      <c r="E8" s="14"/>
      <c r="F8" s="16" t="str">
        <f aca="false">IF(E8="","",IF(D8="Invertido",6-E8,E8))</f>
        <v/>
      </c>
      <c r="G8" s="31" t="s">
        <v>703</v>
      </c>
      <c r="I8" s="15" t="s">
        <v>704</v>
      </c>
      <c r="J8" s="25" t="str">
        <f aca="false">IFERROR(AVERAGEIF($B$7:$B$31,I8,$F$7:$F$31),"")</f>
        <v/>
      </c>
    </row>
    <row r="9" customFormat="false" ht="15" hidden="false" customHeight="false" outlineLevel="0" collapsed="false">
      <c r="A9" s="16" t="n">
        <v>3</v>
      </c>
      <c r="B9" s="7" t="s">
        <v>698</v>
      </c>
      <c r="C9" s="7" t="s">
        <v>705</v>
      </c>
      <c r="D9" s="7" t="s">
        <v>706</v>
      </c>
      <c r="E9" s="14"/>
      <c r="F9" s="16" t="str">
        <f aca="false">IF(E9="","",IF(D9="Invertido",6-E9,E9))</f>
        <v/>
      </c>
      <c r="G9" s="31" t="s">
        <v>707</v>
      </c>
      <c r="I9" s="15" t="s">
        <v>708</v>
      </c>
      <c r="J9" s="25" t="str">
        <f aca="false">IFERROR(AVERAGEIF($B$7:$B$31,I9,$F$7:$F$31),"")</f>
        <v/>
      </c>
    </row>
    <row r="10" customFormat="false" ht="15" hidden="false" customHeight="false" outlineLevel="0" collapsed="false">
      <c r="A10" s="16" t="n">
        <v>4</v>
      </c>
      <c r="B10" s="7" t="s">
        <v>698</v>
      </c>
      <c r="C10" s="7" t="s">
        <v>709</v>
      </c>
      <c r="D10" s="7" t="s">
        <v>706</v>
      </c>
      <c r="E10" s="14"/>
      <c r="F10" s="16" t="str">
        <f aca="false">IF(E10="","",IF(D10="Invertido",6-E10,E10))</f>
        <v/>
      </c>
      <c r="G10" s="31" t="s">
        <v>710</v>
      </c>
      <c r="I10" s="15" t="s">
        <v>711</v>
      </c>
      <c r="J10" s="25" t="str">
        <f aca="false">IFERROR(AVERAGEIF($B$7:$B$31,I10,$F$7:$F$31),"")</f>
        <v/>
      </c>
    </row>
    <row r="11" customFormat="false" ht="15" hidden="false" customHeight="false" outlineLevel="0" collapsed="false">
      <c r="A11" s="16" t="n">
        <v>5</v>
      </c>
      <c r="B11" s="7" t="s">
        <v>698</v>
      </c>
      <c r="C11" s="7" t="s">
        <v>712</v>
      </c>
      <c r="D11" s="7" t="s">
        <v>700</v>
      </c>
      <c r="E11" s="14"/>
      <c r="F11" s="16" t="str">
        <f aca="false">IF(E11="","",IF(D11="Invertido",6-E11,E11))</f>
        <v/>
      </c>
      <c r="G11" s="31" t="s">
        <v>713</v>
      </c>
      <c r="I11" s="15" t="s">
        <v>714</v>
      </c>
      <c r="J11" s="25" t="str">
        <f aca="false">IFERROR(AVERAGEIF($B$7:$B$31,I11,$F$7:$F$31),"")</f>
        <v/>
      </c>
    </row>
    <row r="12" customFormat="false" ht="15" hidden="false" customHeight="false" outlineLevel="0" collapsed="false">
      <c r="A12" s="16" t="n">
        <v>6</v>
      </c>
      <c r="B12" s="7" t="s">
        <v>704</v>
      </c>
      <c r="C12" s="7" t="s">
        <v>715</v>
      </c>
      <c r="D12" s="7" t="s">
        <v>700</v>
      </c>
      <c r="E12" s="14"/>
      <c r="F12" s="16" t="str">
        <f aca="false">IF(E12="","",IF(D12="Invertido",6-E12,E12))</f>
        <v/>
      </c>
      <c r="G12" s="31" t="s">
        <v>716</v>
      </c>
    </row>
    <row r="13" customFormat="false" ht="46.25" hidden="false" customHeight="false" outlineLevel="0" collapsed="false">
      <c r="A13" s="16" t="n">
        <v>7</v>
      </c>
      <c r="B13" s="7" t="s">
        <v>704</v>
      </c>
      <c r="C13" s="7" t="s">
        <v>717</v>
      </c>
      <c r="D13" s="7" t="s">
        <v>700</v>
      </c>
      <c r="E13" s="14"/>
      <c r="F13" s="16" t="str">
        <f aca="false">IF(E13="","",IF(D13="Invertido",6-E13,E13))</f>
        <v/>
      </c>
      <c r="G13" s="31" t="s">
        <v>718</v>
      </c>
      <c r="I13" s="21" t="s">
        <v>719</v>
      </c>
    </row>
    <row r="14" customFormat="false" ht="46.25" hidden="false" customHeight="false" outlineLevel="0" collapsed="false">
      <c r="A14" s="16" t="n">
        <v>8</v>
      </c>
      <c r="B14" s="7" t="s">
        <v>704</v>
      </c>
      <c r="C14" s="7" t="s">
        <v>720</v>
      </c>
      <c r="D14" s="7" t="s">
        <v>706</v>
      </c>
      <c r="E14" s="14"/>
      <c r="F14" s="16" t="str">
        <f aca="false">IF(E14="","",IF(D14="Invertido",6-E14,E14))</f>
        <v/>
      </c>
      <c r="G14" s="31" t="s">
        <v>721</v>
      </c>
      <c r="I14" s="21" t="s">
        <v>722</v>
      </c>
    </row>
    <row r="15" customFormat="false" ht="15" hidden="false" customHeight="false" outlineLevel="0" collapsed="false">
      <c r="A15" s="16" t="n">
        <v>9</v>
      </c>
      <c r="B15" s="7" t="s">
        <v>704</v>
      </c>
      <c r="C15" s="7" t="s">
        <v>723</v>
      </c>
      <c r="D15" s="7" t="s">
        <v>700</v>
      </c>
      <c r="E15" s="14"/>
      <c r="F15" s="16" t="str">
        <f aca="false">IF(E15="","",IF(D15="Invertido",6-E15,E15))</f>
        <v/>
      </c>
      <c r="G15" s="31" t="s">
        <v>724</v>
      </c>
    </row>
    <row r="16" customFormat="false" ht="15" hidden="false" customHeight="false" outlineLevel="0" collapsed="false">
      <c r="A16" s="16" t="n">
        <v>10</v>
      </c>
      <c r="B16" s="7" t="s">
        <v>704</v>
      </c>
      <c r="C16" s="7" t="s">
        <v>725</v>
      </c>
      <c r="D16" s="7" t="s">
        <v>706</v>
      </c>
      <c r="E16" s="14"/>
      <c r="F16" s="16" t="str">
        <f aca="false">IF(E16="","",IF(D16="Invertido",6-E16,E16))</f>
        <v/>
      </c>
      <c r="G16" s="31" t="s">
        <v>726</v>
      </c>
    </row>
    <row r="17" customFormat="false" ht="15" hidden="false" customHeight="false" outlineLevel="0" collapsed="false">
      <c r="A17" s="16" t="n">
        <v>11</v>
      </c>
      <c r="B17" s="7" t="s">
        <v>708</v>
      </c>
      <c r="C17" s="7" t="s">
        <v>727</v>
      </c>
      <c r="D17" s="7" t="s">
        <v>700</v>
      </c>
      <c r="E17" s="14"/>
      <c r="F17" s="16" t="str">
        <f aca="false">IF(E17="","",IF(D17="Invertido",6-E17,E17))</f>
        <v/>
      </c>
      <c r="G17" s="31" t="s">
        <v>728</v>
      </c>
    </row>
    <row r="18" customFormat="false" ht="15" hidden="false" customHeight="false" outlineLevel="0" collapsed="false">
      <c r="A18" s="16" t="n">
        <v>12</v>
      </c>
      <c r="B18" s="7" t="s">
        <v>708</v>
      </c>
      <c r="C18" s="7" t="s">
        <v>729</v>
      </c>
      <c r="D18" s="7" t="s">
        <v>700</v>
      </c>
      <c r="E18" s="14"/>
      <c r="F18" s="16" t="str">
        <f aca="false">IF(E18="","",IF(D18="Invertido",6-E18,E18))</f>
        <v/>
      </c>
      <c r="G18" s="31" t="s">
        <v>730</v>
      </c>
    </row>
    <row r="19" customFormat="false" ht="15" hidden="false" customHeight="false" outlineLevel="0" collapsed="false">
      <c r="A19" s="16" t="n">
        <v>13</v>
      </c>
      <c r="B19" s="7" t="s">
        <v>708</v>
      </c>
      <c r="C19" s="7" t="s">
        <v>731</v>
      </c>
      <c r="D19" s="7" t="s">
        <v>700</v>
      </c>
      <c r="E19" s="14"/>
      <c r="F19" s="16" t="str">
        <f aca="false">IF(E19="","",IF(D19="Invertido",6-E19,E19))</f>
        <v/>
      </c>
      <c r="G19" s="31" t="s">
        <v>732</v>
      </c>
    </row>
    <row r="20" customFormat="false" ht="15" hidden="false" customHeight="false" outlineLevel="0" collapsed="false">
      <c r="A20" s="16" t="n">
        <v>14</v>
      </c>
      <c r="B20" s="7" t="s">
        <v>708</v>
      </c>
      <c r="C20" s="7" t="s">
        <v>733</v>
      </c>
      <c r="D20" s="7" t="s">
        <v>700</v>
      </c>
      <c r="E20" s="14"/>
      <c r="F20" s="16" t="str">
        <f aca="false">IF(E20="","",IF(D20="Invertido",6-E20,E20))</f>
        <v/>
      </c>
      <c r="G20" s="31" t="s">
        <v>734</v>
      </c>
    </row>
    <row r="21" customFormat="false" ht="15" hidden="false" customHeight="false" outlineLevel="0" collapsed="false">
      <c r="A21" s="16" t="n">
        <v>15</v>
      </c>
      <c r="B21" s="7" t="s">
        <v>708</v>
      </c>
      <c r="C21" s="7" t="s">
        <v>735</v>
      </c>
      <c r="D21" s="7" t="s">
        <v>706</v>
      </c>
      <c r="E21" s="14"/>
      <c r="F21" s="16" t="str">
        <f aca="false">IF(E21="","",IF(D21="Invertido",6-E21,E21))</f>
        <v/>
      </c>
      <c r="G21" s="31" t="s">
        <v>736</v>
      </c>
    </row>
    <row r="22" customFormat="false" ht="15" hidden="false" customHeight="false" outlineLevel="0" collapsed="false">
      <c r="A22" s="16" t="n">
        <v>16</v>
      </c>
      <c r="B22" s="7" t="s">
        <v>711</v>
      </c>
      <c r="C22" s="7" t="s">
        <v>737</v>
      </c>
      <c r="D22" s="7" t="s">
        <v>700</v>
      </c>
      <c r="E22" s="14"/>
      <c r="F22" s="16" t="str">
        <f aca="false">IF(E22="","",IF(D22="Invertido",6-E22,E22))</f>
        <v/>
      </c>
      <c r="G22" s="31" t="s">
        <v>738</v>
      </c>
    </row>
    <row r="23" customFormat="false" ht="15" hidden="false" customHeight="false" outlineLevel="0" collapsed="false">
      <c r="A23" s="16" t="n">
        <v>17</v>
      </c>
      <c r="B23" s="7" t="s">
        <v>711</v>
      </c>
      <c r="C23" s="7" t="s">
        <v>739</v>
      </c>
      <c r="D23" s="7" t="s">
        <v>706</v>
      </c>
      <c r="E23" s="14"/>
      <c r="F23" s="16" t="str">
        <f aca="false">IF(E23="","",IF(D23="Invertido",6-E23,E23))</f>
        <v/>
      </c>
      <c r="G23" s="31" t="s">
        <v>740</v>
      </c>
    </row>
    <row r="24" customFormat="false" ht="15" hidden="false" customHeight="false" outlineLevel="0" collapsed="false">
      <c r="A24" s="16" t="n">
        <v>18</v>
      </c>
      <c r="B24" s="7" t="s">
        <v>711</v>
      </c>
      <c r="C24" s="7" t="s">
        <v>741</v>
      </c>
      <c r="D24" s="7" t="s">
        <v>706</v>
      </c>
      <c r="E24" s="14"/>
      <c r="F24" s="16" t="str">
        <f aca="false">IF(E24="","",IF(D24="Invertido",6-E24,E24))</f>
        <v/>
      </c>
      <c r="G24" s="31" t="s">
        <v>742</v>
      </c>
    </row>
    <row r="25" customFormat="false" ht="15" hidden="false" customHeight="false" outlineLevel="0" collapsed="false">
      <c r="A25" s="16" t="n">
        <v>19</v>
      </c>
      <c r="B25" s="7" t="s">
        <v>711</v>
      </c>
      <c r="C25" s="7" t="s">
        <v>743</v>
      </c>
      <c r="D25" s="7" t="s">
        <v>700</v>
      </c>
      <c r="E25" s="14"/>
      <c r="F25" s="16" t="str">
        <f aca="false">IF(E25="","",IF(D25="Invertido",6-E25,E25))</f>
        <v/>
      </c>
      <c r="G25" s="31" t="s">
        <v>744</v>
      </c>
    </row>
    <row r="26" customFormat="false" ht="15" hidden="false" customHeight="false" outlineLevel="0" collapsed="false">
      <c r="A26" s="16" t="n">
        <v>20</v>
      </c>
      <c r="B26" s="7" t="s">
        <v>711</v>
      </c>
      <c r="C26" s="7" t="s">
        <v>745</v>
      </c>
      <c r="D26" s="7" t="s">
        <v>706</v>
      </c>
      <c r="E26" s="14"/>
      <c r="F26" s="16" t="str">
        <f aca="false">IF(E26="","",IF(D26="Invertido",6-E26,E26))</f>
        <v/>
      </c>
      <c r="G26" s="31" t="s">
        <v>746</v>
      </c>
    </row>
    <row r="27" customFormat="false" ht="15" hidden="false" customHeight="false" outlineLevel="0" collapsed="false">
      <c r="A27" s="16" t="n">
        <v>21</v>
      </c>
      <c r="B27" s="7" t="s">
        <v>714</v>
      </c>
      <c r="C27" s="7" t="s">
        <v>747</v>
      </c>
      <c r="D27" s="7" t="s">
        <v>700</v>
      </c>
      <c r="E27" s="14"/>
      <c r="F27" s="16" t="str">
        <f aca="false">IF(E27="","",IF(D27="Invertido",6-E27,E27))</f>
        <v/>
      </c>
      <c r="G27" s="31" t="s">
        <v>748</v>
      </c>
    </row>
    <row r="28" customFormat="false" ht="15" hidden="false" customHeight="false" outlineLevel="0" collapsed="false">
      <c r="A28" s="16" t="n">
        <v>22</v>
      </c>
      <c r="B28" s="7" t="s">
        <v>714</v>
      </c>
      <c r="C28" s="7" t="s">
        <v>749</v>
      </c>
      <c r="D28" s="7" t="s">
        <v>700</v>
      </c>
      <c r="E28" s="14"/>
      <c r="F28" s="16" t="str">
        <f aca="false">IF(E28="","",IF(D28="Invertido",6-E28,E28))</f>
        <v/>
      </c>
      <c r="G28" s="31" t="s">
        <v>750</v>
      </c>
    </row>
    <row r="29" customFormat="false" ht="15" hidden="false" customHeight="false" outlineLevel="0" collapsed="false">
      <c r="A29" s="16" t="n">
        <v>23</v>
      </c>
      <c r="B29" s="7" t="s">
        <v>714</v>
      </c>
      <c r="C29" s="7" t="s">
        <v>751</v>
      </c>
      <c r="D29" s="7" t="s">
        <v>706</v>
      </c>
      <c r="E29" s="14"/>
      <c r="F29" s="16" t="str">
        <f aca="false">IF(E29="","",IF(D29="Invertido",6-E29,E29))</f>
        <v/>
      </c>
      <c r="G29" s="31" t="s">
        <v>752</v>
      </c>
    </row>
    <row r="30" customFormat="false" ht="15" hidden="false" customHeight="false" outlineLevel="0" collapsed="false">
      <c r="A30" s="16" t="n">
        <v>24</v>
      </c>
      <c r="B30" s="7" t="s">
        <v>714</v>
      </c>
      <c r="C30" s="7" t="s">
        <v>753</v>
      </c>
      <c r="D30" s="7" t="s">
        <v>700</v>
      </c>
      <c r="E30" s="14"/>
      <c r="F30" s="16" t="str">
        <f aca="false">IF(E30="","",IF(D30="Invertido",6-E30,E30))</f>
        <v/>
      </c>
      <c r="G30" s="31" t="s">
        <v>754</v>
      </c>
    </row>
    <row r="31" customFormat="false" ht="15" hidden="false" customHeight="false" outlineLevel="0" collapsed="false">
      <c r="A31" s="16" t="n">
        <v>25</v>
      </c>
      <c r="B31" s="7" t="s">
        <v>714</v>
      </c>
      <c r="C31" s="7" t="s">
        <v>755</v>
      </c>
      <c r="D31" s="7" t="s">
        <v>700</v>
      </c>
      <c r="E31" s="14"/>
      <c r="F31" s="16" t="str">
        <f aca="false">IF(E31="","",IF(D31="Invertido",6-E31,E31))</f>
        <v/>
      </c>
      <c r="G31" s="31" t="s">
        <v>756</v>
      </c>
    </row>
  </sheetData>
  <dataValidations count="1">
    <dataValidation allowBlank="true" errorStyle="stop" operator="between" showDropDown="false" showErrorMessage="false" showInputMessage="false" sqref="E7:E31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3AED"/>
    <pageSetUpPr fitToPage="tru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56"/>
    <col collapsed="false" customWidth="true" hidden="false" outlineLevel="0" max="4" min="4" style="0" width="14"/>
    <col collapsed="false" customWidth="true" hidden="false" outlineLevel="0" max="5" min="5" style="0" width="3"/>
    <col collapsed="false" customWidth="true" hidden="false" outlineLevel="0" max="6" min="6" style="0" width="38"/>
    <col collapsed="false" customWidth="true" hidden="false" outlineLevel="0" max="7" min="7" style="0" width="12"/>
    <col collapsed="false" customWidth="true" hidden="false" outlineLevel="0" max="8" min="8" style="0" width="44"/>
  </cols>
  <sheetData>
    <row r="1" customFormat="false" ht="17.35" hidden="false" customHeight="false" outlineLevel="0" collapsed="false">
      <c r="A1" s="1" t="s">
        <v>757</v>
      </c>
    </row>
    <row r="2" customFormat="false" ht="15" hidden="false" customHeight="false" outlineLevel="0" collapsed="false">
      <c r="A2" s="2" t="s">
        <v>758</v>
      </c>
    </row>
    <row r="3" customFormat="false" ht="236.55" hidden="false" customHeight="false" outlineLevel="0" collapsed="false">
      <c r="A3" s="21" t="s">
        <v>759</v>
      </c>
    </row>
    <row r="6" customFormat="false" ht="31.5" hidden="false" customHeight="true" outlineLevel="0" collapsed="false">
      <c r="A6" s="11" t="s">
        <v>126</v>
      </c>
      <c r="B6" s="11" t="s">
        <v>127</v>
      </c>
      <c r="C6" s="11" t="s">
        <v>693</v>
      </c>
      <c r="D6" s="11" t="s">
        <v>760</v>
      </c>
      <c r="F6" s="11" t="s">
        <v>127</v>
      </c>
      <c r="G6" s="11" t="s">
        <v>394</v>
      </c>
      <c r="H6" s="11" t="s">
        <v>761</v>
      </c>
    </row>
    <row r="7" customFormat="false" ht="15" hidden="false" customHeight="false" outlineLevel="0" collapsed="false">
      <c r="A7" s="16" t="n">
        <v>1</v>
      </c>
      <c r="B7" s="7" t="s">
        <v>762</v>
      </c>
      <c r="C7" s="7" t="s">
        <v>763</v>
      </c>
      <c r="D7" s="14"/>
      <c r="F7" s="15" t="s">
        <v>762</v>
      </c>
      <c r="G7" s="16" t="n">
        <f aca="false">SUMIF($B$7:$B$24,F7,$D$7:$D$24)</f>
        <v>0</v>
      </c>
      <c r="H7" s="7" t="s">
        <v>764</v>
      </c>
    </row>
    <row r="8" customFormat="false" ht="15" hidden="false" customHeight="false" outlineLevel="0" collapsed="false">
      <c r="A8" s="16" t="n">
        <v>2</v>
      </c>
      <c r="B8" s="7" t="s">
        <v>762</v>
      </c>
      <c r="C8" s="7" t="s">
        <v>765</v>
      </c>
      <c r="D8" s="14"/>
      <c r="F8" s="15" t="s">
        <v>766</v>
      </c>
      <c r="G8" s="16" t="n">
        <f aca="false">SUMIF($B$7:$B$24,F8,$D$7:$D$24)</f>
        <v>0</v>
      </c>
      <c r="H8" s="7" t="s">
        <v>767</v>
      </c>
    </row>
    <row r="9" customFormat="false" ht="15" hidden="false" customHeight="false" outlineLevel="0" collapsed="false">
      <c r="A9" s="16" t="n">
        <v>3</v>
      </c>
      <c r="B9" s="7" t="s">
        <v>762</v>
      </c>
      <c r="C9" s="7" t="s">
        <v>768</v>
      </c>
      <c r="D9" s="14"/>
      <c r="F9" s="15" t="s">
        <v>769</v>
      </c>
      <c r="G9" s="16" t="n">
        <f aca="false">SUMIF($B$7:$B$24,F9,$D$7:$D$24)</f>
        <v>0</v>
      </c>
      <c r="H9" s="7" t="s">
        <v>770</v>
      </c>
    </row>
    <row r="10" customFormat="false" ht="15" hidden="false" customHeight="false" outlineLevel="0" collapsed="false">
      <c r="A10" s="16" t="n">
        <v>4</v>
      </c>
      <c r="B10" s="7" t="s">
        <v>766</v>
      </c>
      <c r="C10" s="7" t="s">
        <v>771</v>
      </c>
      <c r="D10" s="14"/>
      <c r="F10" s="15" t="s">
        <v>772</v>
      </c>
      <c r="G10" s="16" t="n">
        <f aca="false">SUMIF($B$7:$B$24,F10,$D$7:$D$24)</f>
        <v>0</v>
      </c>
      <c r="H10" s="7" t="s">
        <v>773</v>
      </c>
    </row>
    <row r="11" customFormat="false" ht="15" hidden="false" customHeight="false" outlineLevel="0" collapsed="false">
      <c r="A11" s="16" t="n">
        <v>5</v>
      </c>
      <c r="B11" s="7" t="s">
        <v>766</v>
      </c>
      <c r="C11" s="7" t="s">
        <v>774</v>
      </c>
      <c r="D11" s="14"/>
      <c r="F11" s="15" t="s">
        <v>775</v>
      </c>
      <c r="G11" s="16" t="n">
        <f aca="false">SUMIF($B$7:$B$24,F11,$D$7:$D$24)</f>
        <v>0</v>
      </c>
      <c r="H11" s="7" t="s">
        <v>776</v>
      </c>
    </row>
    <row r="12" customFormat="false" ht="15" hidden="false" customHeight="false" outlineLevel="0" collapsed="false">
      <c r="A12" s="16" t="n">
        <v>6</v>
      </c>
      <c r="B12" s="7" t="s">
        <v>766</v>
      </c>
      <c r="C12" s="7" t="s">
        <v>777</v>
      </c>
      <c r="D12" s="14"/>
      <c r="F12" s="15" t="s">
        <v>778</v>
      </c>
      <c r="G12" s="16" t="n">
        <f aca="false">SUMIF($B$7:$B$24,F12,$D$7:$D$24)</f>
        <v>0</v>
      </c>
      <c r="H12" s="7" t="s">
        <v>779</v>
      </c>
    </row>
    <row r="13" customFormat="false" ht="15" hidden="false" customHeight="false" outlineLevel="0" collapsed="false">
      <c r="A13" s="16" t="n">
        <v>7</v>
      </c>
      <c r="B13" s="7" t="s">
        <v>769</v>
      </c>
      <c r="C13" s="7" t="s">
        <v>780</v>
      </c>
      <c r="D13" s="14"/>
    </row>
    <row r="14" customFormat="false" ht="15" hidden="false" customHeight="false" outlineLevel="0" collapsed="false">
      <c r="A14" s="16" t="n">
        <v>8</v>
      </c>
      <c r="B14" s="7" t="s">
        <v>769</v>
      </c>
      <c r="C14" s="7" t="s">
        <v>781</v>
      </c>
      <c r="D14" s="14"/>
      <c r="F14" s="15" t="s">
        <v>782</v>
      </c>
      <c r="G14" s="7" t="str">
        <f aca="false">IF(MAX(G7:G12)=0,"",INDEX(F7:F12,MATCH(MAX(G7:G12),G7:G12,0)))</f>
        <v/>
      </c>
      <c r="H14" s="7"/>
    </row>
    <row r="15" customFormat="false" ht="15" hidden="false" customHeight="false" outlineLevel="0" collapsed="false">
      <c r="A15" s="16" t="n">
        <v>9</v>
      </c>
      <c r="B15" s="7" t="s">
        <v>769</v>
      </c>
      <c r="C15" s="7" t="s">
        <v>783</v>
      </c>
      <c r="D15" s="14"/>
    </row>
    <row r="16" customFormat="false" ht="15" hidden="false" customHeight="false" outlineLevel="0" collapsed="false">
      <c r="A16" s="16" t="n">
        <v>10</v>
      </c>
      <c r="B16" s="7" t="s">
        <v>772</v>
      </c>
      <c r="C16" s="7" t="s">
        <v>784</v>
      </c>
      <c r="D16" s="14"/>
    </row>
    <row r="17" customFormat="false" ht="15" hidden="false" customHeight="false" outlineLevel="0" collapsed="false">
      <c r="A17" s="16" t="n">
        <v>11</v>
      </c>
      <c r="B17" s="7" t="s">
        <v>772</v>
      </c>
      <c r="C17" s="7" t="s">
        <v>785</v>
      </c>
      <c r="D17" s="14"/>
    </row>
    <row r="18" customFormat="false" ht="15" hidden="false" customHeight="false" outlineLevel="0" collapsed="false">
      <c r="A18" s="16" t="n">
        <v>12</v>
      </c>
      <c r="B18" s="7" t="s">
        <v>772</v>
      </c>
      <c r="C18" s="7" t="s">
        <v>786</v>
      </c>
      <c r="D18" s="14"/>
    </row>
    <row r="19" customFormat="false" ht="15" hidden="false" customHeight="false" outlineLevel="0" collapsed="false">
      <c r="A19" s="16" t="n">
        <v>13</v>
      </c>
      <c r="B19" s="7" t="s">
        <v>775</v>
      </c>
      <c r="C19" s="7" t="s">
        <v>787</v>
      </c>
      <c r="D19" s="14"/>
    </row>
    <row r="20" customFormat="false" ht="15" hidden="false" customHeight="false" outlineLevel="0" collapsed="false">
      <c r="A20" s="16" t="n">
        <v>14</v>
      </c>
      <c r="B20" s="7" t="s">
        <v>775</v>
      </c>
      <c r="C20" s="7" t="s">
        <v>788</v>
      </c>
      <c r="D20" s="14"/>
    </row>
    <row r="21" customFormat="false" ht="15" hidden="false" customHeight="false" outlineLevel="0" collapsed="false">
      <c r="A21" s="16" t="n">
        <v>15</v>
      </c>
      <c r="B21" s="7" t="s">
        <v>775</v>
      </c>
      <c r="C21" s="7" t="s">
        <v>789</v>
      </c>
      <c r="D21" s="14"/>
    </row>
    <row r="22" customFormat="false" ht="15" hidden="false" customHeight="false" outlineLevel="0" collapsed="false">
      <c r="A22" s="16" t="n">
        <v>16</v>
      </c>
      <c r="B22" s="7" t="s">
        <v>778</v>
      </c>
      <c r="C22" s="7" t="s">
        <v>790</v>
      </c>
      <c r="D22" s="14"/>
    </row>
    <row r="23" customFormat="false" ht="15" hidden="false" customHeight="false" outlineLevel="0" collapsed="false">
      <c r="A23" s="16" t="n">
        <v>17</v>
      </c>
      <c r="B23" s="7" t="s">
        <v>778</v>
      </c>
      <c r="C23" s="7" t="s">
        <v>791</v>
      </c>
      <c r="D23" s="14"/>
    </row>
    <row r="24" customFormat="false" ht="15" hidden="false" customHeight="false" outlineLevel="0" collapsed="false">
      <c r="A24" s="16" t="n">
        <v>18</v>
      </c>
      <c r="B24" s="7" t="s">
        <v>778</v>
      </c>
      <c r="C24" s="7" t="s">
        <v>792</v>
      </c>
      <c r="D24" s="14"/>
    </row>
  </sheetData>
  <mergeCells count="1">
    <mergeCell ref="G14:H14"/>
  </mergeCells>
  <dataValidations count="1">
    <dataValidation allowBlank="true" errorStyle="stop" operator="between" showDropDown="false" showErrorMessage="false" showInputMessage="false" sqref="D7:D24" type="whole">
      <formula1>1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3AED"/>
    <pageSetUpPr fitToPage="true"/>
  </sheetPr>
  <dimension ref="A1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58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3"/>
    <col collapsed="false" customWidth="true" hidden="false" outlineLevel="0" max="7" min="7" style="0" width="26"/>
    <col collapsed="false" customWidth="true" hidden="false" outlineLevel="0" max="9" min="8" style="0" width="10"/>
    <col collapsed="false" customWidth="true" hidden="false" outlineLevel="0" max="10" min="10" style="0" width="12"/>
    <col collapsed="false" customWidth="true" hidden="false" outlineLevel="0" max="11" min="11" style="0" width="40"/>
  </cols>
  <sheetData>
    <row r="1" customFormat="false" ht="17.35" hidden="false" customHeight="false" outlineLevel="0" collapsed="false">
      <c r="A1" s="1" t="s">
        <v>793</v>
      </c>
    </row>
    <row r="2" customFormat="false" ht="15" hidden="false" customHeight="false" outlineLevel="0" collapsed="false">
      <c r="A2" s="2" t="s">
        <v>794</v>
      </c>
    </row>
    <row r="3" customFormat="false" ht="348.5" hidden="false" customHeight="false" outlineLevel="0" collapsed="false">
      <c r="A3" s="21" t="s">
        <v>795</v>
      </c>
    </row>
    <row r="6" customFormat="false" ht="31.5" hidden="false" customHeight="true" outlineLevel="0" collapsed="false">
      <c r="A6" s="11" t="s">
        <v>126</v>
      </c>
      <c r="B6" s="11" t="s">
        <v>796</v>
      </c>
      <c r="C6" s="11" t="s">
        <v>693</v>
      </c>
      <c r="D6" s="11" t="s">
        <v>797</v>
      </c>
      <c r="E6" s="11" t="s">
        <v>798</v>
      </c>
      <c r="G6" s="11" t="s">
        <v>796</v>
      </c>
      <c r="H6" s="11" t="s">
        <v>799</v>
      </c>
      <c r="I6" s="11" t="s">
        <v>800</v>
      </c>
      <c r="J6" s="11" t="s">
        <v>801</v>
      </c>
    </row>
    <row r="7" customFormat="false" ht="15" hidden="false" customHeight="false" outlineLevel="0" collapsed="false">
      <c r="A7" s="16" t="n">
        <v>1</v>
      </c>
      <c r="B7" s="7" t="s">
        <v>802</v>
      </c>
      <c r="C7" s="7" t="s">
        <v>803</v>
      </c>
      <c r="D7" s="14"/>
      <c r="E7" s="14"/>
      <c r="G7" s="15" t="s">
        <v>802</v>
      </c>
      <c r="H7" s="25" t="str">
        <f aca="false">IFERROR(AVERAGEIF($B$7:$B$22,G7,$D$7:$D$22),"")</f>
        <v/>
      </c>
      <c r="I7" s="25" t="str">
        <f aca="false">IFERROR(AVERAGEIF($B$7:$B$22,G7,$E$7:$E$22),"")</f>
        <v/>
      </c>
      <c r="J7" s="32" t="str">
        <f aca="false">IF(OR(H7="",I7=""),"",I7-H7)</f>
        <v/>
      </c>
    </row>
    <row r="8" customFormat="false" ht="15" hidden="false" customHeight="false" outlineLevel="0" collapsed="false">
      <c r="A8" s="16" t="n">
        <v>2</v>
      </c>
      <c r="B8" s="7" t="s">
        <v>802</v>
      </c>
      <c r="C8" s="7" t="s">
        <v>804</v>
      </c>
      <c r="D8" s="14"/>
      <c r="E8" s="14"/>
      <c r="G8" s="15" t="s">
        <v>805</v>
      </c>
      <c r="H8" s="25" t="str">
        <f aca="false">IFERROR(AVERAGEIF($B$7:$B$22,G8,$D$7:$D$22),"")</f>
        <v/>
      </c>
      <c r="I8" s="25" t="str">
        <f aca="false">IFERROR(AVERAGEIF($B$7:$B$22,G8,$E$7:$E$22),"")</f>
        <v/>
      </c>
      <c r="J8" s="32" t="str">
        <f aca="false">IF(OR(H8="",I8=""),"",I8-H8)</f>
        <v/>
      </c>
    </row>
    <row r="9" customFormat="false" ht="15" hidden="false" customHeight="false" outlineLevel="0" collapsed="false">
      <c r="A9" s="16" t="n">
        <v>3</v>
      </c>
      <c r="B9" s="7" t="s">
        <v>805</v>
      </c>
      <c r="C9" s="7" t="s">
        <v>806</v>
      </c>
      <c r="D9" s="14"/>
      <c r="E9" s="14"/>
      <c r="G9" s="15" t="s">
        <v>807</v>
      </c>
      <c r="H9" s="25" t="str">
        <f aca="false">IFERROR(AVERAGEIF($B$7:$B$22,G9,$D$7:$D$22),"")</f>
        <v/>
      </c>
      <c r="I9" s="25" t="str">
        <f aca="false">IFERROR(AVERAGEIF($B$7:$B$22,G9,$E$7:$E$22),"")</f>
        <v/>
      </c>
      <c r="J9" s="32" t="str">
        <f aca="false">IF(OR(H9="",I9=""),"",I9-H9)</f>
        <v/>
      </c>
    </row>
    <row r="10" customFormat="false" ht="15" hidden="false" customHeight="false" outlineLevel="0" collapsed="false">
      <c r="A10" s="16" t="n">
        <v>4</v>
      </c>
      <c r="B10" s="7" t="s">
        <v>805</v>
      </c>
      <c r="C10" s="7" t="s">
        <v>808</v>
      </c>
      <c r="D10" s="14"/>
      <c r="E10" s="14"/>
      <c r="G10" s="15" t="s">
        <v>809</v>
      </c>
      <c r="H10" s="25" t="str">
        <f aca="false">IFERROR(AVERAGEIF($B$7:$B$22,G10,$D$7:$D$22),"")</f>
        <v/>
      </c>
      <c r="I10" s="25" t="str">
        <f aca="false">IFERROR(AVERAGEIF($B$7:$B$22,G10,$E$7:$E$22),"")</f>
        <v/>
      </c>
      <c r="J10" s="32" t="str">
        <f aca="false">IF(OR(H10="",I10=""),"",I10-H10)</f>
        <v/>
      </c>
    </row>
    <row r="11" customFormat="false" ht="15" hidden="false" customHeight="false" outlineLevel="0" collapsed="false">
      <c r="A11" s="16" t="n">
        <v>5</v>
      </c>
      <c r="B11" s="7" t="s">
        <v>807</v>
      </c>
      <c r="C11" s="7" t="s">
        <v>810</v>
      </c>
      <c r="D11" s="14"/>
      <c r="E11" s="14"/>
      <c r="G11" s="15" t="s">
        <v>811</v>
      </c>
      <c r="H11" s="25" t="str">
        <f aca="false">IFERROR(AVERAGEIF($B$7:$B$22,G11,$D$7:$D$22),"")</f>
        <v/>
      </c>
      <c r="I11" s="25" t="str">
        <f aca="false">IFERROR(AVERAGEIF($B$7:$B$22,G11,$E$7:$E$22),"")</f>
        <v/>
      </c>
      <c r="J11" s="32" t="str">
        <f aca="false">IF(OR(H11="",I11=""),"",I11-H11)</f>
        <v/>
      </c>
    </row>
    <row r="12" customFormat="false" ht="15" hidden="false" customHeight="false" outlineLevel="0" collapsed="false">
      <c r="A12" s="16" t="n">
        <v>6</v>
      </c>
      <c r="B12" s="7" t="s">
        <v>807</v>
      </c>
      <c r="C12" s="7" t="s">
        <v>812</v>
      </c>
      <c r="D12" s="14"/>
      <c r="E12" s="14"/>
      <c r="G12" s="15" t="s">
        <v>813</v>
      </c>
      <c r="H12" s="25" t="str">
        <f aca="false">IFERROR(AVERAGEIF($B$7:$B$22,G12,$D$7:$D$22),"")</f>
        <v/>
      </c>
      <c r="I12" s="25" t="str">
        <f aca="false">IFERROR(AVERAGEIF($B$7:$B$22,G12,$E$7:$E$22),"")</f>
        <v/>
      </c>
      <c r="J12" s="32" t="str">
        <f aca="false">IF(OR(H12="",I12=""),"",I12-H12)</f>
        <v/>
      </c>
    </row>
    <row r="13" customFormat="false" ht="15" hidden="false" customHeight="false" outlineLevel="0" collapsed="false">
      <c r="A13" s="16" t="n">
        <v>7</v>
      </c>
      <c r="B13" s="7" t="s">
        <v>809</v>
      </c>
      <c r="C13" s="7" t="s">
        <v>814</v>
      </c>
      <c r="D13" s="14"/>
      <c r="E13" s="14"/>
      <c r="G13" s="15" t="s">
        <v>815</v>
      </c>
      <c r="H13" s="25" t="str">
        <f aca="false">IFERROR(AVERAGEIF($B$7:$B$22,G13,$D$7:$D$22),"")</f>
        <v/>
      </c>
      <c r="I13" s="25" t="str">
        <f aca="false">IFERROR(AVERAGEIF($B$7:$B$22,G13,$E$7:$E$22),"")</f>
        <v/>
      </c>
      <c r="J13" s="32" t="str">
        <f aca="false">IF(OR(H13="",I13=""),"",I13-H13)</f>
        <v/>
      </c>
    </row>
    <row r="14" customFormat="false" ht="15" hidden="false" customHeight="false" outlineLevel="0" collapsed="false">
      <c r="A14" s="16" t="n">
        <v>8</v>
      </c>
      <c r="B14" s="7" t="s">
        <v>809</v>
      </c>
      <c r="C14" s="7" t="s">
        <v>816</v>
      </c>
      <c r="D14" s="14"/>
      <c r="E14" s="14"/>
      <c r="G14" s="15" t="s">
        <v>817</v>
      </c>
      <c r="H14" s="25" t="str">
        <f aca="false">IFERROR(AVERAGEIF($B$7:$B$22,G14,$D$7:$D$22),"")</f>
        <v/>
      </c>
      <c r="I14" s="25" t="str">
        <f aca="false">IFERROR(AVERAGEIF($B$7:$B$22,G14,$E$7:$E$22),"")</f>
        <v/>
      </c>
      <c r="J14" s="32" t="str">
        <f aca="false">IF(OR(H14="",I14=""),"",I14-H14)</f>
        <v/>
      </c>
    </row>
    <row r="15" customFormat="false" ht="15" hidden="false" customHeight="false" outlineLevel="0" collapsed="false">
      <c r="A15" s="16" t="n">
        <v>9</v>
      </c>
      <c r="B15" s="7" t="s">
        <v>811</v>
      </c>
      <c r="C15" s="7" t="s">
        <v>818</v>
      </c>
      <c r="D15" s="14"/>
      <c r="E15" s="14"/>
    </row>
    <row r="16" customFormat="false" ht="68.65" hidden="false" customHeight="false" outlineLevel="0" collapsed="false">
      <c r="A16" s="16" t="n">
        <v>10</v>
      </c>
      <c r="B16" s="7" t="s">
        <v>811</v>
      </c>
      <c r="C16" s="7" t="s">
        <v>819</v>
      </c>
      <c r="D16" s="14"/>
      <c r="E16" s="14"/>
      <c r="G16" s="21" t="s">
        <v>820</v>
      </c>
    </row>
    <row r="17" customFormat="false" ht="15" hidden="false" customHeight="false" outlineLevel="0" collapsed="false">
      <c r="A17" s="16" t="n">
        <v>11</v>
      </c>
      <c r="B17" s="7" t="s">
        <v>813</v>
      </c>
      <c r="C17" s="7" t="s">
        <v>821</v>
      </c>
      <c r="D17" s="14"/>
      <c r="E17" s="14"/>
    </row>
    <row r="18" customFormat="false" ht="15" hidden="false" customHeight="false" outlineLevel="0" collapsed="false">
      <c r="A18" s="16" t="n">
        <v>12</v>
      </c>
      <c r="B18" s="7" t="s">
        <v>813</v>
      </c>
      <c r="C18" s="7" t="s">
        <v>822</v>
      </c>
      <c r="D18" s="14"/>
      <c r="E18" s="14"/>
    </row>
    <row r="19" customFormat="false" ht="15" hidden="false" customHeight="false" outlineLevel="0" collapsed="false">
      <c r="A19" s="16" t="n">
        <v>13</v>
      </c>
      <c r="B19" s="7" t="s">
        <v>815</v>
      </c>
      <c r="C19" s="7" t="s">
        <v>823</v>
      </c>
      <c r="D19" s="14"/>
      <c r="E19" s="14"/>
    </row>
    <row r="20" customFormat="false" ht="15" hidden="false" customHeight="false" outlineLevel="0" collapsed="false">
      <c r="A20" s="16" t="n">
        <v>14</v>
      </c>
      <c r="B20" s="7" t="s">
        <v>815</v>
      </c>
      <c r="C20" s="7" t="s">
        <v>824</v>
      </c>
      <c r="D20" s="14"/>
      <c r="E20" s="14"/>
    </row>
    <row r="21" customFormat="false" ht="15" hidden="false" customHeight="false" outlineLevel="0" collapsed="false">
      <c r="A21" s="16" t="n">
        <v>15</v>
      </c>
      <c r="B21" s="7" t="s">
        <v>817</v>
      </c>
      <c r="C21" s="7" t="s">
        <v>825</v>
      </c>
      <c r="D21" s="14"/>
      <c r="E21" s="14"/>
    </row>
    <row r="22" customFormat="false" ht="15" hidden="false" customHeight="false" outlineLevel="0" collapsed="false">
      <c r="A22" s="16" t="n">
        <v>16</v>
      </c>
      <c r="B22" s="7" t="s">
        <v>817</v>
      </c>
      <c r="C22" s="7" t="s">
        <v>826</v>
      </c>
      <c r="D22" s="14"/>
      <c r="E22" s="14"/>
    </row>
  </sheetData>
  <dataValidations count="1">
    <dataValidation allowBlank="true" errorStyle="stop" operator="between" showDropDown="false" showErrorMessage="false" showInputMessage="false" sqref="D7:E22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A5E9"/>
    <pageSetUpPr fitToPage="tru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38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9"/>
    <col collapsed="false" customWidth="true" hidden="false" outlineLevel="0" max="7" min="7" style="0" width="36"/>
    <col collapsed="false" customWidth="true" hidden="false" outlineLevel="0" max="8" min="8" style="0" width="38"/>
    <col collapsed="false" customWidth="true" hidden="false" outlineLevel="0" max="9" min="9" style="0" width="16"/>
    <col collapsed="false" customWidth="true" hidden="false" outlineLevel="0" max="10" min="10" style="0" width="38"/>
  </cols>
  <sheetData>
    <row r="1" customFormat="false" ht="17.35" hidden="false" customHeight="false" outlineLevel="0" collapsed="false">
      <c r="A1" s="1" t="s">
        <v>827</v>
      </c>
    </row>
    <row r="2" customFormat="false" ht="15" hidden="false" customHeight="false" outlineLevel="0" collapsed="false">
      <c r="A2" s="2" t="s">
        <v>828</v>
      </c>
    </row>
    <row r="3" customFormat="false" ht="23.85" hidden="false" customHeight="false" outlineLevel="0" collapsed="false">
      <c r="A3" s="13" t="s">
        <v>829</v>
      </c>
      <c r="B3" s="33" t="n">
        <f aca="false">COUNTA(B7:B32)</f>
        <v>26</v>
      </c>
      <c r="C3" s="13" t="s">
        <v>830</v>
      </c>
      <c r="D3" s="33" t="n">
        <f aca="false">COUNTA(B35:B43)</f>
        <v>9</v>
      </c>
      <c r="E3" s="13" t="s">
        <v>831</v>
      </c>
      <c r="F3" s="33" t="n">
        <f aca="false">B3*D3</f>
        <v>234</v>
      </c>
    </row>
    <row r="6" customFormat="false" ht="31.5" hidden="false" customHeight="true" outlineLevel="0" collapsed="false">
      <c r="A6" s="11" t="s">
        <v>126</v>
      </c>
      <c r="B6" s="11" t="s">
        <v>832</v>
      </c>
      <c r="C6" s="11" t="s">
        <v>833</v>
      </c>
      <c r="D6" s="11" t="s">
        <v>834</v>
      </c>
      <c r="E6" s="11" t="s">
        <v>835</v>
      </c>
      <c r="F6" s="11" t="s">
        <v>836</v>
      </c>
      <c r="G6" s="11" t="s">
        <v>837</v>
      </c>
      <c r="H6" s="11" t="s">
        <v>838</v>
      </c>
      <c r="I6" s="11" t="s">
        <v>839</v>
      </c>
      <c r="J6" s="11" t="s">
        <v>840</v>
      </c>
    </row>
    <row r="7" customFormat="false" ht="15" hidden="false" customHeight="false" outlineLevel="0" collapsed="false">
      <c r="A7" s="16" t="n">
        <v>1</v>
      </c>
      <c r="B7" s="15" t="s">
        <v>841</v>
      </c>
      <c r="C7" s="7" t="s">
        <v>842</v>
      </c>
      <c r="D7" s="16" t="n">
        <v>1</v>
      </c>
      <c r="E7" s="7" t="s">
        <v>843</v>
      </c>
      <c r="F7" s="16" t="n">
        <v>1</v>
      </c>
      <c r="G7" s="7" t="s">
        <v>844</v>
      </c>
      <c r="H7" s="7" t="s">
        <v>845</v>
      </c>
      <c r="I7" s="16" t="s">
        <v>398</v>
      </c>
      <c r="J7" s="7" t="s">
        <v>846</v>
      </c>
    </row>
    <row r="8" customFormat="false" ht="15" hidden="false" customHeight="false" outlineLevel="0" collapsed="false">
      <c r="A8" s="16" t="n">
        <v>2</v>
      </c>
      <c r="B8" s="15" t="s">
        <v>847</v>
      </c>
      <c r="C8" s="7" t="s">
        <v>848</v>
      </c>
      <c r="D8" s="16" t="n">
        <v>1</v>
      </c>
      <c r="E8" s="7" t="s">
        <v>843</v>
      </c>
      <c r="F8" s="16" t="n">
        <v>1</v>
      </c>
      <c r="G8" s="7" t="s">
        <v>844</v>
      </c>
      <c r="H8" s="7" t="s">
        <v>849</v>
      </c>
      <c r="I8" s="16" t="s">
        <v>398</v>
      </c>
      <c r="J8" s="7" t="s">
        <v>846</v>
      </c>
    </row>
    <row r="9" customFormat="false" ht="15" hidden="false" customHeight="false" outlineLevel="0" collapsed="false">
      <c r="A9" s="16" t="n">
        <v>3</v>
      </c>
      <c r="B9" s="15" t="s">
        <v>850</v>
      </c>
      <c r="C9" s="7" t="s">
        <v>851</v>
      </c>
      <c r="D9" s="16" t="n">
        <v>2</v>
      </c>
      <c r="E9" s="7" t="s">
        <v>852</v>
      </c>
      <c r="F9" s="16" t="n">
        <v>1</v>
      </c>
      <c r="G9" s="7" t="s">
        <v>853</v>
      </c>
      <c r="H9" s="7" t="s">
        <v>854</v>
      </c>
      <c r="I9" s="16" t="s">
        <v>399</v>
      </c>
      <c r="J9" s="7" t="s">
        <v>846</v>
      </c>
    </row>
    <row r="10" customFormat="false" ht="15" hidden="false" customHeight="false" outlineLevel="0" collapsed="false">
      <c r="A10" s="16" t="n">
        <v>4</v>
      </c>
      <c r="B10" s="15" t="s">
        <v>855</v>
      </c>
      <c r="C10" s="7" t="s">
        <v>856</v>
      </c>
      <c r="D10" s="16" t="n">
        <v>1</v>
      </c>
      <c r="E10" s="7" t="s">
        <v>843</v>
      </c>
      <c r="F10" s="16" t="n">
        <v>1</v>
      </c>
      <c r="G10" s="7" t="s">
        <v>857</v>
      </c>
      <c r="H10" s="7" t="s">
        <v>858</v>
      </c>
      <c r="I10" s="16" t="s">
        <v>399</v>
      </c>
      <c r="J10" s="7" t="s">
        <v>846</v>
      </c>
    </row>
    <row r="11" customFormat="false" ht="15" hidden="false" customHeight="false" outlineLevel="0" collapsed="false">
      <c r="A11" s="16" t="n">
        <v>5</v>
      </c>
      <c r="B11" s="15" t="s">
        <v>859</v>
      </c>
      <c r="C11" s="7" t="s">
        <v>860</v>
      </c>
      <c r="D11" s="16" t="n">
        <v>1</v>
      </c>
      <c r="E11" s="7" t="s">
        <v>843</v>
      </c>
      <c r="F11" s="16" t="n">
        <v>1</v>
      </c>
      <c r="G11" s="7" t="s">
        <v>861</v>
      </c>
      <c r="H11" s="7" t="s">
        <v>862</v>
      </c>
      <c r="I11" s="16" t="s">
        <v>398</v>
      </c>
      <c r="J11" s="7" t="s">
        <v>846</v>
      </c>
    </row>
    <row r="12" customFormat="false" ht="15" hidden="false" customHeight="false" outlineLevel="0" collapsed="false">
      <c r="A12" s="16" t="n">
        <v>6</v>
      </c>
      <c r="B12" s="15" t="s">
        <v>863</v>
      </c>
      <c r="C12" s="7" t="s">
        <v>864</v>
      </c>
      <c r="D12" s="16" t="n">
        <v>1</v>
      </c>
      <c r="E12" s="7" t="s">
        <v>843</v>
      </c>
      <c r="F12" s="16" t="n">
        <v>1</v>
      </c>
      <c r="G12" s="7" t="s">
        <v>865</v>
      </c>
      <c r="H12" s="7" t="s">
        <v>866</v>
      </c>
      <c r="I12" s="16" t="s">
        <v>398</v>
      </c>
      <c r="J12" s="7" t="s">
        <v>846</v>
      </c>
    </row>
    <row r="13" customFormat="false" ht="15" hidden="false" customHeight="false" outlineLevel="0" collapsed="false">
      <c r="A13" s="16" t="n">
        <v>7</v>
      </c>
      <c r="B13" s="15" t="s">
        <v>270</v>
      </c>
      <c r="C13" s="7" t="s">
        <v>867</v>
      </c>
      <c r="D13" s="16" t="n">
        <v>1</v>
      </c>
      <c r="E13" s="7" t="s">
        <v>843</v>
      </c>
      <c r="F13" s="16" t="n">
        <v>1</v>
      </c>
      <c r="G13" s="7" t="s">
        <v>868</v>
      </c>
      <c r="H13" s="7" t="s">
        <v>869</v>
      </c>
      <c r="I13" s="16" t="s">
        <v>398</v>
      </c>
      <c r="J13" s="7" t="s">
        <v>846</v>
      </c>
    </row>
    <row r="14" customFormat="false" ht="15" hidden="false" customHeight="false" outlineLevel="0" collapsed="false">
      <c r="A14" s="16" t="n">
        <v>8</v>
      </c>
      <c r="B14" s="15" t="s">
        <v>870</v>
      </c>
      <c r="C14" s="7" t="s">
        <v>871</v>
      </c>
      <c r="D14" s="16" t="n">
        <v>1</v>
      </c>
      <c r="E14" s="7" t="s">
        <v>852</v>
      </c>
      <c r="F14" s="16" t="n">
        <v>1</v>
      </c>
      <c r="G14" s="7" t="s">
        <v>872</v>
      </c>
      <c r="H14" s="7" t="s">
        <v>873</v>
      </c>
      <c r="I14" s="16" t="s">
        <v>398</v>
      </c>
      <c r="J14" s="7" t="s">
        <v>846</v>
      </c>
    </row>
    <row r="15" customFormat="false" ht="15" hidden="false" customHeight="false" outlineLevel="0" collapsed="false">
      <c r="A15" s="16" t="n">
        <v>9</v>
      </c>
      <c r="B15" s="15" t="s">
        <v>874</v>
      </c>
      <c r="C15" s="7" t="s">
        <v>875</v>
      </c>
      <c r="D15" s="16" t="n">
        <v>1</v>
      </c>
      <c r="E15" s="7" t="s">
        <v>843</v>
      </c>
      <c r="F15" s="16" t="n">
        <v>1</v>
      </c>
      <c r="G15" s="7" t="s">
        <v>876</v>
      </c>
      <c r="H15" s="7" t="s">
        <v>877</v>
      </c>
      <c r="I15" s="16" t="s">
        <v>398</v>
      </c>
      <c r="J15" s="7" t="s">
        <v>846</v>
      </c>
    </row>
    <row r="16" customFormat="false" ht="15" hidden="false" customHeight="false" outlineLevel="0" collapsed="false">
      <c r="A16" s="16" t="n">
        <v>10</v>
      </c>
      <c r="B16" s="15" t="s">
        <v>878</v>
      </c>
      <c r="C16" s="7" t="s">
        <v>879</v>
      </c>
      <c r="D16" s="16" t="n">
        <v>1</v>
      </c>
      <c r="E16" s="7" t="s">
        <v>843</v>
      </c>
      <c r="F16" s="16" t="n">
        <v>1</v>
      </c>
      <c r="G16" s="7" t="s">
        <v>880</v>
      </c>
      <c r="H16" s="7" t="s">
        <v>881</v>
      </c>
      <c r="I16" s="16" t="s">
        <v>398</v>
      </c>
      <c r="J16" s="7" t="s">
        <v>846</v>
      </c>
    </row>
    <row r="17" customFormat="false" ht="15" hidden="false" customHeight="false" outlineLevel="0" collapsed="false">
      <c r="A17" s="16" t="n">
        <v>11</v>
      </c>
      <c r="B17" s="15" t="s">
        <v>882</v>
      </c>
      <c r="C17" s="7" t="s">
        <v>883</v>
      </c>
      <c r="D17" s="16" t="n">
        <v>1</v>
      </c>
      <c r="E17" s="7" t="s">
        <v>843</v>
      </c>
      <c r="F17" s="16" t="n">
        <v>1</v>
      </c>
      <c r="G17" s="7" t="s">
        <v>884</v>
      </c>
      <c r="H17" s="7" t="s">
        <v>885</v>
      </c>
      <c r="I17" s="16" t="s">
        <v>398</v>
      </c>
      <c r="J17" s="7" t="s">
        <v>846</v>
      </c>
    </row>
    <row r="18" customFormat="false" ht="15" hidden="false" customHeight="false" outlineLevel="0" collapsed="false">
      <c r="A18" s="16" t="n">
        <v>12</v>
      </c>
      <c r="B18" s="15" t="s">
        <v>886</v>
      </c>
      <c r="C18" s="7" t="s">
        <v>887</v>
      </c>
      <c r="D18" s="16" t="n">
        <v>1</v>
      </c>
      <c r="E18" s="7" t="s">
        <v>843</v>
      </c>
      <c r="F18" s="16" t="n">
        <v>1</v>
      </c>
      <c r="G18" s="7" t="s">
        <v>888</v>
      </c>
      <c r="H18" s="7" t="s">
        <v>889</v>
      </c>
      <c r="I18" s="16" t="s">
        <v>398</v>
      </c>
      <c r="J18" s="7" t="s">
        <v>846</v>
      </c>
    </row>
    <row r="19" customFormat="false" ht="15" hidden="false" customHeight="false" outlineLevel="0" collapsed="false">
      <c r="A19" s="16" t="n">
        <v>13</v>
      </c>
      <c r="B19" s="15" t="s">
        <v>890</v>
      </c>
      <c r="C19" s="7" t="s">
        <v>891</v>
      </c>
      <c r="D19" s="16" t="n">
        <v>1</v>
      </c>
      <c r="E19" s="7" t="s">
        <v>843</v>
      </c>
      <c r="F19" s="16" t="n">
        <v>1</v>
      </c>
      <c r="G19" s="7" t="s">
        <v>892</v>
      </c>
      <c r="H19" s="7" t="s">
        <v>893</v>
      </c>
      <c r="I19" s="16" t="s">
        <v>398</v>
      </c>
      <c r="J19" s="7" t="s">
        <v>846</v>
      </c>
    </row>
    <row r="20" customFormat="false" ht="15" hidden="false" customHeight="false" outlineLevel="0" collapsed="false">
      <c r="A20" s="16" t="n">
        <v>14</v>
      </c>
      <c r="B20" s="15" t="s">
        <v>894</v>
      </c>
      <c r="C20" s="7" t="s">
        <v>895</v>
      </c>
      <c r="D20" s="16" t="n">
        <v>1</v>
      </c>
      <c r="E20" s="7" t="s">
        <v>843</v>
      </c>
      <c r="F20" s="16" t="n">
        <v>2</v>
      </c>
      <c r="G20" s="7" t="s">
        <v>896</v>
      </c>
      <c r="H20" s="7" t="s">
        <v>897</v>
      </c>
      <c r="I20" s="16" t="s">
        <v>399</v>
      </c>
      <c r="J20" s="7" t="s">
        <v>846</v>
      </c>
    </row>
    <row r="21" customFormat="false" ht="15" hidden="false" customHeight="false" outlineLevel="0" collapsed="false">
      <c r="A21" s="16" t="n">
        <v>15</v>
      </c>
      <c r="B21" s="15" t="s">
        <v>898</v>
      </c>
      <c r="C21" s="7" t="s">
        <v>899</v>
      </c>
      <c r="D21" s="16" t="n">
        <v>2</v>
      </c>
      <c r="E21" s="7" t="s">
        <v>852</v>
      </c>
      <c r="F21" s="16" t="n">
        <v>1</v>
      </c>
      <c r="G21" s="7" t="s">
        <v>900</v>
      </c>
      <c r="H21" s="7" t="s">
        <v>901</v>
      </c>
      <c r="I21" s="16" t="s">
        <v>902</v>
      </c>
      <c r="J21" s="7" t="s">
        <v>846</v>
      </c>
    </row>
    <row r="22" customFormat="false" ht="15" hidden="false" customHeight="false" outlineLevel="0" collapsed="false">
      <c r="A22" s="16" t="n">
        <v>16</v>
      </c>
      <c r="B22" s="15" t="s">
        <v>903</v>
      </c>
      <c r="C22" s="7" t="s">
        <v>904</v>
      </c>
      <c r="D22" s="16" t="n">
        <v>1</v>
      </c>
      <c r="E22" s="7" t="s">
        <v>843</v>
      </c>
      <c r="F22" s="16" t="n">
        <v>1</v>
      </c>
      <c r="G22" s="7" t="s">
        <v>905</v>
      </c>
      <c r="H22" s="7" t="s">
        <v>906</v>
      </c>
      <c r="I22" s="16" t="s">
        <v>398</v>
      </c>
      <c r="J22" s="7" t="s">
        <v>846</v>
      </c>
    </row>
    <row r="23" customFormat="false" ht="15" hidden="false" customHeight="false" outlineLevel="0" collapsed="false">
      <c r="A23" s="16" t="n">
        <v>17</v>
      </c>
      <c r="B23" s="15" t="s">
        <v>907</v>
      </c>
      <c r="C23" s="7" t="s">
        <v>908</v>
      </c>
      <c r="D23" s="16" t="n">
        <v>2</v>
      </c>
      <c r="E23" s="7" t="s">
        <v>907</v>
      </c>
      <c r="F23" s="16" t="n">
        <v>1</v>
      </c>
      <c r="G23" s="7" t="s">
        <v>909</v>
      </c>
      <c r="H23" s="7" t="s">
        <v>910</v>
      </c>
      <c r="I23" s="16" t="s">
        <v>399</v>
      </c>
      <c r="J23" s="7" t="s">
        <v>846</v>
      </c>
    </row>
    <row r="24" customFormat="false" ht="15" hidden="false" customHeight="false" outlineLevel="0" collapsed="false">
      <c r="A24" s="16" t="n">
        <v>18</v>
      </c>
      <c r="B24" s="15" t="s">
        <v>911</v>
      </c>
      <c r="C24" s="7" t="s">
        <v>912</v>
      </c>
      <c r="D24" s="16" t="n">
        <v>1</v>
      </c>
      <c r="E24" s="7" t="s">
        <v>852</v>
      </c>
      <c r="F24" s="16" t="n">
        <v>1</v>
      </c>
      <c r="G24" s="7" t="s">
        <v>844</v>
      </c>
      <c r="H24" s="7" t="s">
        <v>913</v>
      </c>
      <c r="I24" s="16" t="s">
        <v>399</v>
      </c>
      <c r="J24" s="7" t="s">
        <v>846</v>
      </c>
    </row>
    <row r="25" customFormat="false" ht="15" hidden="false" customHeight="false" outlineLevel="0" collapsed="false">
      <c r="A25" s="16" t="n">
        <v>19</v>
      </c>
      <c r="B25" s="15" t="s">
        <v>914</v>
      </c>
      <c r="C25" s="7" t="s">
        <v>915</v>
      </c>
      <c r="D25" s="16" t="n">
        <v>2</v>
      </c>
      <c r="E25" s="7" t="s">
        <v>852</v>
      </c>
      <c r="F25" s="16" t="n">
        <v>1</v>
      </c>
      <c r="G25" s="7" t="s">
        <v>916</v>
      </c>
      <c r="H25" s="7" t="s">
        <v>917</v>
      </c>
      <c r="I25" s="16" t="s">
        <v>399</v>
      </c>
      <c r="J25" s="7" t="s">
        <v>846</v>
      </c>
    </row>
    <row r="26" customFormat="false" ht="23.85" hidden="false" customHeight="false" outlineLevel="0" collapsed="false">
      <c r="A26" s="16" t="n">
        <v>20</v>
      </c>
      <c r="B26" s="15" t="s">
        <v>918</v>
      </c>
      <c r="C26" s="7" t="s">
        <v>919</v>
      </c>
      <c r="D26" s="16" t="n">
        <v>1</v>
      </c>
      <c r="E26" s="7" t="s">
        <v>843</v>
      </c>
      <c r="F26" s="16" t="n">
        <v>1</v>
      </c>
      <c r="G26" s="7" t="s">
        <v>920</v>
      </c>
      <c r="H26" s="7" t="s">
        <v>921</v>
      </c>
      <c r="I26" s="16" t="s">
        <v>398</v>
      </c>
      <c r="J26" s="7" t="s">
        <v>922</v>
      </c>
    </row>
    <row r="27" customFormat="false" ht="15" hidden="false" customHeight="false" outlineLevel="0" collapsed="false">
      <c r="A27" s="16" t="n">
        <v>21</v>
      </c>
      <c r="B27" s="15" t="s">
        <v>923</v>
      </c>
      <c r="C27" s="7" t="s">
        <v>924</v>
      </c>
      <c r="D27" s="16" t="n">
        <v>1</v>
      </c>
      <c r="E27" s="7" t="s">
        <v>843</v>
      </c>
      <c r="F27" s="16" t="n">
        <v>2</v>
      </c>
      <c r="G27" s="7" t="s">
        <v>925</v>
      </c>
      <c r="H27" s="7" t="s">
        <v>926</v>
      </c>
      <c r="I27" s="16" t="s">
        <v>398</v>
      </c>
      <c r="J27" s="7" t="s">
        <v>846</v>
      </c>
    </row>
    <row r="28" customFormat="false" ht="15" hidden="false" customHeight="false" outlineLevel="0" collapsed="false">
      <c r="A28" s="16" t="n">
        <v>22</v>
      </c>
      <c r="B28" s="15" t="s">
        <v>927</v>
      </c>
      <c r="C28" s="7" t="s">
        <v>928</v>
      </c>
      <c r="D28" s="16" t="n">
        <v>1</v>
      </c>
      <c r="E28" s="7" t="s">
        <v>843</v>
      </c>
      <c r="F28" s="16" t="n">
        <v>1</v>
      </c>
      <c r="G28" s="7" t="s">
        <v>929</v>
      </c>
      <c r="H28" s="7" t="s">
        <v>930</v>
      </c>
      <c r="I28" s="16" t="s">
        <v>398</v>
      </c>
      <c r="J28" s="7" t="s">
        <v>846</v>
      </c>
    </row>
    <row r="29" customFormat="false" ht="15" hidden="false" customHeight="false" outlineLevel="0" collapsed="false">
      <c r="A29" s="16" t="n">
        <v>23</v>
      </c>
      <c r="B29" s="15" t="s">
        <v>931</v>
      </c>
      <c r="C29" s="7" t="s">
        <v>932</v>
      </c>
      <c r="D29" s="16" t="n">
        <v>1</v>
      </c>
      <c r="E29" s="7" t="s">
        <v>852</v>
      </c>
      <c r="F29" s="16" t="n">
        <v>1</v>
      </c>
      <c r="G29" s="7" t="s">
        <v>933</v>
      </c>
      <c r="H29" s="7" t="s">
        <v>934</v>
      </c>
      <c r="I29" s="16" t="s">
        <v>399</v>
      </c>
      <c r="J29" s="7" t="s">
        <v>846</v>
      </c>
    </row>
    <row r="30" customFormat="false" ht="15" hidden="false" customHeight="false" outlineLevel="0" collapsed="false">
      <c r="A30" s="16" t="n">
        <v>24</v>
      </c>
      <c r="B30" s="15" t="s">
        <v>935</v>
      </c>
      <c r="C30" s="7" t="s">
        <v>936</v>
      </c>
      <c r="D30" s="16" t="n">
        <v>1</v>
      </c>
      <c r="E30" s="7" t="s">
        <v>843</v>
      </c>
      <c r="F30" s="16" t="n">
        <v>1</v>
      </c>
      <c r="G30" s="7" t="s">
        <v>937</v>
      </c>
      <c r="H30" s="7" t="s">
        <v>938</v>
      </c>
      <c r="I30" s="16" t="s">
        <v>398</v>
      </c>
      <c r="J30" s="7" t="s">
        <v>846</v>
      </c>
    </row>
    <row r="31" customFormat="false" ht="15" hidden="false" customHeight="false" outlineLevel="0" collapsed="false">
      <c r="A31" s="16" t="n">
        <v>25</v>
      </c>
      <c r="B31" s="15" t="s">
        <v>939</v>
      </c>
      <c r="C31" s="7" t="s">
        <v>940</v>
      </c>
      <c r="D31" s="16" t="n">
        <v>1</v>
      </c>
      <c r="E31" s="7" t="s">
        <v>843</v>
      </c>
      <c r="F31" s="16" t="n">
        <v>1</v>
      </c>
      <c r="G31" s="7" t="s">
        <v>941</v>
      </c>
      <c r="H31" s="7" t="s">
        <v>942</v>
      </c>
      <c r="I31" s="16" t="s">
        <v>398</v>
      </c>
      <c r="J31" s="7" t="s">
        <v>846</v>
      </c>
    </row>
    <row r="32" customFormat="false" ht="15" hidden="false" customHeight="false" outlineLevel="0" collapsed="false">
      <c r="A32" s="16" t="n">
        <v>26</v>
      </c>
      <c r="B32" s="15" t="s">
        <v>943</v>
      </c>
      <c r="C32" s="7" t="s">
        <v>944</v>
      </c>
      <c r="D32" s="16" t="n">
        <v>1</v>
      </c>
      <c r="E32" s="7" t="s">
        <v>843</v>
      </c>
      <c r="F32" s="16" t="n">
        <v>2</v>
      </c>
      <c r="G32" s="7" t="s">
        <v>945</v>
      </c>
      <c r="H32" s="7" t="s">
        <v>946</v>
      </c>
      <c r="I32" s="16" t="s">
        <v>398</v>
      </c>
      <c r="J32" s="7" t="s">
        <v>947</v>
      </c>
    </row>
    <row r="34" customFormat="false" ht="31.5" hidden="false" customHeight="true" outlineLevel="0" collapsed="false">
      <c r="A34" s="11" t="s">
        <v>126</v>
      </c>
      <c r="B34" s="11" t="s">
        <v>948</v>
      </c>
      <c r="C34" s="11" t="s">
        <v>949</v>
      </c>
      <c r="D34" s="11" t="s">
        <v>950</v>
      </c>
      <c r="E34" s="11" t="s">
        <v>951</v>
      </c>
      <c r="F34" s="11" t="s">
        <v>838</v>
      </c>
      <c r="G34" s="11" t="s">
        <v>952</v>
      </c>
      <c r="H34" s="11" t="s">
        <v>953</v>
      </c>
      <c r="I34" s="11" t="s">
        <v>954</v>
      </c>
      <c r="J34" s="11" t="s">
        <v>135</v>
      </c>
    </row>
    <row r="35" customFormat="false" ht="23.85" hidden="false" customHeight="false" outlineLevel="0" collapsed="false">
      <c r="A35" s="16" t="n">
        <v>1</v>
      </c>
      <c r="B35" s="15" t="s">
        <v>955</v>
      </c>
      <c r="C35" s="34" t="s">
        <v>956</v>
      </c>
      <c r="D35" s="35" t="s">
        <v>957</v>
      </c>
      <c r="E35" s="36" t="s">
        <v>958</v>
      </c>
      <c r="F35" s="37" t="s">
        <v>959</v>
      </c>
      <c r="G35" s="25" t="n">
        <v>8.8</v>
      </c>
      <c r="H35" s="25" t="n">
        <v>6.6</v>
      </c>
      <c r="I35" s="16" t="s">
        <v>566</v>
      </c>
      <c r="J35" s="7" t="s">
        <v>960</v>
      </c>
    </row>
    <row r="36" customFormat="false" ht="23.85" hidden="false" customHeight="false" outlineLevel="0" collapsed="false">
      <c r="A36" s="16" t="n">
        <v>2</v>
      </c>
      <c r="B36" s="15" t="s">
        <v>961</v>
      </c>
      <c r="C36" s="38" t="s">
        <v>962</v>
      </c>
      <c r="D36" s="39" t="s">
        <v>963</v>
      </c>
      <c r="E36" s="40" t="s">
        <v>964</v>
      </c>
      <c r="F36" s="16" t="s">
        <v>622</v>
      </c>
      <c r="G36" s="25" t="n">
        <v>7.7</v>
      </c>
      <c r="H36" s="25" t="n">
        <v>5.2</v>
      </c>
      <c r="I36" s="16" t="s">
        <v>566</v>
      </c>
      <c r="J36" s="7" t="s">
        <v>960</v>
      </c>
    </row>
    <row r="37" customFormat="false" ht="23.85" hidden="false" customHeight="false" outlineLevel="0" collapsed="false">
      <c r="A37" s="16" t="n">
        <v>3</v>
      </c>
      <c r="B37" s="15" t="s">
        <v>965</v>
      </c>
      <c r="C37" s="37" t="s">
        <v>959</v>
      </c>
      <c r="D37" s="41" t="s">
        <v>966</v>
      </c>
      <c r="E37" s="42" t="s">
        <v>967</v>
      </c>
      <c r="F37" s="34" t="s">
        <v>956</v>
      </c>
      <c r="G37" s="25" t="n">
        <v>8.7</v>
      </c>
      <c r="H37" s="25" t="n">
        <v>1.5</v>
      </c>
      <c r="I37" s="16" t="s">
        <v>968</v>
      </c>
      <c r="J37" s="7" t="s">
        <v>960</v>
      </c>
    </row>
    <row r="38" customFormat="false" ht="23.85" hidden="false" customHeight="false" outlineLevel="0" collapsed="false">
      <c r="A38" s="16" t="n">
        <v>4</v>
      </c>
      <c r="B38" s="15" t="s">
        <v>969</v>
      </c>
      <c r="C38" s="43" t="s">
        <v>970</v>
      </c>
      <c r="D38" s="44" t="s">
        <v>971</v>
      </c>
      <c r="E38" s="45" t="s">
        <v>972</v>
      </c>
      <c r="F38" s="16" t="s">
        <v>622</v>
      </c>
      <c r="G38" s="25" t="n">
        <v>11</v>
      </c>
      <c r="H38" s="25" t="n">
        <v>6.5</v>
      </c>
      <c r="I38" s="16" t="s">
        <v>566</v>
      </c>
      <c r="J38" s="7" t="s">
        <v>960</v>
      </c>
    </row>
    <row r="39" customFormat="false" ht="23.85" hidden="false" customHeight="false" outlineLevel="0" collapsed="false">
      <c r="A39" s="16" t="n">
        <v>5</v>
      </c>
      <c r="B39" s="15" t="s">
        <v>973</v>
      </c>
      <c r="C39" s="46" t="s">
        <v>974</v>
      </c>
      <c r="D39" s="47" t="s">
        <v>975</v>
      </c>
      <c r="E39" s="48" t="s">
        <v>976</v>
      </c>
      <c r="F39" s="16" t="s">
        <v>622</v>
      </c>
      <c r="G39" s="25" t="n">
        <v>8.9</v>
      </c>
      <c r="H39" s="25" t="n">
        <v>6.7</v>
      </c>
      <c r="I39" s="16" t="s">
        <v>566</v>
      </c>
      <c r="J39" s="7" t="s">
        <v>960</v>
      </c>
    </row>
    <row r="40" customFormat="false" ht="23.85" hidden="false" customHeight="false" outlineLevel="0" collapsed="false">
      <c r="A40" s="16" t="n">
        <v>6</v>
      </c>
      <c r="B40" s="15" t="s">
        <v>977</v>
      </c>
      <c r="C40" s="49" t="s">
        <v>978</v>
      </c>
      <c r="D40" s="50" t="s">
        <v>979</v>
      </c>
      <c r="E40" s="51" t="s">
        <v>980</v>
      </c>
      <c r="F40" s="16" t="s">
        <v>622</v>
      </c>
      <c r="G40" s="25" t="n">
        <v>9.3</v>
      </c>
      <c r="H40" s="25" t="n">
        <v>7.1</v>
      </c>
      <c r="I40" s="16" t="s">
        <v>566</v>
      </c>
      <c r="J40" s="7" t="s">
        <v>960</v>
      </c>
    </row>
    <row r="41" customFormat="false" ht="23.85" hidden="false" customHeight="false" outlineLevel="0" collapsed="false">
      <c r="A41" s="16" t="n">
        <v>7</v>
      </c>
      <c r="B41" s="15" t="s">
        <v>981</v>
      </c>
      <c r="C41" s="52" t="s">
        <v>982</v>
      </c>
      <c r="D41" s="53" t="s">
        <v>983</v>
      </c>
      <c r="E41" s="54" t="s">
        <v>984</v>
      </c>
      <c r="F41" s="16" t="s">
        <v>622</v>
      </c>
      <c r="G41" s="25" t="n">
        <v>11.1</v>
      </c>
      <c r="H41" s="25" t="n">
        <v>7.3</v>
      </c>
      <c r="I41" s="16" t="s">
        <v>566</v>
      </c>
      <c r="J41" s="7" t="s">
        <v>960</v>
      </c>
    </row>
    <row r="42" customFormat="false" ht="23.85" hidden="false" customHeight="false" outlineLevel="0" collapsed="false">
      <c r="A42" s="16" t="n">
        <v>8</v>
      </c>
      <c r="B42" s="15" t="s">
        <v>985</v>
      </c>
      <c r="C42" s="55" t="s">
        <v>986</v>
      </c>
      <c r="D42" s="56" t="s">
        <v>987</v>
      </c>
      <c r="E42" s="57" t="s">
        <v>988</v>
      </c>
      <c r="F42" s="16" t="s">
        <v>622</v>
      </c>
      <c r="G42" s="25" t="n">
        <v>8.2</v>
      </c>
      <c r="H42" s="25" t="n">
        <v>6</v>
      </c>
      <c r="I42" s="16" t="s">
        <v>566</v>
      </c>
      <c r="J42" s="7" t="s">
        <v>960</v>
      </c>
    </row>
    <row r="43" customFormat="false" ht="23.85" hidden="false" customHeight="false" outlineLevel="0" collapsed="false">
      <c r="A43" s="16" t="n">
        <v>9</v>
      </c>
      <c r="B43" s="15" t="s">
        <v>989</v>
      </c>
      <c r="C43" s="58" t="s">
        <v>990</v>
      </c>
      <c r="D43" s="59" t="s">
        <v>991</v>
      </c>
      <c r="E43" s="60" t="s">
        <v>992</v>
      </c>
      <c r="F43" s="16" t="s">
        <v>622</v>
      </c>
      <c r="G43" s="25" t="n">
        <v>15.5</v>
      </c>
      <c r="H43" s="25" t="n">
        <v>14.7</v>
      </c>
      <c r="I43" s="16" t="s">
        <v>566</v>
      </c>
      <c r="J43" s="7" t="s">
        <v>960</v>
      </c>
    </row>
    <row r="44" customFormat="false" ht="68.65" hidden="false" customHeight="false" outlineLevel="0" collapsed="false">
      <c r="B44" s="21" t="s">
        <v>993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A5E9"/>
    <pageSetUpPr fitToPage="true"/>
  </sheetPr>
  <dimension ref="A1:B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994</v>
      </c>
    </row>
    <row r="2" customFormat="false" ht="15" hidden="false" customHeight="false" outlineLevel="0" collapsed="false">
      <c r="A2" s="2" t="s">
        <v>995</v>
      </c>
    </row>
    <row r="4" customFormat="false" ht="31.5" hidden="false" customHeight="true" outlineLevel="0" collapsed="false">
      <c r="A4" s="11" t="s">
        <v>996</v>
      </c>
      <c r="B4" s="11" t="s">
        <v>997</v>
      </c>
    </row>
    <row r="5" customFormat="false" ht="30" hidden="false" customHeight="true" outlineLevel="0" collapsed="false">
      <c r="A5" s="15" t="s">
        <v>998</v>
      </c>
      <c r="B5" s="7" t="s">
        <v>999</v>
      </c>
    </row>
    <row r="6" customFormat="false" ht="30" hidden="false" customHeight="true" outlineLevel="0" collapsed="false">
      <c r="A6" s="15" t="s">
        <v>1000</v>
      </c>
      <c r="B6" s="7" t="s">
        <v>1001</v>
      </c>
    </row>
    <row r="7" customFormat="false" ht="30" hidden="false" customHeight="true" outlineLevel="0" collapsed="false">
      <c r="A7" s="15" t="s">
        <v>1002</v>
      </c>
      <c r="B7" s="7" t="s">
        <v>1003</v>
      </c>
    </row>
    <row r="8" customFormat="false" ht="30" hidden="false" customHeight="true" outlineLevel="0" collapsed="false">
      <c r="A8" s="15" t="s">
        <v>1004</v>
      </c>
      <c r="B8" s="7" t="s">
        <v>1005</v>
      </c>
    </row>
    <row r="9" customFormat="false" ht="30" hidden="false" customHeight="true" outlineLevel="0" collapsed="false">
      <c r="A9" s="15" t="s">
        <v>1006</v>
      </c>
      <c r="B9" s="7" t="s">
        <v>1007</v>
      </c>
    </row>
    <row r="10" customFormat="false" ht="30" hidden="false" customHeight="true" outlineLevel="0" collapsed="false">
      <c r="A10" s="15" t="s">
        <v>1008</v>
      </c>
      <c r="B10" s="7" t="s">
        <v>1009</v>
      </c>
    </row>
    <row r="11" customFormat="false" ht="30" hidden="false" customHeight="true" outlineLevel="0" collapsed="false">
      <c r="A11" s="15" t="s">
        <v>1010</v>
      </c>
      <c r="B11" s="7" t="s">
        <v>1011</v>
      </c>
    </row>
    <row r="12" customFormat="false" ht="30" hidden="false" customHeight="true" outlineLevel="0" collapsed="false">
      <c r="A12" s="15" t="s">
        <v>1012</v>
      </c>
      <c r="B12" s="7" t="s">
        <v>1013</v>
      </c>
    </row>
    <row r="13" customFormat="false" ht="30" hidden="false" customHeight="true" outlineLevel="0" collapsed="false">
      <c r="A13" s="15" t="s">
        <v>1014</v>
      </c>
      <c r="B13" s="7" t="s">
        <v>1015</v>
      </c>
    </row>
    <row r="14" customFormat="false" ht="30" hidden="false" customHeight="true" outlineLevel="0" collapsed="false">
      <c r="A14" s="15" t="s">
        <v>1016</v>
      </c>
      <c r="B14" s="7" t="s">
        <v>1017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B3C"/>
    <pageSetUpPr fitToPage="true"/>
  </sheetPr>
  <dimension ref="A1:L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50"/>
    <col collapsed="false" customWidth="true" hidden="false" outlineLevel="0" max="4" min="4" style="0" width="30"/>
    <col collapsed="false" customWidth="true" hidden="false" outlineLevel="0" max="5" min="5" style="0" width="11"/>
    <col collapsed="false" customWidth="true" hidden="false" outlineLevel="0" max="6" min="6" style="0" width="50"/>
    <col collapsed="false" customWidth="true" hidden="false" outlineLevel="0" max="8" min="7" style="0" width="11"/>
    <col collapsed="false" customWidth="true" hidden="false" outlineLevel="0" max="9" min="9" style="0" width="13"/>
    <col collapsed="false" customWidth="true" hidden="false" outlineLevel="0" max="11" min="10" style="0" width="11"/>
    <col collapsed="false" customWidth="true" hidden="false" outlineLevel="0" max="12" min="12" style="0" width="46"/>
  </cols>
  <sheetData>
    <row r="1" customFormat="false" ht="17.35" hidden="false" customHeight="false" outlineLevel="0" collapsed="false">
      <c r="A1" s="1" t="s">
        <v>1018</v>
      </c>
    </row>
    <row r="2" customFormat="false" ht="15" hidden="false" customHeight="false" outlineLevel="0" collapsed="false">
      <c r="A2" s="2" t="s">
        <v>1019</v>
      </c>
    </row>
    <row r="4" customFormat="false" ht="31.5" hidden="false" customHeight="true" outlineLevel="0" collapsed="false">
      <c r="A4" s="11" t="s">
        <v>126</v>
      </c>
      <c r="B4" s="11" t="s">
        <v>91</v>
      </c>
      <c r="C4" s="11" t="s">
        <v>136</v>
      </c>
      <c r="D4" s="11" t="s">
        <v>127</v>
      </c>
      <c r="E4" s="11" t="s">
        <v>1020</v>
      </c>
      <c r="F4" s="11" t="s">
        <v>1021</v>
      </c>
      <c r="G4" s="11" t="s">
        <v>92</v>
      </c>
      <c r="H4" s="11" t="s">
        <v>93</v>
      </c>
      <c r="I4" s="11" t="s">
        <v>94</v>
      </c>
      <c r="J4" s="11" t="s">
        <v>95</v>
      </c>
      <c r="K4" s="11" t="s">
        <v>96</v>
      </c>
      <c r="L4" s="11" t="s">
        <v>1022</v>
      </c>
    </row>
    <row r="5" customFormat="false" ht="15" hidden="false" customHeight="false" outlineLevel="0" collapsed="false">
      <c r="A5" s="16" t="n">
        <v>1</v>
      </c>
      <c r="B5" s="7" t="s">
        <v>102</v>
      </c>
      <c r="C5" s="7" t="s">
        <v>1023</v>
      </c>
      <c r="D5" s="7" t="s">
        <v>119</v>
      </c>
      <c r="E5" s="16" t="n">
        <v>6</v>
      </c>
      <c r="F5" s="7" t="s">
        <v>1024</v>
      </c>
      <c r="G5" s="61" t="str">
        <f aca="false">INDEX(Prioridade!$B$5:$J$9,MATCH(G$4,Prioridade!$A$5:$A$9,0),MATCH($B5,Prioridade!$B$4:$J$4,0))</f>
        <v>Média</v>
      </c>
      <c r="H5" s="61" t="str">
        <f aca="false">INDEX(Prioridade!$B$5:$J$9,MATCH(H$4,Prioridade!$A$5:$A$9,0),MATCH($B5,Prioridade!$B$4:$J$4,0))</f>
        <v>Alta</v>
      </c>
      <c r="I5" s="61" t="str">
        <f aca="false">INDEX(Prioridade!$B$5:$J$9,MATCH(I$4,Prioridade!$A$5:$A$9,0),MATCH($B5,Prioridade!$B$4:$J$4,0))</f>
        <v>Média</v>
      </c>
      <c r="J5" s="61" t="str">
        <f aca="false">INDEX(Prioridade!$B$5:$J$9,MATCH(J$4,Prioridade!$A$5:$A$9,0),MATCH($B5,Prioridade!$B$4:$J$4,0))</f>
        <v>Alta</v>
      </c>
      <c r="K5" s="61" t="str">
        <f aca="false">INDEX(Prioridade!$B$5:$J$9,MATCH(K$4,Prioridade!$A$5:$A$9,0),MATCH($B5,Prioridade!$B$4:$J$4,0))</f>
        <v>Média</v>
      </c>
      <c r="L5" s="7" t="s">
        <v>1025</v>
      </c>
    </row>
    <row r="6" customFormat="false" ht="15" hidden="false" customHeight="false" outlineLevel="0" collapsed="false">
      <c r="A6" s="16" t="n">
        <v>2</v>
      </c>
      <c r="B6" s="7" t="s">
        <v>102</v>
      </c>
      <c r="C6" s="7" t="s">
        <v>1026</v>
      </c>
      <c r="D6" s="7" t="s">
        <v>119</v>
      </c>
      <c r="E6" s="16" t="n">
        <v>8</v>
      </c>
      <c r="F6" s="7" t="s">
        <v>1027</v>
      </c>
      <c r="G6" s="61" t="str">
        <f aca="false">INDEX(Prioridade!$B$5:$J$9,MATCH(G$4,Prioridade!$A$5:$A$9,0),MATCH($B6,Prioridade!$B$4:$J$4,0))</f>
        <v>Média</v>
      </c>
      <c r="H6" s="61" t="str">
        <f aca="false">INDEX(Prioridade!$B$5:$J$9,MATCH(H$4,Prioridade!$A$5:$A$9,0),MATCH($B6,Prioridade!$B$4:$J$4,0))</f>
        <v>Alta</v>
      </c>
      <c r="I6" s="61" t="str">
        <f aca="false">INDEX(Prioridade!$B$5:$J$9,MATCH(I$4,Prioridade!$A$5:$A$9,0),MATCH($B6,Prioridade!$B$4:$J$4,0))</f>
        <v>Média</v>
      </c>
      <c r="J6" s="61" t="str">
        <f aca="false">INDEX(Prioridade!$B$5:$J$9,MATCH(J$4,Prioridade!$A$5:$A$9,0),MATCH($B6,Prioridade!$B$4:$J$4,0))</f>
        <v>Alta</v>
      </c>
      <c r="K6" s="61" t="str">
        <f aca="false">INDEX(Prioridade!$B$5:$J$9,MATCH(K$4,Prioridade!$A$5:$A$9,0),MATCH($B6,Prioridade!$B$4:$J$4,0))</f>
        <v>Média</v>
      </c>
      <c r="L6" s="7" t="s">
        <v>1025</v>
      </c>
    </row>
    <row r="7" customFormat="false" ht="15" hidden="false" customHeight="false" outlineLevel="0" collapsed="false">
      <c r="A7" s="16" t="n">
        <v>3</v>
      </c>
      <c r="B7" s="7" t="s">
        <v>102</v>
      </c>
      <c r="C7" s="7" t="s">
        <v>1028</v>
      </c>
      <c r="D7" s="7" t="s">
        <v>119</v>
      </c>
      <c r="E7" s="16" t="n">
        <v>4</v>
      </c>
      <c r="F7" s="7" t="s">
        <v>1029</v>
      </c>
      <c r="G7" s="61" t="str">
        <f aca="false">INDEX(Prioridade!$B$5:$J$9,MATCH(G$4,Prioridade!$A$5:$A$9,0),MATCH($B7,Prioridade!$B$4:$J$4,0))</f>
        <v>Média</v>
      </c>
      <c r="H7" s="61" t="str">
        <f aca="false">INDEX(Prioridade!$B$5:$J$9,MATCH(H$4,Prioridade!$A$5:$A$9,0),MATCH($B7,Prioridade!$B$4:$J$4,0))</f>
        <v>Alta</v>
      </c>
      <c r="I7" s="61" t="str">
        <f aca="false">INDEX(Prioridade!$B$5:$J$9,MATCH(I$4,Prioridade!$A$5:$A$9,0),MATCH($B7,Prioridade!$B$4:$J$4,0))</f>
        <v>Média</v>
      </c>
      <c r="J7" s="61" t="str">
        <f aca="false">INDEX(Prioridade!$B$5:$J$9,MATCH(J$4,Prioridade!$A$5:$A$9,0),MATCH($B7,Prioridade!$B$4:$J$4,0))</f>
        <v>Alta</v>
      </c>
      <c r="K7" s="61" t="str">
        <f aca="false">INDEX(Prioridade!$B$5:$J$9,MATCH(K$4,Prioridade!$A$5:$A$9,0),MATCH($B7,Prioridade!$B$4:$J$4,0))</f>
        <v>Média</v>
      </c>
      <c r="L7" s="7" t="s">
        <v>1025</v>
      </c>
    </row>
    <row r="8" customFormat="false" ht="15" hidden="false" customHeight="false" outlineLevel="0" collapsed="false">
      <c r="A8" s="16" t="n">
        <v>4</v>
      </c>
      <c r="B8" s="7" t="s">
        <v>102</v>
      </c>
      <c r="C8" s="7" t="s">
        <v>1030</v>
      </c>
      <c r="D8" s="7" t="s">
        <v>119</v>
      </c>
      <c r="E8" s="16" t="n">
        <v>8</v>
      </c>
      <c r="F8" s="7" t="s">
        <v>1031</v>
      </c>
      <c r="G8" s="61" t="str">
        <f aca="false">INDEX(Prioridade!$B$5:$J$9,MATCH(G$4,Prioridade!$A$5:$A$9,0),MATCH($B8,Prioridade!$B$4:$J$4,0))</f>
        <v>Média</v>
      </c>
      <c r="H8" s="61" t="str">
        <f aca="false">INDEX(Prioridade!$B$5:$J$9,MATCH(H$4,Prioridade!$A$5:$A$9,0),MATCH($B8,Prioridade!$B$4:$J$4,0))</f>
        <v>Alta</v>
      </c>
      <c r="I8" s="61" t="str">
        <f aca="false">INDEX(Prioridade!$B$5:$J$9,MATCH(I$4,Prioridade!$A$5:$A$9,0),MATCH($B8,Prioridade!$B$4:$J$4,0))</f>
        <v>Média</v>
      </c>
      <c r="J8" s="61" t="str">
        <f aca="false">INDEX(Prioridade!$B$5:$J$9,MATCH(J$4,Prioridade!$A$5:$A$9,0),MATCH($B8,Prioridade!$B$4:$J$4,0))</f>
        <v>Alta</v>
      </c>
      <c r="K8" s="61" t="str">
        <f aca="false">INDEX(Prioridade!$B$5:$J$9,MATCH(K$4,Prioridade!$A$5:$A$9,0),MATCH($B8,Prioridade!$B$4:$J$4,0))</f>
        <v>Média</v>
      </c>
      <c r="L8" s="7" t="s">
        <v>1025</v>
      </c>
    </row>
    <row r="9" customFormat="false" ht="15" hidden="false" customHeight="false" outlineLevel="0" collapsed="false">
      <c r="A9" s="16" t="n">
        <v>5</v>
      </c>
      <c r="B9" s="7" t="s">
        <v>102</v>
      </c>
      <c r="C9" s="7" t="s">
        <v>1032</v>
      </c>
      <c r="D9" s="7" t="s">
        <v>119</v>
      </c>
      <c r="E9" s="16" t="n">
        <v>4</v>
      </c>
      <c r="F9" s="7" t="s">
        <v>1033</v>
      </c>
      <c r="G9" s="61" t="str">
        <f aca="false">INDEX(Prioridade!$B$5:$J$9,MATCH(G$4,Prioridade!$A$5:$A$9,0),MATCH($B9,Prioridade!$B$4:$J$4,0))</f>
        <v>Média</v>
      </c>
      <c r="H9" s="61" t="str">
        <f aca="false">INDEX(Prioridade!$B$5:$J$9,MATCH(H$4,Prioridade!$A$5:$A$9,0),MATCH($B9,Prioridade!$B$4:$J$4,0))</f>
        <v>Alta</v>
      </c>
      <c r="I9" s="61" t="str">
        <f aca="false">INDEX(Prioridade!$B$5:$J$9,MATCH(I$4,Prioridade!$A$5:$A$9,0),MATCH($B9,Prioridade!$B$4:$J$4,0))</f>
        <v>Média</v>
      </c>
      <c r="J9" s="61" t="str">
        <f aca="false">INDEX(Prioridade!$B$5:$J$9,MATCH(J$4,Prioridade!$A$5:$A$9,0),MATCH($B9,Prioridade!$B$4:$J$4,0))</f>
        <v>Alta</v>
      </c>
      <c r="K9" s="61" t="str">
        <f aca="false">INDEX(Prioridade!$B$5:$J$9,MATCH(K$4,Prioridade!$A$5:$A$9,0),MATCH($B9,Prioridade!$B$4:$J$4,0))</f>
        <v>Média</v>
      </c>
      <c r="L9" s="7" t="s">
        <v>1025</v>
      </c>
    </row>
    <row r="10" customFormat="false" ht="15" hidden="false" customHeight="false" outlineLevel="0" collapsed="false">
      <c r="A10" s="16" t="n">
        <v>6</v>
      </c>
      <c r="B10" s="7" t="s">
        <v>102</v>
      </c>
      <c r="C10" s="7" t="s">
        <v>1034</v>
      </c>
      <c r="D10" s="7" t="s">
        <v>119</v>
      </c>
      <c r="E10" s="16" t="n">
        <v>3</v>
      </c>
      <c r="F10" s="7" t="s">
        <v>1035</v>
      </c>
      <c r="G10" s="61" t="str">
        <f aca="false">INDEX(Prioridade!$B$5:$J$9,MATCH(G$4,Prioridade!$A$5:$A$9,0),MATCH($B10,Prioridade!$B$4:$J$4,0))</f>
        <v>Média</v>
      </c>
      <c r="H10" s="61" t="str">
        <f aca="false">INDEX(Prioridade!$B$5:$J$9,MATCH(H$4,Prioridade!$A$5:$A$9,0),MATCH($B10,Prioridade!$B$4:$J$4,0))</f>
        <v>Alta</v>
      </c>
      <c r="I10" s="61" t="str">
        <f aca="false">INDEX(Prioridade!$B$5:$J$9,MATCH(I$4,Prioridade!$A$5:$A$9,0),MATCH($B10,Prioridade!$B$4:$J$4,0))</f>
        <v>Média</v>
      </c>
      <c r="J10" s="61" t="str">
        <f aca="false">INDEX(Prioridade!$B$5:$J$9,MATCH(J$4,Prioridade!$A$5:$A$9,0),MATCH($B10,Prioridade!$B$4:$J$4,0))</f>
        <v>Alta</v>
      </c>
      <c r="K10" s="61" t="str">
        <f aca="false">INDEX(Prioridade!$B$5:$J$9,MATCH(K$4,Prioridade!$A$5:$A$9,0),MATCH($B10,Prioridade!$B$4:$J$4,0))</f>
        <v>Média</v>
      </c>
      <c r="L10" s="7" t="s">
        <v>1025</v>
      </c>
    </row>
    <row r="11" customFormat="false" ht="15" hidden="false" customHeight="false" outlineLevel="0" collapsed="false">
      <c r="A11" s="16" t="n">
        <v>7</v>
      </c>
      <c r="B11" s="7" t="s">
        <v>102</v>
      </c>
      <c r="C11" s="7" t="s">
        <v>1036</v>
      </c>
      <c r="D11" s="7" t="s">
        <v>119</v>
      </c>
      <c r="E11" s="16" t="n">
        <v>5</v>
      </c>
      <c r="F11" s="7" t="s">
        <v>1037</v>
      </c>
      <c r="G11" s="61" t="str">
        <f aca="false">INDEX(Prioridade!$B$5:$J$9,MATCH(G$4,Prioridade!$A$5:$A$9,0),MATCH($B11,Prioridade!$B$4:$J$4,0))</f>
        <v>Média</v>
      </c>
      <c r="H11" s="61" t="str">
        <f aca="false">INDEX(Prioridade!$B$5:$J$9,MATCH(H$4,Prioridade!$A$5:$A$9,0),MATCH($B11,Prioridade!$B$4:$J$4,0))</f>
        <v>Alta</v>
      </c>
      <c r="I11" s="61" t="str">
        <f aca="false">INDEX(Prioridade!$B$5:$J$9,MATCH(I$4,Prioridade!$A$5:$A$9,0),MATCH($B11,Prioridade!$B$4:$J$4,0))</f>
        <v>Média</v>
      </c>
      <c r="J11" s="61" t="str">
        <f aca="false">INDEX(Prioridade!$B$5:$J$9,MATCH(J$4,Prioridade!$A$5:$A$9,0),MATCH($B11,Prioridade!$B$4:$J$4,0))</f>
        <v>Alta</v>
      </c>
      <c r="K11" s="61" t="str">
        <f aca="false">INDEX(Prioridade!$B$5:$J$9,MATCH(K$4,Prioridade!$A$5:$A$9,0),MATCH($B11,Prioridade!$B$4:$J$4,0))</f>
        <v>Média</v>
      </c>
      <c r="L11" s="7" t="s">
        <v>1025</v>
      </c>
    </row>
    <row r="12" customFormat="false" ht="15" hidden="false" customHeight="false" outlineLevel="0" collapsed="false">
      <c r="A12" s="16" t="n">
        <v>8</v>
      </c>
      <c r="B12" s="7" t="s">
        <v>102</v>
      </c>
      <c r="C12" s="7" t="s">
        <v>1038</v>
      </c>
      <c r="D12" s="7" t="s">
        <v>119</v>
      </c>
      <c r="E12" s="16" t="n">
        <v>6</v>
      </c>
      <c r="F12" s="7" t="s">
        <v>1039</v>
      </c>
      <c r="G12" s="61" t="str">
        <f aca="false">INDEX(Prioridade!$B$5:$J$9,MATCH(G$4,Prioridade!$A$5:$A$9,0),MATCH($B12,Prioridade!$B$4:$J$4,0))</f>
        <v>Média</v>
      </c>
      <c r="H12" s="61" t="str">
        <f aca="false">INDEX(Prioridade!$B$5:$J$9,MATCH(H$4,Prioridade!$A$5:$A$9,0),MATCH($B12,Prioridade!$B$4:$J$4,0))</f>
        <v>Alta</v>
      </c>
      <c r="I12" s="61" t="str">
        <f aca="false">INDEX(Prioridade!$B$5:$J$9,MATCH(I$4,Prioridade!$A$5:$A$9,0),MATCH($B12,Prioridade!$B$4:$J$4,0))</f>
        <v>Média</v>
      </c>
      <c r="J12" s="61" t="str">
        <f aca="false">INDEX(Prioridade!$B$5:$J$9,MATCH(J$4,Prioridade!$A$5:$A$9,0),MATCH($B12,Prioridade!$B$4:$J$4,0))</f>
        <v>Alta</v>
      </c>
      <c r="K12" s="61" t="str">
        <f aca="false">INDEX(Prioridade!$B$5:$J$9,MATCH(K$4,Prioridade!$A$5:$A$9,0),MATCH($B12,Prioridade!$B$4:$J$4,0))</f>
        <v>Média</v>
      </c>
      <c r="L12" s="7" t="s">
        <v>1025</v>
      </c>
    </row>
    <row r="13" customFormat="false" ht="15" hidden="false" customHeight="false" outlineLevel="0" collapsed="false">
      <c r="A13" s="16" t="n">
        <v>9</v>
      </c>
      <c r="B13" s="7" t="s">
        <v>102</v>
      </c>
      <c r="C13" s="7" t="s">
        <v>1040</v>
      </c>
      <c r="D13" s="7" t="s">
        <v>119</v>
      </c>
      <c r="E13" s="16" t="n">
        <v>6</v>
      </c>
      <c r="F13" s="7" t="s">
        <v>1041</v>
      </c>
      <c r="G13" s="61" t="str">
        <f aca="false">INDEX(Prioridade!$B$5:$J$9,MATCH(G$4,Prioridade!$A$5:$A$9,0),MATCH($B13,Prioridade!$B$4:$J$4,0))</f>
        <v>Média</v>
      </c>
      <c r="H13" s="61" t="str">
        <f aca="false">INDEX(Prioridade!$B$5:$J$9,MATCH(H$4,Prioridade!$A$5:$A$9,0),MATCH($B13,Prioridade!$B$4:$J$4,0))</f>
        <v>Alta</v>
      </c>
      <c r="I13" s="61" t="str">
        <f aca="false">INDEX(Prioridade!$B$5:$J$9,MATCH(I$4,Prioridade!$A$5:$A$9,0),MATCH($B13,Prioridade!$B$4:$J$4,0))</f>
        <v>Média</v>
      </c>
      <c r="J13" s="61" t="str">
        <f aca="false">INDEX(Prioridade!$B$5:$J$9,MATCH(J$4,Prioridade!$A$5:$A$9,0),MATCH($B13,Prioridade!$B$4:$J$4,0))</f>
        <v>Alta</v>
      </c>
      <c r="K13" s="61" t="str">
        <f aca="false">INDEX(Prioridade!$B$5:$J$9,MATCH(K$4,Prioridade!$A$5:$A$9,0),MATCH($B13,Prioridade!$B$4:$J$4,0))</f>
        <v>Média</v>
      </c>
      <c r="L13" s="7" t="s">
        <v>1025</v>
      </c>
    </row>
    <row r="14" customFormat="false" ht="15" hidden="false" customHeight="false" outlineLevel="0" collapsed="false">
      <c r="A14" s="16" t="n">
        <v>10</v>
      </c>
      <c r="B14" s="7" t="s">
        <v>102</v>
      </c>
      <c r="C14" s="7" t="s">
        <v>1042</v>
      </c>
      <c r="D14" s="7" t="s">
        <v>119</v>
      </c>
      <c r="E14" s="16" t="n">
        <v>4</v>
      </c>
      <c r="F14" s="7" t="s">
        <v>1043</v>
      </c>
      <c r="G14" s="61" t="str">
        <f aca="false">INDEX(Prioridade!$B$5:$J$9,MATCH(G$4,Prioridade!$A$5:$A$9,0),MATCH($B14,Prioridade!$B$4:$J$4,0))</f>
        <v>Média</v>
      </c>
      <c r="H14" s="61" t="str">
        <f aca="false">INDEX(Prioridade!$B$5:$J$9,MATCH(H$4,Prioridade!$A$5:$A$9,0),MATCH($B14,Prioridade!$B$4:$J$4,0))</f>
        <v>Alta</v>
      </c>
      <c r="I14" s="61" t="str">
        <f aca="false">INDEX(Prioridade!$B$5:$J$9,MATCH(I$4,Prioridade!$A$5:$A$9,0),MATCH($B14,Prioridade!$B$4:$J$4,0))</f>
        <v>Média</v>
      </c>
      <c r="J14" s="61" t="str">
        <f aca="false">INDEX(Prioridade!$B$5:$J$9,MATCH(J$4,Prioridade!$A$5:$A$9,0),MATCH($B14,Prioridade!$B$4:$J$4,0))</f>
        <v>Alta</v>
      </c>
      <c r="K14" s="61" t="str">
        <f aca="false">INDEX(Prioridade!$B$5:$J$9,MATCH(K$4,Prioridade!$A$5:$A$9,0),MATCH($B14,Prioridade!$B$4:$J$4,0))</f>
        <v>Média</v>
      </c>
      <c r="L14" s="7" t="s">
        <v>1025</v>
      </c>
    </row>
    <row r="15" customFormat="false" ht="15" hidden="false" customHeight="false" outlineLevel="0" collapsed="false">
      <c r="A15" s="16" t="n">
        <v>11</v>
      </c>
      <c r="B15" s="7" t="s">
        <v>102</v>
      </c>
      <c r="C15" s="7" t="s">
        <v>1044</v>
      </c>
      <c r="D15" s="7" t="s">
        <v>119</v>
      </c>
      <c r="E15" s="16" t="n">
        <v>10</v>
      </c>
      <c r="F15" s="7" t="s">
        <v>1045</v>
      </c>
      <c r="G15" s="61" t="str">
        <f aca="false">INDEX(Prioridade!$B$5:$J$9,MATCH(G$4,Prioridade!$A$5:$A$9,0),MATCH($B15,Prioridade!$B$4:$J$4,0))</f>
        <v>Média</v>
      </c>
      <c r="H15" s="61" t="str">
        <f aca="false">INDEX(Prioridade!$B$5:$J$9,MATCH(H$4,Prioridade!$A$5:$A$9,0),MATCH($B15,Prioridade!$B$4:$J$4,0))</f>
        <v>Alta</v>
      </c>
      <c r="I15" s="61" t="str">
        <f aca="false">INDEX(Prioridade!$B$5:$J$9,MATCH(I$4,Prioridade!$A$5:$A$9,0),MATCH($B15,Prioridade!$B$4:$J$4,0))</f>
        <v>Média</v>
      </c>
      <c r="J15" s="61" t="str">
        <f aca="false">INDEX(Prioridade!$B$5:$J$9,MATCH(J$4,Prioridade!$A$5:$A$9,0),MATCH($B15,Prioridade!$B$4:$J$4,0))</f>
        <v>Alta</v>
      </c>
      <c r="K15" s="61" t="str">
        <f aca="false">INDEX(Prioridade!$B$5:$J$9,MATCH(K$4,Prioridade!$A$5:$A$9,0),MATCH($B15,Prioridade!$B$4:$J$4,0))</f>
        <v>Média</v>
      </c>
      <c r="L15" s="7" t="s">
        <v>1025</v>
      </c>
    </row>
    <row r="16" customFormat="false" ht="15" hidden="false" customHeight="false" outlineLevel="0" collapsed="false">
      <c r="A16" s="16" t="n">
        <v>12</v>
      </c>
      <c r="B16" s="7" t="s">
        <v>102</v>
      </c>
      <c r="C16" s="7" t="s">
        <v>1046</v>
      </c>
      <c r="D16" s="7" t="s">
        <v>119</v>
      </c>
      <c r="E16" s="16" t="n">
        <v>6</v>
      </c>
      <c r="F16" s="7" t="s">
        <v>1047</v>
      </c>
      <c r="G16" s="61" t="str">
        <f aca="false">INDEX(Prioridade!$B$5:$J$9,MATCH(G$4,Prioridade!$A$5:$A$9,0),MATCH($B16,Prioridade!$B$4:$J$4,0))</f>
        <v>Média</v>
      </c>
      <c r="H16" s="61" t="str">
        <f aca="false">INDEX(Prioridade!$B$5:$J$9,MATCH(H$4,Prioridade!$A$5:$A$9,0),MATCH($B16,Prioridade!$B$4:$J$4,0))</f>
        <v>Alta</v>
      </c>
      <c r="I16" s="61" t="str">
        <f aca="false">INDEX(Prioridade!$B$5:$J$9,MATCH(I$4,Prioridade!$A$5:$A$9,0),MATCH($B16,Prioridade!$B$4:$J$4,0))</f>
        <v>Média</v>
      </c>
      <c r="J16" s="61" t="str">
        <f aca="false">INDEX(Prioridade!$B$5:$J$9,MATCH(J$4,Prioridade!$A$5:$A$9,0),MATCH($B16,Prioridade!$B$4:$J$4,0))</f>
        <v>Alta</v>
      </c>
      <c r="K16" s="61" t="str">
        <f aca="false">INDEX(Prioridade!$B$5:$J$9,MATCH(K$4,Prioridade!$A$5:$A$9,0),MATCH($B16,Prioridade!$B$4:$J$4,0))</f>
        <v>Média</v>
      </c>
      <c r="L16" s="7" t="s">
        <v>1025</v>
      </c>
    </row>
    <row r="17" customFormat="false" ht="15" hidden="false" customHeight="false" outlineLevel="0" collapsed="false">
      <c r="A17" s="16" t="n">
        <v>13</v>
      </c>
      <c r="B17" s="7" t="s">
        <v>102</v>
      </c>
      <c r="C17" s="7" t="s">
        <v>1048</v>
      </c>
      <c r="D17" s="7" t="s">
        <v>119</v>
      </c>
      <c r="E17" s="16" t="n">
        <v>4</v>
      </c>
      <c r="F17" s="7" t="s">
        <v>1049</v>
      </c>
      <c r="G17" s="61" t="str">
        <f aca="false">INDEX(Prioridade!$B$5:$J$9,MATCH(G$4,Prioridade!$A$5:$A$9,0),MATCH($B17,Prioridade!$B$4:$J$4,0))</f>
        <v>Média</v>
      </c>
      <c r="H17" s="61" t="str">
        <f aca="false">INDEX(Prioridade!$B$5:$J$9,MATCH(H$4,Prioridade!$A$5:$A$9,0),MATCH($B17,Prioridade!$B$4:$J$4,0))</f>
        <v>Alta</v>
      </c>
      <c r="I17" s="61" t="str">
        <f aca="false">INDEX(Prioridade!$B$5:$J$9,MATCH(I$4,Prioridade!$A$5:$A$9,0),MATCH($B17,Prioridade!$B$4:$J$4,0))</f>
        <v>Média</v>
      </c>
      <c r="J17" s="61" t="str">
        <f aca="false">INDEX(Prioridade!$B$5:$J$9,MATCH(J$4,Prioridade!$A$5:$A$9,0),MATCH($B17,Prioridade!$B$4:$J$4,0))</f>
        <v>Alta</v>
      </c>
      <c r="K17" s="61" t="str">
        <f aca="false">INDEX(Prioridade!$B$5:$J$9,MATCH(K$4,Prioridade!$A$5:$A$9,0),MATCH($B17,Prioridade!$B$4:$J$4,0))</f>
        <v>Média</v>
      </c>
      <c r="L17" s="7" t="s">
        <v>1025</v>
      </c>
    </row>
    <row r="18" customFormat="false" ht="15" hidden="false" customHeight="false" outlineLevel="0" collapsed="false">
      <c r="A18" s="16" t="n">
        <v>14</v>
      </c>
      <c r="B18" s="7" t="s">
        <v>102</v>
      </c>
      <c r="C18" s="7" t="s">
        <v>1050</v>
      </c>
      <c r="D18" s="7" t="s">
        <v>119</v>
      </c>
      <c r="E18" s="16" t="n">
        <v>4</v>
      </c>
      <c r="F18" s="7" t="s">
        <v>1051</v>
      </c>
      <c r="G18" s="61" t="str">
        <f aca="false">INDEX(Prioridade!$B$5:$J$9,MATCH(G$4,Prioridade!$A$5:$A$9,0),MATCH($B18,Prioridade!$B$4:$J$4,0))</f>
        <v>Média</v>
      </c>
      <c r="H18" s="61" t="str">
        <f aca="false">INDEX(Prioridade!$B$5:$J$9,MATCH(H$4,Prioridade!$A$5:$A$9,0),MATCH($B18,Prioridade!$B$4:$J$4,0))</f>
        <v>Alta</v>
      </c>
      <c r="I18" s="61" t="str">
        <f aca="false">INDEX(Prioridade!$B$5:$J$9,MATCH(I$4,Prioridade!$A$5:$A$9,0),MATCH($B18,Prioridade!$B$4:$J$4,0))</f>
        <v>Média</v>
      </c>
      <c r="J18" s="61" t="str">
        <f aca="false">INDEX(Prioridade!$B$5:$J$9,MATCH(J$4,Prioridade!$A$5:$A$9,0),MATCH($B18,Prioridade!$B$4:$J$4,0))</f>
        <v>Alta</v>
      </c>
      <c r="K18" s="61" t="str">
        <f aca="false">INDEX(Prioridade!$B$5:$J$9,MATCH(K$4,Prioridade!$A$5:$A$9,0),MATCH($B18,Prioridade!$B$4:$J$4,0))</f>
        <v>Média</v>
      </c>
      <c r="L18" s="7" t="s">
        <v>1025</v>
      </c>
    </row>
    <row r="19" customFormat="false" ht="15" hidden="false" customHeight="false" outlineLevel="0" collapsed="false">
      <c r="A19" s="16" t="n">
        <v>15</v>
      </c>
      <c r="B19" s="7" t="s">
        <v>102</v>
      </c>
      <c r="C19" s="7" t="s">
        <v>1052</v>
      </c>
      <c r="D19" s="7" t="s">
        <v>119</v>
      </c>
      <c r="E19" s="16" t="n">
        <v>3</v>
      </c>
      <c r="F19" s="7" t="s">
        <v>1053</v>
      </c>
      <c r="G19" s="61" t="str">
        <f aca="false">INDEX(Prioridade!$B$5:$J$9,MATCH(G$4,Prioridade!$A$5:$A$9,0),MATCH($B19,Prioridade!$B$4:$J$4,0))</f>
        <v>Média</v>
      </c>
      <c r="H19" s="61" t="str">
        <f aca="false">INDEX(Prioridade!$B$5:$J$9,MATCH(H$4,Prioridade!$A$5:$A$9,0),MATCH($B19,Prioridade!$B$4:$J$4,0))</f>
        <v>Alta</v>
      </c>
      <c r="I19" s="61" t="str">
        <f aca="false">INDEX(Prioridade!$B$5:$J$9,MATCH(I$4,Prioridade!$A$5:$A$9,0),MATCH($B19,Prioridade!$B$4:$J$4,0))</f>
        <v>Média</v>
      </c>
      <c r="J19" s="61" t="str">
        <f aca="false">INDEX(Prioridade!$B$5:$J$9,MATCH(J$4,Prioridade!$A$5:$A$9,0),MATCH($B19,Prioridade!$B$4:$J$4,0))</f>
        <v>Alta</v>
      </c>
      <c r="K19" s="61" t="str">
        <f aca="false">INDEX(Prioridade!$B$5:$J$9,MATCH(K$4,Prioridade!$A$5:$A$9,0),MATCH($B19,Prioridade!$B$4:$J$4,0))</f>
        <v>Média</v>
      </c>
      <c r="L19" s="7" t="s">
        <v>1025</v>
      </c>
    </row>
    <row r="20" customFormat="false" ht="15" hidden="false" customHeight="false" outlineLevel="0" collapsed="false">
      <c r="A20" s="16" t="n">
        <v>16</v>
      </c>
      <c r="B20" s="7" t="s">
        <v>102</v>
      </c>
      <c r="C20" s="7" t="s">
        <v>1054</v>
      </c>
      <c r="D20" s="7" t="s">
        <v>119</v>
      </c>
      <c r="E20" s="16" t="n">
        <v>4</v>
      </c>
      <c r="F20" s="7" t="s">
        <v>1055</v>
      </c>
      <c r="G20" s="61" t="str">
        <f aca="false">INDEX(Prioridade!$B$5:$J$9,MATCH(G$4,Prioridade!$A$5:$A$9,0),MATCH($B20,Prioridade!$B$4:$J$4,0))</f>
        <v>Média</v>
      </c>
      <c r="H20" s="61" t="str">
        <f aca="false">INDEX(Prioridade!$B$5:$J$9,MATCH(H$4,Prioridade!$A$5:$A$9,0),MATCH($B20,Prioridade!$B$4:$J$4,0))</f>
        <v>Alta</v>
      </c>
      <c r="I20" s="61" t="str">
        <f aca="false">INDEX(Prioridade!$B$5:$J$9,MATCH(I$4,Prioridade!$A$5:$A$9,0),MATCH($B20,Prioridade!$B$4:$J$4,0))</f>
        <v>Média</v>
      </c>
      <c r="J20" s="61" t="str">
        <f aca="false">INDEX(Prioridade!$B$5:$J$9,MATCH(J$4,Prioridade!$A$5:$A$9,0),MATCH($B20,Prioridade!$B$4:$J$4,0))</f>
        <v>Alta</v>
      </c>
      <c r="K20" s="61" t="str">
        <f aca="false">INDEX(Prioridade!$B$5:$J$9,MATCH(K$4,Prioridade!$A$5:$A$9,0),MATCH($B20,Prioridade!$B$4:$J$4,0))</f>
        <v>Média</v>
      </c>
      <c r="L20" s="7" t="s">
        <v>1025</v>
      </c>
    </row>
    <row r="21" customFormat="false" ht="15" hidden="false" customHeight="false" outlineLevel="0" collapsed="false">
      <c r="A21" s="16" t="n">
        <v>17</v>
      </c>
      <c r="B21" s="7" t="s">
        <v>102</v>
      </c>
      <c r="C21" s="7" t="s">
        <v>1056</v>
      </c>
      <c r="D21" s="7" t="s">
        <v>119</v>
      </c>
      <c r="E21" s="16" t="n">
        <v>6</v>
      </c>
      <c r="F21" s="7" t="s">
        <v>1057</v>
      </c>
      <c r="G21" s="61" t="str">
        <f aca="false">INDEX(Prioridade!$B$5:$J$9,MATCH(G$4,Prioridade!$A$5:$A$9,0),MATCH($B21,Prioridade!$B$4:$J$4,0))</f>
        <v>Média</v>
      </c>
      <c r="H21" s="61" t="str">
        <f aca="false">INDEX(Prioridade!$B$5:$J$9,MATCH(H$4,Prioridade!$A$5:$A$9,0),MATCH($B21,Prioridade!$B$4:$J$4,0))</f>
        <v>Alta</v>
      </c>
      <c r="I21" s="61" t="str">
        <f aca="false">INDEX(Prioridade!$B$5:$J$9,MATCH(I$4,Prioridade!$A$5:$A$9,0),MATCH($B21,Prioridade!$B$4:$J$4,0))</f>
        <v>Média</v>
      </c>
      <c r="J21" s="61" t="str">
        <f aca="false">INDEX(Prioridade!$B$5:$J$9,MATCH(J$4,Prioridade!$A$5:$A$9,0),MATCH($B21,Prioridade!$B$4:$J$4,0))</f>
        <v>Alta</v>
      </c>
      <c r="K21" s="61" t="str">
        <f aca="false">INDEX(Prioridade!$B$5:$J$9,MATCH(K$4,Prioridade!$A$5:$A$9,0),MATCH($B21,Prioridade!$B$4:$J$4,0))</f>
        <v>Média</v>
      </c>
      <c r="L21" s="7" t="s">
        <v>1025</v>
      </c>
    </row>
    <row r="22" customFormat="false" ht="15" hidden="false" customHeight="false" outlineLevel="0" collapsed="false">
      <c r="A22" s="16" t="n">
        <v>18</v>
      </c>
      <c r="B22" s="7" t="s">
        <v>102</v>
      </c>
      <c r="C22" s="7" t="s">
        <v>1058</v>
      </c>
      <c r="D22" s="7" t="s">
        <v>119</v>
      </c>
      <c r="E22" s="16" t="n">
        <v>6</v>
      </c>
      <c r="F22" s="7" t="s">
        <v>1059</v>
      </c>
      <c r="G22" s="61" t="str">
        <f aca="false">INDEX(Prioridade!$B$5:$J$9,MATCH(G$4,Prioridade!$A$5:$A$9,0),MATCH($B22,Prioridade!$B$4:$J$4,0))</f>
        <v>Média</v>
      </c>
      <c r="H22" s="61" t="str">
        <f aca="false">INDEX(Prioridade!$B$5:$J$9,MATCH(H$4,Prioridade!$A$5:$A$9,0),MATCH($B22,Prioridade!$B$4:$J$4,0))</f>
        <v>Alta</v>
      </c>
      <c r="I22" s="61" t="str">
        <f aca="false">INDEX(Prioridade!$B$5:$J$9,MATCH(I$4,Prioridade!$A$5:$A$9,0),MATCH($B22,Prioridade!$B$4:$J$4,0))</f>
        <v>Média</v>
      </c>
      <c r="J22" s="61" t="str">
        <f aca="false">INDEX(Prioridade!$B$5:$J$9,MATCH(J$4,Prioridade!$A$5:$A$9,0),MATCH($B22,Prioridade!$B$4:$J$4,0))</f>
        <v>Alta</v>
      </c>
      <c r="K22" s="61" t="str">
        <f aca="false">INDEX(Prioridade!$B$5:$J$9,MATCH(K$4,Prioridade!$A$5:$A$9,0),MATCH($B22,Prioridade!$B$4:$J$4,0))</f>
        <v>Média</v>
      </c>
      <c r="L22" s="7" t="s">
        <v>1025</v>
      </c>
    </row>
    <row r="23" customFormat="false" ht="15" hidden="false" customHeight="false" outlineLevel="0" collapsed="false">
      <c r="A23" s="16" t="n">
        <v>19</v>
      </c>
      <c r="B23" s="7" t="s">
        <v>102</v>
      </c>
      <c r="C23" s="7" t="s">
        <v>1060</v>
      </c>
      <c r="D23" s="7" t="s">
        <v>119</v>
      </c>
      <c r="E23" s="16" t="n">
        <v>5</v>
      </c>
      <c r="F23" s="7" t="s">
        <v>1061</v>
      </c>
      <c r="G23" s="61" t="str">
        <f aca="false">INDEX(Prioridade!$B$5:$J$9,MATCH(G$4,Prioridade!$A$5:$A$9,0),MATCH($B23,Prioridade!$B$4:$J$4,0))</f>
        <v>Média</v>
      </c>
      <c r="H23" s="61" t="str">
        <f aca="false">INDEX(Prioridade!$B$5:$J$9,MATCH(H$4,Prioridade!$A$5:$A$9,0),MATCH($B23,Prioridade!$B$4:$J$4,0))</f>
        <v>Alta</v>
      </c>
      <c r="I23" s="61" t="str">
        <f aca="false">INDEX(Prioridade!$B$5:$J$9,MATCH(I$4,Prioridade!$A$5:$A$9,0),MATCH($B23,Prioridade!$B$4:$J$4,0))</f>
        <v>Média</v>
      </c>
      <c r="J23" s="61" t="str">
        <f aca="false">INDEX(Prioridade!$B$5:$J$9,MATCH(J$4,Prioridade!$A$5:$A$9,0),MATCH($B23,Prioridade!$B$4:$J$4,0))</f>
        <v>Alta</v>
      </c>
      <c r="K23" s="61" t="str">
        <f aca="false">INDEX(Prioridade!$B$5:$J$9,MATCH(K$4,Prioridade!$A$5:$A$9,0),MATCH($B23,Prioridade!$B$4:$J$4,0))</f>
        <v>Média</v>
      </c>
      <c r="L23" s="7" t="s">
        <v>1025</v>
      </c>
    </row>
    <row r="24" customFormat="false" ht="15" hidden="false" customHeight="false" outlineLevel="0" collapsed="false">
      <c r="A24" s="16" t="n">
        <v>20</v>
      </c>
      <c r="B24" s="7" t="s">
        <v>102</v>
      </c>
      <c r="C24" s="7" t="s">
        <v>1062</v>
      </c>
      <c r="D24" s="7" t="s">
        <v>119</v>
      </c>
      <c r="E24" s="16" t="n">
        <v>6</v>
      </c>
      <c r="F24" s="7" t="s">
        <v>1063</v>
      </c>
      <c r="G24" s="61" t="str">
        <f aca="false">INDEX(Prioridade!$B$5:$J$9,MATCH(G$4,Prioridade!$A$5:$A$9,0),MATCH($B24,Prioridade!$B$4:$J$4,0))</f>
        <v>Média</v>
      </c>
      <c r="H24" s="61" t="str">
        <f aca="false">INDEX(Prioridade!$B$5:$J$9,MATCH(H$4,Prioridade!$A$5:$A$9,0),MATCH($B24,Prioridade!$B$4:$J$4,0))</f>
        <v>Alta</v>
      </c>
      <c r="I24" s="61" t="str">
        <f aca="false">INDEX(Prioridade!$B$5:$J$9,MATCH(I$4,Prioridade!$A$5:$A$9,0),MATCH($B24,Prioridade!$B$4:$J$4,0))</f>
        <v>Média</v>
      </c>
      <c r="J24" s="61" t="str">
        <f aca="false">INDEX(Prioridade!$B$5:$J$9,MATCH(J$4,Prioridade!$A$5:$A$9,0),MATCH($B24,Prioridade!$B$4:$J$4,0))</f>
        <v>Alta</v>
      </c>
      <c r="K24" s="61" t="str">
        <f aca="false">INDEX(Prioridade!$B$5:$J$9,MATCH(K$4,Prioridade!$A$5:$A$9,0),MATCH($B24,Prioridade!$B$4:$J$4,0))</f>
        <v>Média</v>
      </c>
      <c r="L24" s="7" t="s">
        <v>1025</v>
      </c>
    </row>
    <row r="25" customFormat="false" ht="15" hidden="false" customHeight="false" outlineLevel="0" collapsed="false">
      <c r="A25" s="16" t="n">
        <v>21</v>
      </c>
      <c r="B25" s="7" t="s">
        <v>103</v>
      </c>
      <c r="C25" s="7" t="s">
        <v>1064</v>
      </c>
      <c r="D25" s="7" t="s">
        <v>119</v>
      </c>
      <c r="E25" s="16" t="n">
        <v>2</v>
      </c>
      <c r="F25" s="7" t="s">
        <v>1065</v>
      </c>
      <c r="G25" s="61" t="str">
        <f aca="false">INDEX(Prioridade!$B$5:$J$9,MATCH(G$4,Prioridade!$A$5:$A$9,0),MATCH($B25,Prioridade!$B$4:$J$4,0))</f>
        <v>Alta</v>
      </c>
      <c r="H25" s="61" t="str">
        <f aca="false">INDEX(Prioridade!$B$5:$J$9,MATCH(H$4,Prioridade!$A$5:$A$9,0),MATCH($B25,Prioridade!$B$4:$J$4,0))</f>
        <v>Alta</v>
      </c>
      <c r="I25" s="61" t="str">
        <f aca="false">INDEX(Prioridade!$B$5:$J$9,MATCH(I$4,Prioridade!$A$5:$A$9,0),MATCH($B25,Prioridade!$B$4:$J$4,0))</f>
        <v>Alta</v>
      </c>
      <c r="J25" s="61" t="str">
        <f aca="false">INDEX(Prioridade!$B$5:$J$9,MATCH(J$4,Prioridade!$A$5:$A$9,0),MATCH($B25,Prioridade!$B$4:$J$4,0))</f>
        <v>Alta</v>
      </c>
      <c r="K25" s="61" t="str">
        <f aca="false">INDEX(Prioridade!$B$5:$J$9,MATCH(K$4,Prioridade!$A$5:$A$9,0),MATCH($B25,Prioridade!$B$4:$J$4,0))</f>
        <v>Alta</v>
      </c>
      <c r="L25" s="7" t="s">
        <v>1025</v>
      </c>
    </row>
    <row r="26" customFormat="false" ht="15" hidden="false" customHeight="false" outlineLevel="0" collapsed="false">
      <c r="A26" s="16" t="n">
        <v>22</v>
      </c>
      <c r="B26" s="7" t="s">
        <v>103</v>
      </c>
      <c r="C26" s="7" t="s">
        <v>1066</v>
      </c>
      <c r="D26" s="7" t="s">
        <v>119</v>
      </c>
      <c r="E26" s="16" t="n">
        <v>3</v>
      </c>
      <c r="F26" s="7" t="s">
        <v>1067</v>
      </c>
      <c r="G26" s="61" t="str">
        <f aca="false">INDEX(Prioridade!$B$5:$J$9,MATCH(G$4,Prioridade!$A$5:$A$9,0),MATCH($B26,Prioridade!$B$4:$J$4,0))</f>
        <v>Alta</v>
      </c>
      <c r="H26" s="61" t="str">
        <f aca="false">INDEX(Prioridade!$B$5:$J$9,MATCH(H$4,Prioridade!$A$5:$A$9,0),MATCH($B26,Prioridade!$B$4:$J$4,0))</f>
        <v>Alta</v>
      </c>
      <c r="I26" s="61" t="str">
        <f aca="false">INDEX(Prioridade!$B$5:$J$9,MATCH(I$4,Prioridade!$A$5:$A$9,0),MATCH($B26,Prioridade!$B$4:$J$4,0))</f>
        <v>Alta</v>
      </c>
      <c r="J26" s="61" t="str">
        <f aca="false">INDEX(Prioridade!$B$5:$J$9,MATCH(J$4,Prioridade!$A$5:$A$9,0),MATCH($B26,Prioridade!$B$4:$J$4,0))</f>
        <v>Alta</v>
      </c>
      <c r="K26" s="61" t="str">
        <f aca="false">INDEX(Prioridade!$B$5:$J$9,MATCH(K$4,Prioridade!$A$5:$A$9,0),MATCH($B26,Prioridade!$B$4:$J$4,0))</f>
        <v>Alta</v>
      </c>
      <c r="L26" s="7" t="s">
        <v>1025</v>
      </c>
    </row>
    <row r="27" customFormat="false" ht="15" hidden="false" customHeight="false" outlineLevel="0" collapsed="false">
      <c r="A27" s="16" t="n">
        <v>23</v>
      </c>
      <c r="B27" s="7" t="s">
        <v>103</v>
      </c>
      <c r="C27" s="7" t="s">
        <v>1068</v>
      </c>
      <c r="D27" s="7" t="s">
        <v>119</v>
      </c>
      <c r="E27" s="16" t="n">
        <v>6</v>
      </c>
      <c r="F27" s="7" t="s">
        <v>1069</v>
      </c>
      <c r="G27" s="61" t="str">
        <f aca="false">INDEX(Prioridade!$B$5:$J$9,MATCH(G$4,Prioridade!$A$5:$A$9,0),MATCH($B27,Prioridade!$B$4:$J$4,0))</f>
        <v>Alta</v>
      </c>
      <c r="H27" s="61" t="str">
        <f aca="false">INDEX(Prioridade!$B$5:$J$9,MATCH(H$4,Prioridade!$A$5:$A$9,0),MATCH($B27,Prioridade!$B$4:$J$4,0))</f>
        <v>Alta</v>
      </c>
      <c r="I27" s="61" t="str">
        <f aca="false">INDEX(Prioridade!$B$5:$J$9,MATCH(I$4,Prioridade!$A$5:$A$9,0),MATCH($B27,Prioridade!$B$4:$J$4,0))</f>
        <v>Alta</v>
      </c>
      <c r="J27" s="61" t="str">
        <f aca="false">INDEX(Prioridade!$B$5:$J$9,MATCH(J$4,Prioridade!$A$5:$A$9,0),MATCH($B27,Prioridade!$B$4:$J$4,0))</f>
        <v>Alta</v>
      </c>
      <c r="K27" s="61" t="str">
        <f aca="false">INDEX(Prioridade!$B$5:$J$9,MATCH(K$4,Prioridade!$A$5:$A$9,0),MATCH($B27,Prioridade!$B$4:$J$4,0))</f>
        <v>Alta</v>
      </c>
      <c r="L27" s="7" t="s">
        <v>1025</v>
      </c>
    </row>
    <row r="28" customFormat="false" ht="15" hidden="false" customHeight="false" outlineLevel="0" collapsed="false">
      <c r="A28" s="16" t="n">
        <v>24</v>
      </c>
      <c r="B28" s="7" t="s">
        <v>103</v>
      </c>
      <c r="C28" s="7" t="s">
        <v>1070</v>
      </c>
      <c r="D28" s="7" t="s">
        <v>119</v>
      </c>
      <c r="E28" s="16" t="n">
        <v>4</v>
      </c>
      <c r="F28" s="7" t="s">
        <v>1071</v>
      </c>
      <c r="G28" s="61" t="str">
        <f aca="false">INDEX(Prioridade!$B$5:$J$9,MATCH(G$4,Prioridade!$A$5:$A$9,0),MATCH($B28,Prioridade!$B$4:$J$4,0))</f>
        <v>Alta</v>
      </c>
      <c r="H28" s="61" t="str">
        <f aca="false">INDEX(Prioridade!$B$5:$J$9,MATCH(H$4,Prioridade!$A$5:$A$9,0),MATCH($B28,Prioridade!$B$4:$J$4,0))</f>
        <v>Alta</v>
      </c>
      <c r="I28" s="61" t="str">
        <f aca="false">INDEX(Prioridade!$B$5:$J$9,MATCH(I$4,Prioridade!$A$5:$A$9,0),MATCH($B28,Prioridade!$B$4:$J$4,0))</f>
        <v>Alta</v>
      </c>
      <c r="J28" s="61" t="str">
        <f aca="false">INDEX(Prioridade!$B$5:$J$9,MATCH(J$4,Prioridade!$A$5:$A$9,0),MATCH($B28,Prioridade!$B$4:$J$4,0))</f>
        <v>Alta</v>
      </c>
      <c r="K28" s="61" t="str">
        <f aca="false">INDEX(Prioridade!$B$5:$J$9,MATCH(K$4,Prioridade!$A$5:$A$9,0),MATCH($B28,Prioridade!$B$4:$J$4,0))</f>
        <v>Alta</v>
      </c>
      <c r="L28" s="7" t="s">
        <v>1025</v>
      </c>
    </row>
    <row r="29" customFormat="false" ht="15" hidden="false" customHeight="false" outlineLevel="0" collapsed="false">
      <c r="A29" s="16" t="n">
        <v>25</v>
      </c>
      <c r="B29" s="7" t="s">
        <v>103</v>
      </c>
      <c r="C29" s="7" t="s">
        <v>1072</v>
      </c>
      <c r="D29" s="7" t="s">
        <v>119</v>
      </c>
      <c r="E29" s="16" t="n">
        <v>8</v>
      </c>
      <c r="F29" s="7" t="s">
        <v>1073</v>
      </c>
      <c r="G29" s="61" t="str">
        <f aca="false">INDEX(Prioridade!$B$5:$J$9,MATCH(G$4,Prioridade!$A$5:$A$9,0),MATCH($B29,Prioridade!$B$4:$J$4,0))</f>
        <v>Alta</v>
      </c>
      <c r="H29" s="61" t="str">
        <f aca="false">INDEX(Prioridade!$B$5:$J$9,MATCH(H$4,Prioridade!$A$5:$A$9,0),MATCH($B29,Prioridade!$B$4:$J$4,0))</f>
        <v>Alta</v>
      </c>
      <c r="I29" s="61" t="str">
        <f aca="false">INDEX(Prioridade!$B$5:$J$9,MATCH(I$4,Prioridade!$A$5:$A$9,0),MATCH($B29,Prioridade!$B$4:$J$4,0))</f>
        <v>Alta</v>
      </c>
      <c r="J29" s="61" t="str">
        <f aca="false">INDEX(Prioridade!$B$5:$J$9,MATCH(J$4,Prioridade!$A$5:$A$9,0),MATCH($B29,Prioridade!$B$4:$J$4,0))</f>
        <v>Alta</v>
      </c>
      <c r="K29" s="61" t="str">
        <f aca="false">INDEX(Prioridade!$B$5:$J$9,MATCH(K$4,Prioridade!$A$5:$A$9,0),MATCH($B29,Prioridade!$B$4:$J$4,0))</f>
        <v>Alta</v>
      </c>
      <c r="L29" s="7" t="s">
        <v>1025</v>
      </c>
    </row>
    <row r="30" customFormat="false" ht="15" hidden="false" customHeight="false" outlineLevel="0" collapsed="false">
      <c r="A30" s="16" t="n">
        <v>26</v>
      </c>
      <c r="B30" s="7" t="s">
        <v>103</v>
      </c>
      <c r="C30" s="7" t="s">
        <v>1074</v>
      </c>
      <c r="D30" s="7" t="s">
        <v>119</v>
      </c>
      <c r="E30" s="16" t="n">
        <v>10</v>
      </c>
      <c r="F30" s="7" t="s">
        <v>1075</v>
      </c>
      <c r="G30" s="61" t="str">
        <f aca="false">INDEX(Prioridade!$B$5:$J$9,MATCH(G$4,Prioridade!$A$5:$A$9,0),MATCH($B30,Prioridade!$B$4:$J$4,0))</f>
        <v>Alta</v>
      </c>
      <c r="H30" s="61" t="str">
        <f aca="false">INDEX(Prioridade!$B$5:$J$9,MATCH(H$4,Prioridade!$A$5:$A$9,0),MATCH($B30,Prioridade!$B$4:$J$4,0))</f>
        <v>Alta</v>
      </c>
      <c r="I30" s="61" t="str">
        <f aca="false">INDEX(Prioridade!$B$5:$J$9,MATCH(I$4,Prioridade!$A$5:$A$9,0),MATCH($B30,Prioridade!$B$4:$J$4,0))</f>
        <v>Alta</v>
      </c>
      <c r="J30" s="61" t="str">
        <f aca="false">INDEX(Prioridade!$B$5:$J$9,MATCH(J$4,Prioridade!$A$5:$A$9,0),MATCH($B30,Prioridade!$B$4:$J$4,0))</f>
        <v>Alta</v>
      </c>
      <c r="K30" s="61" t="str">
        <f aca="false">INDEX(Prioridade!$B$5:$J$9,MATCH(K$4,Prioridade!$A$5:$A$9,0),MATCH($B30,Prioridade!$B$4:$J$4,0))</f>
        <v>Alta</v>
      </c>
      <c r="L30" s="7" t="s">
        <v>1025</v>
      </c>
    </row>
    <row r="31" customFormat="false" ht="15" hidden="false" customHeight="false" outlineLevel="0" collapsed="false">
      <c r="A31" s="16" t="n">
        <v>27</v>
      </c>
      <c r="B31" s="7" t="s">
        <v>103</v>
      </c>
      <c r="C31" s="7" t="s">
        <v>1076</v>
      </c>
      <c r="D31" s="7" t="s">
        <v>119</v>
      </c>
      <c r="E31" s="16" t="n">
        <v>6</v>
      </c>
      <c r="F31" s="7" t="s">
        <v>1077</v>
      </c>
      <c r="G31" s="61" t="str">
        <f aca="false">INDEX(Prioridade!$B$5:$J$9,MATCH(G$4,Prioridade!$A$5:$A$9,0),MATCH($B31,Prioridade!$B$4:$J$4,0))</f>
        <v>Alta</v>
      </c>
      <c r="H31" s="61" t="str">
        <f aca="false">INDEX(Prioridade!$B$5:$J$9,MATCH(H$4,Prioridade!$A$5:$A$9,0),MATCH($B31,Prioridade!$B$4:$J$4,0))</f>
        <v>Alta</v>
      </c>
      <c r="I31" s="61" t="str">
        <f aca="false">INDEX(Prioridade!$B$5:$J$9,MATCH(I$4,Prioridade!$A$5:$A$9,0),MATCH($B31,Prioridade!$B$4:$J$4,0))</f>
        <v>Alta</v>
      </c>
      <c r="J31" s="61" t="str">
        <f aca="false">INDEX(Prioridade!$B$5:$J$9,MATCH(J$4,Prioridade!$A$5:$A$9,0),MATCH($B31,Prioridade!$B$4:$J$4,0))</f>
        <v>Alta</v>
      </c>
      <c r="K31" s="61" t="str">
        <f aca="false">INDEX(Prioridade!$B$5:$J$9,MATCH(K$4,Prioridade!$A$5:$A$9,0),MATCH($B31,Prioridade!$B$4:$J$4,0))</f>
        <v>Alta</v>
      </c>
      <c r="L31" s="7" t="s">
        <v>1025</v>
      </c>
    </row>
    <row r="32" customFormat="false" ht="15" hidden="false" customHeight="false" outlineLevel="0" collapsed="false">
      <c r="A32" s="16" t="n">
        <v>28</v>
      </c>
      <c r="B32" s="7" t="s">
        <v>103</v>
      </c>
      <c r="C32" s="7" t="s">
        <v>1078</v>
      </c>
      <c r="D32" s="7" t="s">
        <v>119</v>
      </c>
      <c r="E32" s="16" t="n">
        <v>4</v>
      </c>
      <c r="F32" s="7" t="s">
        <v>1079</v>
      </c>
      <c r="G32" s="61" t="str">
        <f aca="false">INDEX(Prioridade!$B$5:$J$9,MATCH(G$4,Prioridade!$A$5:$A$9,0),MATCH($B32,Prioridade!$B$4:$J$4,0))</f>
        <v>Alta</v>
      </c>
      <c r="H32" s="61" t="str">
        <f aca="false">INDEX(Prioridade!$B$5:$J$9,MATCH(H$4,Prioridade!$A$5:$A$9,0),MATCH($B32,Prioridade!$B$4:$J$4,0))</f>
        <v>Alta</v>
      </c>
      <c r="I32" s="61" t="str">
        <f aca="false">INDEX(Prioridade!$B$5:$J$9,MATCH(I$4,Prioridade!$A$5:$A$9,0),MATCH($B32,Prioridade!$B$4:$J$4,0))</f>
        <v>Alta</v>
      </c>
      <c r="J32" s="61" t="str">
        <f aca="false">INDEX(Prioridade!$B$5:$J$9,MATCH(J$4,Prioridade!$A$5:$A$9,0),MATCH($B32,Prioridade!$B$4:$J$4,0))</f>
        <v>Alta</v>
      </c>
      <c r="K32" s="61" t="str">
        <f aca="false">INDEX(Prioridade!$B$5:$J$9,MATCH(K$4,Prioridade!$A$5:$A$9,0),MATCH($B32,Prioridade!$B$4:$J$4,0))</f>
        <v>Alta</v>
      </c>
      <c r="L32" s="7" t="s">
        <v>1025</v>
      </c>
    </row>
    <row r="33" customFormat="false" ht="15" hidden="false" customHeight="false" outlineLevel="0" collapsed="false">
      <c r="A33" s="16" t="n">
        <v>29</v>
      </c>
      <c r="B33" s="7" t="s">
        <v>103</v>
      </c>
      <c r="C33" s="7" t="s">
        <v>1080</v>
      </c>
      <c r="D33" s="7" t="s">
        <v>119</v>
      </c>
      <c r="E33" s="16" t="n">
        <v>3</v>
      </c>
      <c r="F33" s="7" t="s">
        <v>1081</v>
      </c>
      <c r="G33" s="61" t="str">
        <f aca="false">INDEX(Prioridade!$B$5:$J$9,MATCH(G$4,Prioridade!$A$5:$A$9,0),MATCH($B33,Prioridade!$B$4:$J$4,0))</f>
        <v>Alta</v>
      </c>
      <c r="H33" s="61" t="str">
        <f aca="false">INDEX(Prioridade!$B$5:$J$9,MATCH(H$4,Prioridade!$A$5:$A$9,0),MATCH($B33,Prioridade!$B$4:$J$4,0))</f>
        <v>Alta</v>
      </c>
      <c r="I33" s="61" t="str">
        <f aca="false">INDEX(Prioridade!$B$5:$J$9,MATCH(I$4,Prioridade!$A$5:$A$9,0),MATCH($B33,Prioridade!$B$4:$J$4,0))</f>
        <v>Alta</v>
      </c>
      <c r="J33" s="61" t="str">
        <f aca="false">INDEX(Prioridade!$B$5:$J$9,MATCH(J$4,Prioridade!$A$5:$A$9,0),MATCH($B33,Prioridade!$B$4:$J$4,0))</f>
        <v>Alta</v>
      </c>
      <c r="K33" s="61" t="str">
        <f aca="false">INDEX(Prioridade!$B$5:$J$9,MATCH(K$4,Prioridade!$A$5:$A$9,0),MATCH($B33,Prioridade!$B$4:$J$4,0))</f>
        <v>Alta</v>
      </c>
      <c r="L33" s="7" t="s">
        <v>1025</v>
      </c>
    </row>
    <row r="34" customFormat="false" ht="15" hidden="false" customHeight="false" outlineLevel="0" collapsed="false">
      <c r="A34" s="16" t="n">
        <v>30</v>
      </c>
      <c r="B34" s="7" t="s">
        <v>103</v>
      </c>
      <c r="C34" s="7" t="s">
        <v>807</v>
      </c>
      <c r="D34" s="7" t="s">
        <v>119</v>
      </c>
      <c r="E34" s="16" t="n">
        <v>3</v>
      </c>
      <c r="F34" s="7" t="s">
        <v>1082</v>
      </c>
      <c r="G34" s="61" t="str">
        <f aca="false">INDEX(Prioridade!$B$5:$J$9,MATCH(G$4,Prioridade!$A$5:$A$9,0),MATCH($B34,Prioridade!$B$4:$J$4,0))</f>
        <v>Alta</v>
      </c>
      <c r="H34" s="61" t="str">
        <f aca="false">INDEX(Prioridade!$B$5:$J$9,MATCH(H$4,Prioridade!$A$5:$A$9,0),MATCH($B34,Prioridade!$B$4:$J$4,0))</f>
        <v>Alta</v>
      </c>
      <c r="I34" s="61" t="str">
        <f aca="false">INDEX(Prioridade!$B$5:$J$9,MATCH(I$4,Prioridade!$A$5:$A$9,0),MATCH($B34,Prioridade!$B$4:$J$4,0))</f>
        <v>Alta</v>
      </c>
      <c r="J34" s="61" t="str">
        <f aca="false">INDEX(Prioridade!$B$5:$J$9,MATCH(J$4,Prioridade!$A$5:$A$9,0),MATCH($B34,Prioridade!$B$4:$J$4,0))</f>
        <v>Alta</v>
      </c>
      <c r="K34" s="61" t="str">
        <f aca="false">INDEX(Prioridade!$B$5:$J$9,MATCH(K$4,Prioridade!$A$5:$A$9,0),MATCH($B34,Prioridade!$B$4:$J$4,0))</f>
        <v>Alta</v>
      </c>
      <c r="L34" s="7" t="s">
        <v>1025</v>
      </c>
    </row>
    <row r="35" customFormat="false" ht="15" hidden="false" customHeight="false" outlineLevel="0" collapsed="false">
      <c r="A35" s="16" t="n">
        <v>31</v>
      </c>
      <c r="B35" s="7" t="s">
        <v>103</v>
      </c>
      <c r="C35" s="7" t="s">
        <v>1083</v>
      </c>
      <c r="D35" s="7" t="s">
        <v>119</v>
      </c>
      <c r="E35" s="16" t="n">
        <v>6</v>
      </c>
      <c r="F35" s="7" t="s">
        <v>1084</v>
      </c>
      <c r="G35" s="61" t="str">
        <f aca="false">INDEX(Prioridade!$B$5:$J$9,MATCH(G$4,Prioridade!$A$5:$A$9,0),MATCH($B35,Prioridade!$B$4:$J$4,0))</f>
        <v>Alta</v>
      </c>
      <c r="H35" s="61" t="str">
        <f aca="false">INDEX(Prioridade!$B$5:$J$9,MATCH(H$4,Prioridade!$A$5:$A$9,0),MATCH($B35,Prioridade!$B$4:$J$4,0))</f>
        <v>Alta</v>
      </c>
      <c r="I35" s="61" t="str">
        <f aca="false">INDEX(Prioridade!$B$5:$J$9,MATCH(I$4,Prioridade!$A$5:$A$9,0),MATCH($B35,Prioridade!$B$4:$J$4,0))</f>
        <v>Alta</v>
      </c>
      <c r="J35" s="61" t="str">
        <f aca="false">INDEX(Prioridade!$B$5:$J$9,MATCH(J$4,Prioridade!$A$5:$A$9,0),MATCH($B35,Prioridade!$B$4:$J$4,0))</f>
        <v>Alta</v>
      </c>
      <c r="K35" s="61" t="str">
        <f aca="false">INDEX(Prioridade!$B$5:$J$9,MATCH(K$4,Prioridade!$A$5:$A$9,0),MATCH($B35,Prioridade!$B$4:$J$4,0))</f>
        <v>Alta</v>
      </c>
      <c r="L35" s="7" t="s">
        <v>1025</v>
      </c>
    </row>
    <row r="36" customFormat="false" ht="15" hidden="false" customHeight="false" outlineLevel="0" collapsed="false">
      <c r="A36" s="16" t="n">
        <v>32</v>
      </c>
      <c r="B36" s="7" t="s">
        <v>103</v>
      </c>
      <c r="C36" s="7" t="s">
        <v>1085</v>
      </c>
      <c r="D36" s="7" t="s">
        <v>119</v>
      </c>
      <c r="E36" s="16" t="n">
        <v>4</v>
      </c>
      <c r="F36" s="7" t="s">
        <v>1086</v>
      </c>
      <c r="G36" s="61" t="str">
        <f aca="false">INDEX(Prioridade!$B$5:$J$9,MATCH(G$4,Prioridade!$A$5:$A$9,0),MATCH($B36,Prioridade!$B$4:$J$4,0))</f>
        <v>Alta</v>
      </c>
      <c r="H36" s="61" t="str">
        <f aca="false">INDEX(Prioridade!$B$5:$J$9,MATCH(H$4,Prioridade!$A$5:$A$9,0),MATCH($B36,Prioridade!$B$4:$J$4,0))</f>
        <v>Alta</v>
      </c>
      <c r="I36" s="61" t="str">
        <f aca="false">INDEX(Prioridade!$B$5:$J$9,MATCH(I$4,Prioridade!$A$5:$A$9,0),MATCH($B36,Prioridade!$B$4:$J$4,0))</f>
        <v>Alta</v>
      </c>
      <c r="J36" s="61" t="str">
        <f aca="false">INDEX(Prioridade!$B$5:$J$9,MATCH(J$4,Prioridade!$A$5:$A$9,0),MATCH($B36,Prioridade!$B$4:$J$4,0))</f>
        <v>Alta</v>
      </c>
      <c r="K36" s="61" t="str">
        <f aca="false">INDEX(Prioridade!$B$5:$J$9,MATCH(K$4,Prioridade!$A$5:$A$9,0),MATCH($B36,Prioridade!$B$4:$J$4,0))</f>
        <v>Alta</v>
      </c>
      <c r="L36" s="7" t="s">
        <v>1025</v>
      </c>
    </row>
    <row r="37" customFormat="false" ht="15" hidden="false" customHeight="false" outlineLevel="0" collapsed="false">
      <c r="A37" s="16" t="n">
        <v>33</v>
      </c>
      <c r="B37" s="7" t="s">
        <v>103</v>
      </c>
      <c r="C37" s="7" t="s">
        <v>1087</v>
      </c>
      <c r="D37" s="7" t="s">
        <v>119</v>
      </c>
      <c r="E37" s="16" t="n">
        <v>5</v>
      </c>
      <c r="F37" s="7" t="s">
        <v>1088</v>
      </c>
      <c r="G37" s="61" t="str">
        <f aca="false">INDEX(Prioridade!$B$5:$J$9,MATCH(G$4,Prioridade!$A$5:$A$9,0),MATCH($B37,Prioridade!$B$4:$J$4,0))</f>
        <v>Alta</v>
      </c>
      <c r="H37" s="61" t="str">
        <f aca="false">INDEX(Prioridade!$B$5:$J$9,MATCH(H$4,Prioridade!$A$5:$A$9,0),MATCH($B37,Prioridade!$B$4:$J$4,0))</f>
        <v>Alta</v>
      </c>
      <c r="I37" s="61" t="str">
        <f aca="false">INDEX(Prioridade!$B$5:$J$9,MATCH(I$4,Prioridade!$A$5:$A$9,0),MATCH($B37,Prioridade!$B$4:$J$4,0))</f>
        <v>Alta</v>
      </c>
      <c r="J37" s="61" t="str">
        <f aca="false">INDEX(Prioridade!$B$5:$J$9,MATCH(J$4,Prioridade!$A$5:$A$9,0),MATCH($B37,Prioridade!$B$4:$J$4,0))</f>
        <v>Alta</v>
      </c>
      <c r="K37" s="61" t="str">
        <f aca="false">INDEX(Prioridade!$B$5:$J$9,MATCH(K$4,Prioridade!$A$5:$A$9,0),MATCH($B37,Prioridade!$B$4:$J$4,0))</f>
        <v>Alta</v>
      </c>
      <c r="L37" s="7" t="s">
        <v>1025</v>
      </c>
    </row>
    <row r="38" customFormat="false" ht="15" hidden="false" customHeight="false" outlineLevel="0" collapsed="false">
      <c r="A38" s="16" t="n">
        <v>34</v>
      </c>
      <c r="B38" s="7" t="s">
        <v>103</v>
      </c>
      <c r="C38" s="7" t="s">
        <v>1089</v>
      </c>
      <c r="D38" s="7" t="s">
        <v>119</v>
      </c>
      <c r="E38" s="16" t="n">
        <v>3</v>
      </c>
      <c r="F38" s="7" t="s">
        <v>1090</v>
      </c>
      <c r="G38" s="61" t="str">
        <f aca="false">INDEX(Prioridade!$B$5:$J$9,MATCH(G$4,Prioridade!$A$5:$A$9,0),MATCH($B38,Prioridade!$B$4:$J$4,0))</f>
        <v>Alta</v>
      </c>
      <c r="H38" s="61" t="str">
        <f aca="false">INDEX(Prioridade!$B$5:$J$9,MATCH(H$4,Prioridade!$A$5:$A$9,0),MATCH($B38,Prioridade!$B$4:$J$4,0))</f>
        <v>Alta</v>
      </c>
      <c r="I38" s="61" t="str">
        <f aca="false">INDEX(Prioridade!$B$5:$J$9,MATCH(I$4,Prioridade!$A$5:$A$9,0),MATCH($B38,Prioridade!$B$4:$J$4,0))</f>
        <v>Alta</v>
      </c>
      <c r="J38" s="61" t="str">
        <f aca="false">INDEX(Prioridade!$B$5:$J$9,MATCH(J$4,Prioridade!$A$5:$A$9,0),MATCH($B38,Prioridade!$B$4:$J$4,0))</f>
        <v>Alta</v>
      </c>
      <c r="K38" s="61" t="str">
        <f aca="false">INDEX(Prioridade!$B$5:$J$9,MATCH(K$4,Prioridade!$A$5:$A$9,0),MATCH($B38,Prioridade!$B$4:$J$4,0))</f>
        <v>Alta</v>
      </c>
      <c r="L38" s="7" t="s">
        <v>1025</v>
      </c>
    </row>
    <row r="39" customFormat="false" ht="15" hidden="false" customHeight="false" outlineLevel="0" collapsed="false">
      <c r="A39" s="16" t="n">
        <v>35</v>
      </c>
      <c r="B39" s="7" t="s">
        <v>103</v>
      </c>
      <c r="C39" s="7" t="s">
        <v>1091</v>
      </c>
      <c r="D39" s="7" t="s">
        <v>119</v>
      </c>
      <c r="E39" s="16" t="n">
        <v>8</v>
      </c>
      <c r="F39" s="7" t="s">
        <v>1092</v>
      </c>
      <c r="G39" s="61" t="str">
        <f aca="false">INDEX(Prioridade!$B$5:$J$9,MATCH(G$4,Prioridade!$A$5:$A$9,0),MATCH($B39,Prioridade!$B$4:$J$4,0))</f>
        <v>Alta</v>
      </c>
      <c r="H39" s="61" t="str">
        <f aca="false">INDEX(Prioridade!$B$5:$J$9,MATCH(H$4,Prioridade!$A$5:$A$9,0),MATCH($B39,Prioridade!$B$4:$J$4,0))</f>
        <v>Alta</v>
      </c>
      <c r="I39" s="61" t="str">
        <f aca="false">INDEX(Prioridade!$B$5:$J$9,MATCH(I$4,Prioridade!$A$5:$A$9,0),MATCH($B39,Prioridade!$B$4:$J$4,0))</f>
        <v>Alta</v>
      </c>
      <c r="J39" s="61" t="str">
        <f aca="false">INDEX(Prioridade!$B$5:$J$9,MATCH(J$4,Prioridade!$A$5:$A$9,0),MATCH($B39,Prioridade!$B$4:$J$4,0))</f>
        <v>Alta</v>
      </c>
      <c r="K39" s="61" t="str">
        <f aca="false">INDEX(Prioridade!$B$5:$J$9,MATCH(K$4,Prioridade!$A$5:$A$9,0),MATCH($B39,Prioridade!$B$4:$J$4,0))</f>
        <v>Alta</v>
      </c>
      <c r="L39" s="7" t="s">
        <v>1025</v>
      </c>
    </row>
    <row r="40" customFormat="false" ht="15" hidden="false" customHeight="false" outlineLevel="0" collapsed="false">
      <c r="A40" s="16" t="n">
        <v>36</v>
      </c>
      <c r="B40" s="7" t="s">
        <v>103</v>
      </c>
      <c r="C40" s="7" t="s">
        <v>1093</v>
      </c>
      <c r="D40" s="7" t="s">
        <v>119</v>
      </c>
      <c r="E40" s="16" t="n">
        <v>8</v>
      </c>
      <c r="F40" s="7" t="s">
        <v>1094</v>
      </c>
      <c r="G40" s="61" t="str">
        <f aca="false">INDEX(Prioridade!$B$5:$J$9,MATCH(G$4,Prioridade!$A$5:$A$9,0),MATCH($B40,Prioridade!$B$4:$J$4,0))</f>
        <v>Alta</v>
      </c>
      <c r="H40" s="61" t="str">
        <f aca="false">INDEX(Prioridade!$B$5:$J$9,MATCH(H$4,Prioridade!$A$5:$A$9,0),MATCH($B40,Prioridade!$B$4:$J$4,0))</f>
        <v>Alta</v>
      </c>
      <c r="I40" s="61" t="str">
        <f aca="false">INDEX(Prioridade!$B$5:$J$9,MATCH(I$4,Prioridade!$A$5:$A$9,0),MATCH($B40,Prioridade!$B$4:$J$4,0))</f>
        <v>Alta</v>
      </c>
      <c r="J40" s="61" t="str">
        <f aca="false">INDEX(Prioridade!$B$5:$J$9,MATCH(J$4,Prioridade!$A$5:$A$9,0),MATCH($B40,Prioridade!$B$4:$J$4,0))</f>
        <v>Alta</v>
      </c>
      <c r="K40" s="61" t="str">
        <f aca="false">INDEX(Prioridade!$B$5:$J$9,MATCH(K$4,Prioridade!$A$5:$A$9,0),MATCH($B40,Prioridade!$B$4:$J$4,0))</f>
        <v>Alta</v>
      </c>
      <c r="L40" s="7" t="s">
        <v>1025</v>
      </c>
    </row>
    <row r="41" customFormat="false" ht="15" hidden="false" customHeight="false" outlineLevel="0" collapsed="false">
      <c r="A41" s="16" t="n">
        <v>37</v>
      </c>
      <c r="B41" s="7" t="s">
        <v>103</v>
      </c>
      <c r="C41" s="7" t="s">
        <v>1095</v>
      </c>
      <c r="D41" s="7" t="s">
        <v>119</v>
      </c>
      <c r="E41" s="16" t="n">
        <v>10</v>
      </c>
      <c r="F41" s="7" t="s">
        <v>1096</v>
      </c>
      <c r="G41" s="61" t="str">
        <f aca="false">INDEX(Prioridade!$B$5:$J$9,MATCH(G$4,Prioridade!$A$5:$A$9,0),MATCH($B41,Prioridade!$B$4:$J$4,0))</f>
        <v>Alta</v>
      </c>
      <c r="H41" s="61" t="str">
        <f aca="false">INDEX(Prioridade!$B$5:$J$9,MATCH(H$4,Prioridade!$A$5:$A$9,0),MATCH($B41,Prioridade!$B$4:$J$4,0))</f>
        <v>Alta</v>
      </c>
      <c r="I41" s="61" t="str">
        <f aca="false">INDEX(Prioridade!$B$5:$J$9,MATCH(I$4,Prioridade!$A$5:$A$9,0),MATCH($B41,Prioridade!$B$4:$J$4,0))</f>
        <v>Alta</v>
      </c>
      <c r="J41" s="61" t="str">
        <f aca="false">INDEX(Prioridade!$B$5:$J$9,MATCH(J$4,Prioridade!$A$5:$A$9,0),MATCH($B41,Prioridade!$B$4:$J$4,0))</f>
        <v>Alta</v>
      </c>
      <c r="K41" s="61" t="str">
        <f aca="false">INDEX(Prioridade!$B$5:$J$9,MATCH(K$4,Prioridade!$A$5:$A$9,0),MATCH($B41,Prioridade!$B$4:$J$4,0))</f>
        <v>Alta</v>
      </c>
      <c r="L41" s="7" t="s">
        <v>1025</v>
      </c>
    </row>
    <row r="42" customFormat="false" ht="15" hidden="false" customHeight="false" outlineLevel="0" collapsed="false">
      <c r="A42" s="16" t="n">
        <v>38</v>
      </c>
      <c r="B42" s="7" t="s">
        <v>103</v>
      </c>
      <c r="C42" s="7" t="s">
        <v>1097</v>
      </c>
      <c r="D42" s="7" t="s">
        <v>119</v>
      </c>
      <c r="E42" s="16" t="n">
        <v>10</v>
      </c>
      <c r="F42" s="7" t="s">
        <v>1096</v>
      </c>
      <c r="G42" s="61" t="str">
        <f aca="false">INDEX(Prioridade!$B$5:$J$9,MATCH(G$4,Prioridade!$A$5:$A$9,0),MATCH($B42,Prioridade!$B$4:$J$4,0))</f>
        <v>Alta</v>
      </c>
      <c r="H42" s="61" t="str">
        <f aca="false">INDEX(Prioridade!$B$5:$J$9,MATCH(H$4,Prioridade!$A$5:$A$9,0),MATCH($B42,Prioridade!$B$4:$J$4,0))</f>
        <v>Alta</v>
      </c>
      <c r="I42" s="61" t="str">
        <f aca="false">INDEX(Prioridade!$B$5:$J$9,MATCH(I$4,Prioridade!$A$5:$A$9,0),MATCH($B42,Prioridade!$B$4:$J$4,0))</f>
        <v>Alta</v>
      </c>
      <c r="J42" s="61" t="str">
        <f aca="false">INDEX(Prioridade!$B$5:$J$9,MATCH(J$4,Prioridade!$A$5:$A$9,0),MATCH($B42,Prioridade!$B$4:$J$4,0))</f>
        <v>Alta</v>
      </c>
      <c r="K42" s="61" t="str">
        <f aca="false">INDEX(Prioridade!$B$5:$J$9,MATCH(K$4,Prioridade!$A$5:$A$9,0),MATCH($B42,Prioridade!$B$4:$J$4,0))</f>
        <v>Alta</v>
      </c>
      <c r="L42" s="7" t="s">
        <v>1025</v>
      </c>
    </row>
    <row r="43" customFormat="false" ht="23.85" hidden="false" customHeight="false" outlineLevel="0" collapsed="false">
      <c r="A43" s="16" t="n">
        <v>39</v>
      </c>
      <c r="B43" s="7" t="s">
        <v>103</v>
      </c>
      <c r="C43" s="7" t="s">
        <v>1098</v>
      </c>
      <c r="D43" s="7" t="s">
        <v>120</v>
      </c>
      <c r="E43" s="16" t="n">
        <v>10</v>
      </c>
      <c r="F43" s="7" t="s">
        <v>1099</v>
      </c>
      <c r="G43" s="61" t="str">
        <f aca="false">INDEX(Prioridade!$B$5:$J$9,MATCH(G$4,Prioridade!$A$5:$A$9,0),MATCH($B43,Prioridade!$B$4:$J$4,0))</f>
        <v>Alta</v>
      </c>
      <c r="H43" s="61" t="str">
        <f aca="false">INDEX(Prioridade!$B$5:$J$9,MATCH(H$4,Prioridade!$A$5:$A$9,0),MATCH($B43,Prioridade!$B$4:$J$4,0))</f>
        <v>Alta</v>
      </c>
      <c r="I43" s="61" t="str">
        <f aca="false">INDEX(Prioridade!$B$5:$J$9,MATCH(I$4,Prioridade!$A$5:$A$9,0),MATCH($B43,Prioridade!$B$4:$J$4,0))</f>
        <v>Alta</v>
      </c>
      <c r="J43" s="61" t="str">
        <f aca="false">INDEX(Prioridade!$B$5:$J$9,MATCH(J$4,Prioridade!$A$5:$A$9,0),MATCH($B43,Prioridade!$B$4:$J$4,0))</f>
        <v>Alta</v>
      </c>
      <c r="K43" s="61" t="str">
        <f aca="false">INDEX(Prioridade!$B$5:$J$9,MATCH(K$4,Prioridade!$A$5:$A$9,0),MATCH($B43,Prioridade!$B$4:$J$4,0))</f>
        <v>Alta</v>
      </c>
      <c r="L43" s="7" t="s">
        <v>1100</v>
      </c>
    </row>
    <row r="44" customFormat="false" ht="15" hidden="false" customHeight="false" outlineLevel="0" collapsed="false">
      <c r="A44" s="16" t="n">
        <v>40</v>
      </c>
      <c r="B44" s="7" t="s">
        <v>101</v>
      </c>
      <c r="C44" s="7" t="s">
        <v>1101</v>
      </c>
      <c r="D44" s="7" t="s">
        <v>119</v>
      </c>
      <c r="E44" s="16" t="n">
        <v>8</v>
      </c>
      <c r="F44" s="7" t="s">
        <v>1102</v>
      </c>
      <c r="G44" s="61" t="str">
        <f aca="false">INDEX(Prioridade!$B$5:$J$9,MATCH(G$4,Prioridade!$A$5:$A$9,0),MATCH($B44,Prioridade!$B$4:$J$4,0))</f>
        <v>Média</v>
      </c>
      <c r="H44" s="61" t="str">
        <f aca="false">INDEX(Prioridade!$B$5:$J$9,MATCH(H$4,Prioridade!$A$5:$A$9,0),MATCH($B44,Prioridade!$B$4:$J$4,0))</f>
        <v>Alta</v>
      </c>
      <c r="I44" s="61" t="str">
        <f aca="false">INDEX(Prioridade!$B$5:$J$9,MATCH(I$4,Prioridade!$A$5:$A$9,0),MATCH($B44,Prioridade!$B$4:$J$4,0))</f>
        <v>Média</v>
      </c>
      <c r="J44" s="61" t="str">
        <f aca="false">INDEX(Prioridade!$B$5:$J$9,MATCH(J$4,Prioridade!$A$5:$A$9,0),MATCH($B44,Prioridade!$B$4:$J$4,0))</f>
        <v>Média</v>
      </c>
      <c r="K44" s="61" t="str">
        <f aca="false">INDEX(Prioridade!$B$5:$J$9,MATCH(K$4,Prioridade!$A$5:$A$9,0),MATCH($B44,Prioridade!$B$4:$J$4,0))</f>
        <v>Média</v>
      </c>
      <c r="L44" s="7" t="s">
        <v>1025</v>
      </c>
    </row>
    <row r="45" customFormat="false" ht="15" hidden="false" customHeight="false" outlineLevel="0" collapsed="false">
      <c r="A45" s="16" t="n">
        <v>41</v>
      </c>
      <c r="B45" s="7" t="s">
        <v>101</v>
      </c>
      <c r="C45" s="7" t="s">
        <v>1103</v>
      </c>
      <c r="D45" s="7" t="s">
        <v>119</v>
      </c>
      <c r="E45" s="16" t="n">
        <v>6</v>
      </c>
      <c r="F45" s="7" t="s">
        <v>1104</v>
      </c>
      <c r="G45" s="61" t="str">
        <f aca="false">INDEX(Prioridade!$B$5:$J$9,MATCH(G$4,Prioridade!$A$5:$A$9,0),MATCH($B45,Prioridade!$B$4:$J$4,0))</f>
        <v>Média</v>
      </c>
      <c r="H45" s="61" t="str">
        <f aca="false">INDEX(Prioridade!$B$5:$J$9,MATCH(H$4,Prioridade!$A$5:$A$9,0),MATCH($B45,Prioridade!$B$4:$J$4,0))</f>
        <v>Alta</v>
      </c>
      <c r="I45" s="61" t="str">
        <f aca="false">INDEX(Prioridade!$B$5:$J$9,MATCH(I$4,Prioridade!$A$5:$A$9,0),MATCH($B45,Prioridade!$B$4:$J$4,0))</f>
        <v>Média</v>
      </c>
      <c r="J45" s="61" t="str">
        <f aca="false">INDEX(Prioridade!$B$5:$J$9,MATCH(J$4,Prioridade!$A$5:$A$9,0),MATCH($B45,Prioridade!$B$4:$J$4,0))</f>
        <v>Média</v>
      </c>
      <c r="K45" s="61" t="str">
        <f aca="false">INDEX(Prioridade!$B$5:$J$9,MATCH(K$4,Prioridade!$A$5:$A$9,0),MATCH($B45,Prioridade!$B$4:$J$4,0))</f>
        <v>Média</v>
      </c>
      <c r="L45" s="7" t="s">
        <v>1025</v>
      </c>
    </row>
    <row r="46" customFormat="false" ht="23.85" hidden="false" customHeight="false" outlineLevel="0" collapsed="false">
      <c r="A46" s="16" t="n">
        <v>42</v>
      </c>
      <c r="B46" s="7" t="s">
        <v>101</v>
      </c>
      <c r="C46" s="7" t="s">
        <v>1105</v>
      </c>
      <c r="D46" s="7" t="s">
        <v>120</v>
      </c>
      <c r="E46" s="16" t="n">
        <v>20</v>
      </c>
      <c r="F46" s="7" t="s">
        <v>1106</v>
      </c>
      <c r="G46" s="61" t="str">
        <f aca="false">INDEX(Prioridade!$B$5:$J$9,MATCH(G$4,Prioridade!$A$5:$A$9,0),MATCH($B46,Prioridade!$B$4:$J$4,0))</f>
        <v>Média</v>
      </c>
      <c r="H46" s="61" t="str">
        <f aca="false">INDEX(Prioridade!$B$5:$J$9,MATCH(H$4,Prioridade!$A$5:$A$9,0),MATCH($B46,Prioridade!$B$4:$J$4,0))</f>
        <v>Alta</v>
      </c>
      <c r="I46" s="61" t="str">
        <f aca="false">INDEX(Prioridade!$B$5:$J$9,MATCH(I$4,Prioridade!$A$5:$A$9,0),MATCH($B46,Prioridade!$B$4:$J$4,0))</f>
        <v>Média</v>
      </c>
      <c r="J46" s="61" t="str">
        <f aca="false">INDEX(Prioridade!$B$5:$J$9,MATCH(J$4,Prioridade!$A$5:$A$9,0),MATCH($B46,Prioridade!$B$4:$J$4,0))</f>
        <v>Média</v>
      </c>
      <c r="K46" s="61" t="str">
        <f aca="false">INDEX(Prioridade!$B$5:$J$9,MATCH(K$4,Prioridade!$A$5:$A$9,0),MATCH($B46,Prioridade!$B$4:$J$4,0))</f>
        <v>Média</v>
      </c>
      <c r="L46" s="7" t="s">
        <v>1100</v>
      </c>
    </row>
    <row r="47" customFormat="false" ht="23.85" hidden="false" customHeight="false" outlineLevel="0" collapsed="false">
      <c r="A47" s="16" t="n">
        <v>43</v>
      </c>
      <c r="B47" s="7" t="s">
        <v>101</v>
      </c>
      <c r="C47" s="7" t="s">
        <v>1107</v>
      </c>
      <c r="D47" s="7" t="s">
        <v>120</v>
      </c>
      <c r="E47" s="16" t="n">
        <v>8</v>
      </c>
      <c r="F47" s="7" t="s">
        <v>1108</v>
      </c>
      <c r="G47" s="61" t="str">
        <f aca="false">INDEX(Prioridade!$B$5:$J$9,MATCH(G$4,Prioridade!$A$5:$A$9,0),MATCH($B47,Prioridade!$B$4:$J$4,0))</f>
        <v>Média</v>
      </c>
      <c r="H47" s="61" t="str">
        <f aca="false">INDEX(Prioridade!$B$5:$J$9,MATCH(H$4,Prioridade!$A$5:$A$9,0),MATCH($B47,Prioridade!$B$4:$J$4,0))</f>
        <v>Alta</v>
      </c>
      <c r="I47" s="61" t="str">
        <f aca="false">INDEX(Prioridade!$B$5:$J$9,MATCH(I$4,Prioridade!$A$5:$A$9,0),MATCH($B47,Prioridade!$B$4:$J$4,0))</f>
        <v>Média</v>
      </c>
      <c r="J47" s="61" t="str">
        <f aca="false">INDEX(Prioridade!$B$5:$J$9,MATCH(J$4,Prioridade!$A$5:$A$9,0),MATCH($B47,Prioridade!$B$4:$J$4,0))</f>
        <v>Média</v>
      </c>
      <c r="K47" s="61" t="str">
        <f aca="false">INDEX(Prioridade!$B$5:$J$9,MATCH(K$4,Prioridade!$A$5:$A$9,0),MATCH($B47,Prioridade!$B$4:$J$4,0))</f>
        <v>Média</v>
      </c>
      <c r="L47" s="7" t="s">
        <v>1100</v>
      </c>
    </row>
    <row r="48" customFormat="false" ht="15" hidden="false" customHeight="false" outlineLevel="0" collapsed="false">
      <c r="A48" s="16" t="n">
        <v>44</v>
      </c>
      <c r="B48" s="7" t="s">
        <v>101</v>
      </c>
      <c r="C48" s="7" t="s">
        <v>1109</v>
      </c>
      <c r="D48" s="7" t="s">
        <v>119</v>
      </c>
      <c r="E48" s="16" t="n">
        <v>6</v>
      </c>
      <c r="F48" s="7" t="s">
        <v>1110</v>
      </c>
      <c r="G48" s="61" t="str">
        <f aca="false">INDEX(Prioridade!$B$5:$J$9,MATCH(G$4,Prioridade!$A$5:$A$9,0),MATCH($B48,Prioridade!$B$4:$J$4,0))</f>
        <v>Média</v>
      </c>
      <c r="H48" s="61" t="str">
        <f aca="false">INDEX(Prioridade!$B$5:$J$9,MATCH(H$4,Prioridade!$A$5:$A$9,0),MATCH($B48,Prioridade!$B$4:$J$4,0))</f>
        <v>Alta</v>
      </c>
      <c r="I48" s="61" t="str">
        <f aca="false">INDEX(Prioridade!$B$5:$J$9,MATCH(I$4,Prioridade!$A$5:$A$9,0),MATCH($B48,Prioridade!$B$4:$J$4,0))</f>
        <v>Média</v>
      </c>
      <c r="J48" s="61" t="str">
        <f aca="false">INDEX(Prioridade!$B$5:$J$9,MATCH(J$4,Prioridade!$A$5:$A$9,0),MATCH($B48,Prioridade!$B$4:$J$4,0))</f>
        <v>Média</v>
      </c>
      <c r="K48" s="61" t="str">
        <f aca="false">INDEX(Prioridade!$B$5:$J$9,MATCH(K$4,Prioridade!$A$5:$A$9,0),MATCH($B48,Prioridade!$B$4:$J$4,0))</f>
        <v>Média</v>
      </c>
      <c r="L48" s="7" t="s">
        <v>1025</v>
      </c>
    </row>
    <row r="49" customFormat="false" ht="15" hidden="false" customHeight="false" outlineLevel="0" collapsed="false">
      <c r="A49" s="16" t="n">
        <v>45</v>
      </c>
      <c r="B49" s="7" t="s">
        <v>101</v>
      </c>
      <c r="C49" s="7" t="s">
        <v>1111</v>
      </c>
      <c r="D49" s="7" t="s">
        <v>119</v>
      </c>
      <c r="E49" s="16" t="n">
        <v>6</v>
      </c>
      <c r="F49" s="7" t="s">
        <v>1112</v>
      </c>
      <c r="G49" s="61" t="str">
        <f aca="false">INDEX(Prioridade!$B$5:$J$9,MATCH(G$4,Prioridade!$A$5:$A$9,0),MATCH($B49,Prioridade!$B$4:$J$4,0))</f>
        <v>Média</v>
      </c>
      <c r="H49" s="61" t="str">
        <f aca="false">INDEX(Prioridade!$B$5:$J$9,MATCH(H$4,Prioridade!$A$5:$A$9,0),MATCH($B49,Prioridade!$B$4:$J$4,0))</f>
        <v>Alta</v>
      </c>
      <c r="I49" s="61" t="str">
        <f aca="false">INDEX(Prioridade!$B$5:$J$9,MATCH(I$4,Prioridade!$A$5:$A$9,0),MATCH($B49,Prioridade!$B$4:$J$4,0))</f>
        <v>Média</v>
      </c>
      <c r="J49" s="61" t="str">
        <f aca="false">INDEX(Prioridade!$B$5:$J$9,MATCH(J$4,Prioridade!$A$5:$A$9,0),MATCH($B49,Prioridade!$B$4:$J$4,0))</f>
        <v>Média</v>
      </c>
      <c r="K49" s="61" t="str">
        <f aca="false">INDEX(Prioridade!$B$5:$J$9,MATCH(K$4,Prioridade!$A$5:$A$9,0),MATCH($B49,Prioridade!$B$4:$J$4,0))</f>
        <v>Média</v>
      </c>
      <c r="L49" s="7" t="s">
        <v>1025</v>
      </c>
    </row>
    <row r="50" customFormat="false" ht="15" hidden="false" customHeight="false" outlineLevel="0" collapsed="false">
      <c r="A50" s="16" t="n">
        <v>46</v>
      </c>
      <c r="B50" s="7" t="s">
        <v>101</v>
      </c>
      <c r="C50" s="7" t="s">
        <v>1113</v>
      </c>
      <c r="D50" s="7" t="s">
        <v>119</v>
      </c>
      <c r="E50" s="16" t="n">
        <v>8</v>
      </c>
      <c r="F50" s="7" t="s">
        <v>1114</v>
      </c>
      <c r="G50" s="61" t="str">
        <f aca="false">INDEX(Prioridade!$B$5:$J$9,MATCH(G$4,Prioridade!$A$5:$A$9,0),MATCH($B50,Prioridade!$B$4:$J$4,0))</f>
        <v>Média</v>
      </c>
      <c r="H50" s="61" t="str">
        <f aca="false">INDEX(Prioridade!$B$5:$J$9,MATCH(H$4,Prioridade!$A$5:$A$9,0),MATCH($B50,Prioridade!$B$4:$J$4,0))</f>
        <v>Alta</v>
      </c>
      <c r="I50" s="61" t="str">
        <f aca="false">INDEX(Prioridade!$B$5:$J$9,MATCH(I$4,Prioridade!$A$5:$A$9,0),MATCH($B50,Prioridade!$B$4:$J$4,0))</f>
        <v>Média</v>
      </c>
      <c r="J50" s="61" t="str">
        <f aca="false">INDEX(Prioridade!$B$5:$J$9,MATCH(J$4,Prioridade!$A$5:$A$9,0),MATCH($B50,Prioridade!$B$4:$J$4,0))</f>
        <v>Média</v>
      </c>
      <c r="K50" s="61" t="str">
        <f aca="false">INDEX(Prioridade!$B$5:$J$9,MATCH(K$4,Prioridade!$A$5:$A$9,0),MATCH($B50,Prioridade!$B$4:$J$4,0))</f>
        <v>Média</v>
      </c>
      <c r="L50" s="7" t="s">
        <v>1025</v>
      </c>
    </row>
    <row r="51" customFormat="false" ht="15" hidden="false" customHeight="false" outlineLevel="0" collapsed="false">
      <c r="A51" s="16" t="n">
        <v>47</v>
      </c>
      <c r="B51" s="7" t="s">
        <v>101</v>
      </c>
      <c r="C51" s="7" t="s">
        <v>1115</v>
      </c>
      <c r="D51" s="7" t="s">
        <v>119</v>
      </c>
      <c r="E51" s="16" t="n">
        <v>4</v>
      </c>
      <c r="F51" s="7" t="s">
        <v>1116</v>
      </c>
      <c r="G51" s="61" t="str">
        <f aca="false">INDEX(Prioridade!$B$5:$J$9,MATCH(G$4,Prioridade!$A$5:$A$9,0),MATCH($B51,Prioridade!$B$4:$J$4,0))</f>
        <v>Média</v>
      </c>
      <c r="H51" s="61" t="str">
        <f aca="false">INDEX(Prioridade!$B$5:$J$9,MATCH(H$4,Prioridade!$A$5:$A$9,0),MATCH($B51,Prioridade!$B$4:$J$4,0))</f>
        <v>Alta</v>
      </c>
      <c r="I51" s="61" t="str">
        <f aca="false">INDEX(Prioridade!$B$5:$J$9,MATCH(I$4,Prioridade!$A$5:$A$9,0),MATCH($B51,Prioridade!$B$4:$J$4,0))</f>
        <v>Média</v>
      </c>
      <c r="J51" s="61" t="str">
        <f aca="false">INDEX(Prioridade!$B$5:$J$9,MATCH(J$4,Prioridade!$A$5:$A$9,0),MATCH($B51,Prioridade!$B$4:$J$4,0))</f>
        <v>Média</v>
      </c>
      <c r="K51" s="61" t="str">
        <f aca="false">INDEX(Prioridade!$B$5:$J$9,MATCH(K$4,Prioridade!$A$5:$A$9,0),MATCH($B51,Prioridade!$B$4:$J$4,0))</f>
        <v>Média</v>
      </c>
      <c r="L51" s="7" t="s">
        <v>1025</v>
      </c>
    </row>
    <row r="52" customFormat="false" ht="15" hidden="false" customHeight="false" outlineLevel="0" collapsed="false">
      <c r="A52" s="16" t="n">
        <v>48</v>
      </c>
      <c r="B52" s="7" t="s">
        <v>101</v>
      </c>
      <c r="C52" s="7" t="s">
        <v>1117</v>
      </c>
      <c r="D52" s="7" t="s">
        <v>119</v>
      </c>
      <c r="E52" s="16" t="n">
        <v>6</v>
      </c>
      <c r="F52" s="7" t="s">
        <v>1118</v>
      </c>
      <c r="G52" s="61" t="str">
        <f aca="false">INDEX(Prioridade!$B$5:$J$9,MATCH(G$4,Prioridade!$A$5:$A$9,0),MATCH($B52,Prioridade!$B$4:$J$4,0))</f>
        <v>Média</v>
      </c>
      <c r="H52" s="61" t="str">
        <f aca="false">INDEX(Prioridade!$B$5:$J$9,MATCH(H$4,Prioridade!$A$5:$A$9,0),MATCH($B52,Prioridade!$B$4:$J$4,0))</f>
        <v>Alta</v>
      </c>
      <c r="I52" s="61" t="str">
        <f aca="false">INDEX(Prioridade!$B$5:$J$9,MATCH(I$4,Prioridade!$A$5:$A$9,0),MATCH($B52,Prioridade!$B$4:$J$4,0))</f>
        <v>Média</v>
      </c>
      <c r="J52" s="61" t="str">
        <f aca="false">INDEX(Prioridade!$B$5:$J$9,MATCH(J$4,Prioridade!$A$5:$A$9,0),MATCH($B52,Prioridade!$B$4:$J$4,0))</f>
        <v>Média</v>
      </c>
      <c r="K52" s="61" t="str">
        <f aca="false">INDEX(Prioridade!$B$5:$J$9,MATCH(K$4,Prioridade!$A$5:$A$9,0),MATCH($B52,Prioridade!$B$4:$J$4,0))</f>
        <v>Média</v>
      </c>
      <c r="L52" s="7" t="s">
        <v>1025</v>
      </c>
    </row>
    <row r="53" customFormat="false" ht="23.85" hidden="false" customHeight="false" outlineLevel="0" collapsed="false">
      <c r="A53" s="16" t="n">
        <v>49</v>
      </c>
      <c r="B53" s="7" t="s">
        <v>101</v>
      </c>
      <c r="C53" s="7" t="s">
        <v>1119</v>
      </c>
      <c r="D53" s="7" t="s">
        <v>120</v>
      </c>
      <c r="E53" s="16" t="n">
        <v>20</v>
      </c>
      <c r="F53" s="7" t="s">
        <v>1120</v>
      </c>
      <c r="G53" s="61" t="str">
        <f aca="false">INDEX(Prioridade!$B$5:$J$9,MATCH(G$4,Prioridade!$A$5:$A$9,0),MATCH($B53,Prioridade!$B$4:$J$4,0))</f>
        <v>Média</v>
      </c>
      <c r="H53" s="61" t="str">
        <f aca="false">INDEX(Prioridade!$B$5:$J$9,MATCH(H$4,Prioridade!$A$5:$A$9,0),MATCH($B53,Prioridade!$B$4:$J$4,0))</f>
        <v>Alta</v>
      </c>
      <c r="I53" s="61" t="str">
        <f aca="false">INDEX(Prioridade!$B$5:$J$9,MATCH(I$4,Prioridade!$A$5:$A$9,0),MATCH($B53,Prioridade!$B$4:$J$4,0))</f>
        <v>Média</v>
      </c>
      <c r="J53" s="61" t="str">
        <f aca="false">INDEX(Prioridade!$B$5:$J$9,MATCH(J$4,Prioridade!$A$5:$A$9,0),MATCH($B53,Prioridade!$B$4:$J$4,0))</f>
        <v>Média</v>
      </c>
      <c r="K53" s="61" t="str">
        <f aca="false">INDEX(Prioridade!$B$5:$J$9,MATCH(K$4,Prioridade!$A$5:$A$9,0),MATCH($B53,Prioridade!$B$4:$J$4,0))</f>
        <v>Média</v>
      </c>
      <c r="L53" s="7" t="s">
        <v>1100</v>
      </c>
    </row>
    <row r="54" customFormat="false" ht="23.85" hidden="false" customHeight="false" outlineLevel="0" collapsed="false">
      <c r="A54" s="16" t="n">
        <v>50</v>
      </c>
      <c r="B54" s="7" t="s">
        <v>101</v>
      </c>
      <c r="C54" s="7" t="s">
        <v>1121</v>
      </c>
      <c r="D54" s="7" t="s">
        <v>120</v>
      </c>
      <c r="E54" s="16" t="n">
        <v>20</v>
      </c>
      <c r="F54" s="7" t="s">
        <v>1122</v>
      </c>
      <c r="G54" s="61" t="str">
        <f aca="false">INDEX(Prioridade!$B$5:$J$9,MATCH(G$4,Prioridade!$A$5:$A$9,0),MATCH($B54,Prioridade!$B$4:$J$4,0))</f>
        <v>Média</v>
      </c>
      <c r="H54" s="61" t="str">
        <f aca="false">INDEX(Prioridade!$B$5:$J$9,MATCH(H$4,Prioridade!$A$5:$A$9,0),MATCH($B54,Prioridade!$B$4:$J$4,0))</f>
        <v>Alta</v>
      </c>
      <c r="I54" s="61" t="str">
        <f aca="false">INDEX(Prioridade!$B$5:$J$9,MATCH(I$4,Prioridade!$A$5:$A$9,0),MATCH($B54,Prioridade!$B$4:$J$4,0))</f>
        <v>Média</v>
      </c>
      <c r="J54" s="61" t="str">
        <f aca="false">INDEX(Prioridade!$B$5:$J$9,MATCH(J$4,Prioridade!$A$5:$A$9,0),MATCH($B54,Prioridade!$B$4:$J$4,0))</f>
        <v>Média</v>
      </c>
      <c r="K54" s="61" t="str">
        <f aca="false">INDEX(Prioridade!$B$5:$J$9,MATCH(K$4,Prioridade!$A$5:$A$9,0),MATCH($B54,Prioridade!$B$4:$J$4,0))</f>
        <v>Média</v>
      </c>
      <c r="L54" s="7" t="s">
        <v>1100</v>
      </c>
    </row>
    <row r="55" customFormat="false" ht="15" hidden="false" customHeight="false" outlineLevel="0" collapsed="false">
      <c r="A55" s="16" t="n">
        <v>51</v>
      </c>
      <c r="B55" s="7" t="s">
        <v>101</v>
      </c>
      <c r="C55" s="7" t="s">
        <v>1123</v>
      </c>
      <c r="D55" s="7" t="s">
        <v>119</v>
      </c>
      <c r="E55" s="16" t="n">
        <v>8</v>
      </c>
      <c r="F55" s="7" t="s">
        <v>1124</v>
      </c>
      <c r="G55" s="61" t="str">
        <f aca="false">INDEX(Prioridade!$B$5:$J$9,MATCH(G$4,Prioridade!$A$5:$A$9,0),MATCH($B55,Prioridade!$B$4:$J$4,0))</f>
        <v>Média</v>
      </c>
      <c r="H55" s="61" t="str">
        <f aca="false">INDEX(Prioridade!$B$5:$J$9,MATCH(H$4,Prioridade!$A$5:$A$9,0),MATCH($B55,Prioridade!$B$4:$J$4,0))</f>
        <v>Alta</v>
      </c>
      <c r="I55" s="61" t="str">
        <f aca="false">INDEX(Prioridade!$B$5:$J$9,MATCH(I$4,Prioridade!$A$5:$A$9,0),MATCH($B55,Prioridade!$B$4:$J$4,0))</f>
        <v>Média</v>
      </c>
      <c r="J55" s="61" t="str">
        <f aca="false">INDEX(Prioridade!$B$5:$J$9,MATCH(J$4,Prioridade!$A$5:$A$9,0),MATCH($B55,Prioridade!$B$4:$J$4,0))</f>
        <v>Média</v>
      </c>
      <c r="K55" s="61" t="str">
        <f aca="false">INDEX(Prioridade!$B$5:$J$9,MATCH(K$4,Prioridade!$A$5:$A$9,0),MATCH($B55,Prioridade!$B$4:$J$4,0))</f>
        <v>Média</v>
      </c>
      <c r="L55" s="7" t="s">
        <v>1025</v>
      </c>
    </row>
    <row r="56" customFormat="false" ht="23.85" hidden="false" customHeight="false" outlineLevel="0" collapsed="false">
      <c r="A56" s="16" t="n">
        <v>52</v>
      </c>
      <c r="B56" s="7" t="s">
        <v>101</v>
      </c>
      <c r="C56" s="7" t="s">
        <v>1125</v>
      </c>
      <c r="D56" s="7" t="s">
        <v>120</v>
      </c>
      <c r="E56" s="16" t="n">
        <v>12</v>
      </c>
      <c r="F56" s="7" t="s">
        <v>1122</v>
      </c>
      <c r="G56" s="61" t="str">
        <f aca="false">INDEX(Prioridade!$B$5:$J$9,MATCH(G$4,Prioridade!$A$5:$A$9,0),MATCH($B56,Prioridade!$B$4:$J$4,0))</f>
        <v>Média</v>
      </c>
      <c r="H56" s="61" t="str">
        <f aca="false">INDEX(Prioridade!$B$5:$J$9,MATCH(H$4,Prioridade!$A$5:$A$9,0),MATCH($B56,Prioridade!$B$4:$J$4,0))</f>
        <v>Alta</v>
      </c>
      <c r="I56" s="61" t="str">
        <f aca="false">INDEX(Prioridade!$B$5:$J$9,MATCH(I$4,Prioridade!$A$5:$A$9,0),MATCH($B56,Prioridade!$B$4:$J$4,0))</f>
        <v>Média</v>
      </c>
      <c r="J56" s="61" t="str">
        <f aca="false">INDEX(Prioridade!$B$5:$J$9,MATCH(J$4,Prioridade!$A$5:$A$9,0),MATCH($B56,Prioridade!$B$4:$J$4,0))</f>
        <v>Média</v>
      </c>
      <c r="K56" s="61" t="str">
        <f aca="false">INDEX(Prioridade!$B$5:$J$9,MATCH(K$4,Prioridade!$A$5:$A$9,0),MATCH($B56,Prioridade!$B$4:$J$4,0))</f>
        <v>Média</v>
      </c>
      <c r="L56" s="7" t="s">
        <v>1100</v>
      </c>
    </row>
    <row r="57" customFormat="false" ht="15" hidden="false" customHeight="false" outlineLevel="0" collapsed="false">
      <c r="A57" s="16" t="n">
        <v>53</v>
      </c>
      <c r="B57" s="7" t="s">
        <v>98</v>
      </c>
      <c r="C57" s="7" t="s">
        <v>1126</v>
      </c>
      <c r="D57" s="7" t="s">
        <v>119</v>
      </c>
      <c r="E57" s="16" t="n">
        <v>4</v>
      </c>
      <c r="F57" s="7" t="s">
        <v>1127</v>
      </c>
      <c r="G57" s="61" t="str">
        <f aca="false">INDEX(Prioridade!$B$5:$J$9,MATCH(G$4,Prioridade!$A$5:$A$9,0),MATCH($B57,Prioridade!$B$4:$J$4,0))</f>
        <v>Alta</v>
      </c>
      <c r="H57" s="61" t="str">
        <f aca="false">INDEX(Prioridade!$B$5:$J$9,MATCH(H$4,Prioridade!$A$5:$A$9,0),MATCH($B57,Prioridade!$B$4:$J$4,0))</f>
        <v>Média</v>
      </c>
      <c r="I57" s="61" t="str">
        <f aca="false">INDEX(Prioridade!$B$5:$J$9,MATCH(I$4,Prioridade!$A$5:$A$9,0),MATCH($B57,Prioridade!$B$4:$J$4,0))</f>
        <v>Média</v>
      </c>
      <c r="J57" s="61" t="str">
        <f aca="false">INDEX(Prioridade!$B$5:$J$9,MATCH(J$4,Prioridade!$A$5:$A$9,0),MATCH($B57,Prioridade!$B$4:$J$4,0))</f>
        <v>Alta</v>
      </c>
      <c r="K57" s="61" t="str">
        <f aca="false">INDEX(Prioridade!$B$5:$J$9,MATCH(K$4,Prioridade!$A$5:$A$9,0),MATCH($B57,Prioridade!$B$4:$J$4,0))</f>
        <v>Alta</v>
      </c>
      <c r="L57" s="7" t="s">
        <v>1025</v>
      </c>
    </row>
    <row r="58" customFormat="false" ht="15" hidden="false" customHeight="false" outlineLevel="0" collapsed="false">
      <c r="A58" s="16" t="n">
        <v>54</v>
      </c>
      <c r="B58" s="7" t="s">
        <v>98</v>
      </c>
      <c r="C58" s="7" t="s">
        <v>1128</v>
      </c>
      <c r="D58" s="7" t="s">
        <v>119</v>
      </c>
      <c r="E58" s="16" t="n">
        <v>4</v>
      </c>
      <c r="F58" s="7" t="s">
        <v>1129</v>
      </c>
      <c r="G58" s="61" t="str">
        <f aca="false">INDEX(Prioridade!$B$5:$J$9,MATCH(G$4,Prioridade!$A$5:$A$9,0),MATCH($B58,Prioridade!$B$4:$J$4,0))</f>
        <v>Alta</v>
      </c>
      <c r="H58" s="61" t="str">
        <f aca="false">INDEX(Prioridade!$B$5:$J$9,MATCH(H$4,Prioridade!$A$5:$A$9,0),MATCH($B58,Prioridade!$B$4:$J$4,0))</f>
        <v>Média</v>
      </c>
      <c r="I58" s="61" t="str">
        <f aca="false">INDEX(Prioridade!$B$5:$J$9,MATCH(I$4,Prioridade!$A$5:$A$9,0),MATCH($B58,Prioridade!$B$4:$J$4,0))</f>
        <v>Média</v>
      </c>
      <c r="J58" s="61" t="str">
        <f aca="false">INDEX(Prioridade!$B$5:$J$9,MATCH(J$4,Prioridade!$A$5:$A$9,0),MATCH($B58,Prioridade!$B$4:$J$4,0))</f>
        <v>Alta</v>
      </c>
      <c r="K58" s="61" t="str">
        <f aca="false">INDEX(Prioridade!$B$5:$J$9,MATCH(K$4,Prioridade!$A$5:$A$9,0),MATCH($B58,Prioridade!$B$4:$J$4,0))</f>
        <v>Alta</v>
      </c>
      <c r="L58" s="7" t="s">
        <v>1025</v>
      </c>
    </row>
    <row r="59" customFormat="false" ht="15" hidden="false" customHeight="false" outlineLevel="0" collapsed="false">
      <c r="A59" s="16" t="n">
        <v>55</v>
      </c>
      <c r="B59" s="7" t="s">
        <v>98</v>
      </c>
      <c r="C59" s="7" t="s">
        <v>1130</v>
      </c>
      <c r="D59" s="7" t="s">
        <v>119</v>
      </c>
      <c r="E59" s="16" t="n">
        <v>10</v>
      </c>
      <c r="F59" s="7" t="s">
        <v>1131</v>
      </c>
      <c r="G59" s="61" t="str">
        <f aca="false">INDEX(Prioridade!$B$5:$J$9,MATCH(G$4,Prioridade!$A$5:$A$9,0),MATCH($B59,Prioridade!$B$4:$J$4,0))</f>
        <v>Alta</v>
      </c>
      <c r="H59" s="61" t="str">
        <f aca="false">INDEX(Prioridade!$B$5:$J$9,MATCH(H$4,Prioridade!$A$5:$A$9,0),MATCH($B59,Prioridade!$B$4:$J$4,0))</f>
        <v>Média</v>
      </c>
      <c r="I59" s="61" t="str">
        <f aca="false">INDEX(Prioridade!$B$5:$J$9,MATCH(I$4,Prioridade!$A$5:$A$9,0),MATCH($B59,Prioridade!$B$4:$J$4,0))</f>
        <v>Média</v>
      </c>
      <c r="J59" s="61" t="str">
        <f aca="false">INDEX(Prioridade!$B$5:$J$9,MATCH(J$4,Prioridade!$A$5:$A$9,0),MATCH($B59,Prioridade!$B$4:$J$4,0))</f>
        <v>Alta</v>
      </c>
      <c r="K59" s="61" t="str">
        <f aca="false">INDEX(Prioridade!$B$5:$J$9,MATCH(K$4,Prioridade!$A$5:$A$9,0),MATCH($B59,Prioridade!$B$4:$J$4,0))</f>
        <v>Alta</v>
      </c>
      <c r="L59" s="7" t="s">
        <v>1025</v>
      </c>
    </row>
    <row r="60" customFormat="false" ht="23.85" hidden="false" customHeight="false" outlineLevel="0" collapsed="false">
      <c r="A60" s="16" t="n">
        <v>56</v>
      </c>
      <c r="B60" s="7" t="s">
        <v>98</v>
      </c>
      <c r="C60" s="7" t="s">
        <v>1132</v>
      </c>
      <c r="D60" s="7" t="s">
        <v>120</v>
      </c>
      <c r="E60" s="16" t="n">
        <v>10</v>
      </c>
      <c r="F60" s="7" t="s">
        <v>1133</v>
      </c>
      <c r="G60" s="61" t="str">
        <f aca="false">INDEX(Prioridade!$B$5:$J$9,MATCH(G$4,Prioridade!$A$5:$A$9,0),MATCH($B60,Prioridade!$B$4:$J$4,0))</f>
        <v>Alta</v>
      </c>
      <c r="H60" s="61" t="str">
        <f aca="false">INDEX(Prioridade!$B$5:$J$9,MATCH(H$4,Prioridade!$A$5:$A$9,0),MATCH($B60,Prioridade!$B$4:$J$4,0))</f>
        <v>Média</v>
      </c>
      <c r="I60" s="61" t="str">
        <f aca="false">INDEX(Prioridade!$B$5:$J$9,MATCH(I$4,Prioridade!$A$5:$A$9,0),MATCH($B60,Prioridade!$B$4:$J$4,0))</f>
        <v>Média</v>
      </c>
      <c r="J60" s="61" t="str">
        <f aca="false">INDEX(Prioridade!$B$5:$J$9,MATCH(J$4,Prioridade!$A$5:$A$9,0),MATCH($B60,Prioridade!$B$4:$J$4,0))</f>
        <v>Alta</v>
      </c>
      <c r="K60" s="61" t="str">
        <f aca="false">INDEX(Prioridade!$B$5:$J$9,MATCH(K$4,Prioridade!$A$5:$A$9,0),MATCH($B60,Prioridade!$B$4:$J$4,0))</f>
        <v>Alta</v>
      </c>
      <c r="L60" s="7" t="s">
        <v>1100</v>
      </c>
    </row>
    <row r="61" customFormat="false" ht="15" hidden="false" customHeight="false" outlineLevel="0" collapsed="false">
      <c r="A61" s="16" t="n">
        <v>57</v>
      </c>
      <c r="B61" s="7" t="s">
        <v>98</v>
      </c>
      <c r="C61" s="7" t="s">
        <v>1134</v>
      </c>
      <c r="D61" s="7" t="s">
        <v>119</v>
      </c>
      <c r="E61" s="16" t="n">
        <v>6</v>
      </c>
      <c r="F61" s="7" t="s">
        <v>1135</v>
      </c>
      <c r="G61" s="61" t="str">
        <f aca="false">INDEX(Prioridade!$B$5:$J$9,MATCH(G$4,Prioridade!$A$5:$A$9,0),MATCH($B61,Prioridade!$B$4:$J$4,0))</f>
        <v>Alta</v>
      </c>
      <c r="H61" s="61" t="str">
        <f aca="false">INDEX(Prioridade!$B$5:$J$9,MATCH(H$4,Prioridade!$A$5:$A$9,0),MATCH($B61,Prioridade!$B$4:$J$4,0))</f>
        <v>Média</v>
      </c>
      <c r="I61" s="61" t="str">
        <f aca="false">INDEX(Prioridade!$B$5:$J$9,MATCH(I$4,Prioridade!$A$5:$A$9,0),MATCH($B61,Prioridade!$B$4:$J$4,0))</f>
        <v>Média</v>
      </c>
      <c r="J61" s="61" t="str">
        <f aca="false">INDEX(Prioridade!$B$5:$J$9,MATCH(J$4,Prioridade!$A$5:$A$9,0),MATCH($B61,Prioridade!$B$4:$J$4,0))</f>
        <v>Alta</v>
      </c>
      <c r="K61" s="61" t="str">
        <f aca="false">INDEX(Prioridade!$B$5:$J$9,MATCH(K$4,Prioridade!$A$5:$A$9,0),MATCH($B61,Prioridade!$B$4:$J$4,0))</f>
        <v>Alta</v>
      </c>
      <c r="L61" s="7" t="s">
        <v>1025</v>
      </c>
    </row>
    <row r="62" customFormat="false" ht="15" hidden="false" customHeight="false" outlineLevel="0" collapsed="false">
      <c r="A62" s="16" t="n">
        <v>58</v>
      </c>
      <c r="B62" s="7" t="s">
        <v>98</v>
      </c>
      <c r="C62" s="7" t="s">
        <v>1136</v>
      </c>
      <c r="D62" s="7" t="s">
        <v>119</v>
      </c>
      <c r="E62" s="16" t="n">
        <v>6</v>
      </c>
      <c r="F62" s="7" t="s">
        <v>1137</v>
      </c>
      <c r="G62" s="61" t="str">
        <f aca="false">INDEX(Prioridade!$B$5:$J$9,MATCH(G$4,Prioridade!$A$5:$A$9,0),MATCH($B62,Prioridade!$B$4:$J$4,0))</f>
        <v>Alta</v>
      </c>
      <c r="H62" s="61" t="str">
        <f aca="false">INDEX(Prioridade!$B$5:$J$9,MATCH(H$4,Prioridade!$A$5:$A$9,0),MATCH($B62,Prioridade!$B$4:$J$4,0))</f>
        <v>Média</v>
      </c>
      <c r="I62" s="61" t="str">
        <f aca="false">INDEX(Prioridade!$B$5:$J$9,MATCH(I$4,Prioridade!$A$5:$A$9,0),MATCH($B62,Prioridade!$B$4:$J$4,0))</f>
        <v>Média</v>
      </c>
      <c r="J62" s="61" t="str">
        <f aca="false">INDEX(Prioridade!$B$5:$J$9,MATCH(J$4,Prioridade!$A$5:$A$9,0),MATCH($B62,Prioridade!$B$4:$J$4,0))</f>
        <v>Alta</v>
      </c>
      <c r="K62" s="61" t="str">
        <f aca="false">INDEX(Prioridade!$B$5:$J$9,MATCH(K$4,Prioridade!$A$5:$A$9,0),MATCH($B62,Prioridade!$B$4:$J$4,0))</f>
        <v>Alta</v>
      </c>
      <c r="L62" s="7" t="s">
        <v>1025</v>
      </c>
    </row>
    <row r="63" customFormat="false" ht="15" hidden="false" customHeight="false" outlineLevel="0" collapsed="false">
      <c r="A63" s="16" t="n">
        <v>59</v>
      </c>
      <c r="B63" s="7" t="s">
        <v>98</v>
      </c>
      <c r="C63" s="7" t="s">
        <v>1138</v>
      </c>
      <c r="D63" s="7" t="s">
        <v>119</v>
      </c>
      <c r="E63" s="16" t="n">
        <v>6</v>
      </c>
      <c r="F63" s="7" t="s">
        <v>1139</v>
      </c>
      <c r="G63" s="61" t="str">
        <f aca="false">INDEX(Prioridade!$B$5:$J$9,MATCH(G$4,Prioridade!$A$5:$A$9,0),MATCH($B63,Prioridade!$B$4:$J$4,0))</f>
        <v>Alta</v>
      </c>
      <c r="H63" s="61" t="str">
        <f aca="false">INDEX(Prioridade!$B$5:$J$9,MATCH(H$4,Prioridade!$A$5:$A$9,0),MATCH($B63,Prioridade!$B$4:$J$4,0))</f>
        <v>Média</v>
      </c>
      <c r="I63" s="61" t="str">
        <f aca="false">INDEX(Prioridade!$B$5:$J$9,MATCH(I$4,Prioridade!$A$5:$A$9,0),MATCH($B63,Prioridade!$B$4:$J$4,0))</f>
        <v>Média</v>
      </c>
      <c r="J63" s="61" t="str">
        <f aca="false">INDEX(Prioridade!$B$5:$J$9,MATCH(J$4,Prioridade!$A$5:$A$9,0),MATCH($B63,Prioridade!$B$4:$J$4,0))</f>
        <v>Alta</v>
      </c>
      <c r="K63" s="61" t="str">
        <f aca="false">INDEX(Prioridade!$B$5:$J$9,MATCH(K$4,Prioridade!$A$5:$A$9,0),MATCH($B63,Prioridade!$B$4:$J$4,0))</f>
        <v>Alta</v>
      </c>
      <c r="L63" s="7" t="s">
        <v>1025</v>
      </c>
    </row>
    <row r="64" customFormat="false" ht="15" hidden="false" customHeight="false" outlineLevel="0" collapsed="false">
      <c r="A64" s="16" t="n">
        <v>60</v>
      </c>
      <c r="B64" s="7" t="s">
        <v>98</v>
      </c>
      <c r="C64" s="7" t="s">
        <v>1140</v>
      </c>
      <c r="D64" s="7" t="s">
        <v>121</v>
      </c>
      <c r="E64" s="16" t="n">
        <v>40</v>
      </c>
      <c r="F64" s="7" t="s">
        <v>1141</v>
      </c>
      <c r="G64" s="61" t="str">
        <f aca="false">INDEX(Prioridade!$B$5:$J$9,MATCH(G$4,Prioridade!$A$5:$A$9,0),MATCH($B64,Prioridade!$B$4:$J$4,0))</f>
        <v>Alta</v>
      </c>
      <c r="H64" s="61" t="str">
        <f aca="false">INDEX(Prioridade!$B$5:$J$9,MATCH(H$4,Prioridade!$A$5:$A$9,0),MATCH($B64,Prioridade!$B$4:$J$4,0))</f>
        <v>Média</v>
      </c>
      <c r="I64" s="61" t="str">
        <f aca="false">INDEX(Prioridade!$B$5:$J$9,MATCH(I$4,Prioridade!$A$5:$A$9,0),MATCH($B64,Prioridade!$B$4:$J$4,0))</f>
        <v>Média</v>
      </c>
      <c r="J64" s="61" t="str">
        <f aca="false">INDEX(Prioridade!$B$5:$J$9,MATCH(J$4,Prioridade!$A$5:$A$9,0),MATCH($B64,Prioridade!$B$4:$J$4,0))</f>
        <v>Alta</v>
      </c>
      <c r="K64" s="61" t="str">
        <f aca="false">INDEX(Prioridade!$B$5:$J$9,MATCH(K$4,Prioridade!$A$5:$A$9,0),MATCH($B64,Prioridade!$B$4:$J$4,0))</f>
        <v>Alta</v>
      </c>
      <c r="L64" s="7" t="s">
        <v>1142</v>
      </c>
    </row>
    <row r="65" customFormat="false" ht="23.85" hidden="false" customHeight="false" outlineLevel="0" collapsed="false">
      <c r="A65" s="16" t="n">
        <v>61</v>
      </c>
      <c r="B65" s="7" t="s">
        <v>98</v>
      </c>
      <c r="C65" s="7" t="s">
        <v>1143</v>
      </c>
      <c r="D65" s="7" t="s">
        <v>121</v>
      </c>
      <c r="E65" s="16" t="s">
        <v>1144</v>
      </c>
      <c r="F65" s="7" t="s">
        <v>1145</v>
      </c>
      <c r="G65" s="61" t="str">
        <f aca="false">INDEX(Prioridade!$B$5:$J$9,MATCH(G$4,Prioridade!$A$5:$A$9,0),MATCH($B65,Prioridade!$B$4:$J$4,0))</f>
        <v>Alta</v>
      </c>
      <c r="H65" s="61" t="str">
        <f aca="false">INDEX(Prioridade!$B$5:$J$9,MATCH(H$4,Prioridade!$A$5:$A$9,0),MATCH($B65,Prioridade!$B$4:$J$4,0))</f>
        <v>Média</v>
      </c>
      <c r="I65" s="61" t="str">
        <f aca="false">INDEX(Prioridade!$B$5:$J$9,MATCH(I$4,Prioridade!$A$5:$A$9,0),MATCH($B65,Prioridade!$B$4:$J$4,0))</f>
        <v>Média</v>
      </c>
      <c r="J65" s="61" t="str">
        <f aca="false">INDEX(Prioridade!$B$5:$J$9,MATCH(J$4,Prioridade!$A$5:$A$9,0),MATCH($B65,Prioridade!$B$4:$J$4,0))</f>
        <v>Alta</v>
      </c>
      <c r="K65" s="61" t="str">
        <f aca="false">INDEX(Prioridade!$B$5:$J$9,MATCH(K$4,Prioridade!$A$5:$A$9,0),MATCH($B65,Prioridade!$B$4:$J$4,0))</f>
        <v>Alta</v>
      </c>
      <c r="L65" s="7" t="s">
        <v>1142</v>
      </c>
    </row>
    <row r="66" customFormat="false" ht="23.85" hidden="false" customHeight="false" outlineLevel="0" collapsed="false">
      <c r="A66" s="16" t="n">
        <v>62</v>
      </c>
      <c r="B66" s="7" t="s">
        <v>98</v>
      </c>
      <c r="C66" s="7" t="s">
        <v>1146</v>
      </c>
      <c r="D66" s="7" t="s">
        <v>121</v>
      </c>
      <c r="E66" s="16" t="s">
        <v>1144</v>
      </c>
      <c r="F66" s="7" t="s">
        <v>1145</v>
      </c>
      <c r="G66" s="61" t="str">
        <f aca="false">INDEX(Prioridade!$B$5:$J$9,MATCH(G$4,Prioridade!$A$5:$A$9,0),MATCH($B66,Prioridade!$B$4:$J$4,0))</f>
        <v>Alta</v>
      </c>
      <c r="H66" s="61" t="str">
        <f aca="false">INDEX(Prioridade!$B$5:$J$9,MATCH(H$4,Prioridade!$A$5:$A$9,0),MATCH($B66,Prioridade!$B$4:$J$4,0))</f>
        <v>Média</v>
      </c>
      <c r="I66" s="61" t="str">
        <f aca="false">INDEX(Prioridade!$B$5:$J$9,MATCH(I$4,Prioridade!$A$5:$A$9,0),MATCH($B66,Prioridade!$B$4:$J$4,0))</f>
        <v>Média</v>
      </c>
      <c r="J66" s="61" t="str">
        <f aca="false">INDEX(Prioridade!$B$5:$J$9,MATCH(J$4,Prioridade!$A$5:$A$9,0),MATCH($B66,Prioridade!$B$4:$J$4,0))</f>
        <v>Alta</v>
      </c>
      <c r="K66" s="61" t="str">
        <f aca="false">INDEX(Prioridade!$B$5:$J$9,MATCH(K$4,Prioridade!$A$5:$A$9,0),MATCH($B66,Prioridade!$B$4:$J$4,0))</f>
        <v>Alta</v>
      </c>
      <c r="L66" s="7" t="s">
        <v>1142</v>
      </c>
    </row>
    <row r="67" customFormat="false" ht="23.85" hidden="false" customHeight="false" outlineLevel="0" collapsed="false">
      <c r="A67" s="16" t="n">
        <v>63</v>
      </c>
      <c r="B67" s="7" t="s">
        <v>98</v>
      </c>
      <c r="C67" s="7" t="s">
        <v>1147</v>
      </c>
      <c r="D67" s="7" t="s">
        <v>121</v>
      </c>
      <c r="E67" s="16" t="s">
        <v>1144</v>
      </c>
      <c r="F67" s="7" t="s">
        <v>1148</v>
      </c>
      <c r="G67" s="61" t="str">
        <f aca="false">INDEX(Prioridade!$B$5:$J$9,MATCH(G$4,Prioridade!$A$5:$A$9,0),MATCH($B67,Prioridade!$B$4:$J$4,0))</f>
        <v>Alta</v>
      </c>
      <c r="H67" s="61" t="str">
        <f aca="false">INDEX(Prioridade!$B$5:$J$9,MATCH(H$4,Prioridade!$A$5:$A$9,0),MATCH($B67,Prioridade!$B$4:$J$4,0))</f>
        <v>Média</v>
      </c>
      <c r="I67" s="61" t="str">
        <f aca="false">INDEX(Prioridade!$B$5:$J$9,MATCH(I$4,Prioridade!$A$5:$A$9,0),MATCH($B67,Prioridade!$B$4:$J$4,0))</f>
        <v>Média</v>
      </c>
      <c r="J67" s="61" t="str">
        <f aca="false">INDEX(Prioridade!$B$5:$J$9,MATCH(J$4,Prioridade!$A$5:$A$9,0),MATCH($B67,Prioridade!$B$4:$J$4,0))</f>
        <v>Alta</v>
      </c>
      <c r="K67" s="61" t="str">
        <f aca="false">INDEX(Prioridade!$B$5:$J$9,MATCH(K$4,Prioridade!$A$5:$A$9,0),MATCH($B67,Prioridade!$B$4:$J$4,0))</f>
        <v>Alta</v>
      </c>
      <c r="L67" s="7" t="s">
        <v>1142</v>
      </c>
    </row>
    <row r="68" customFormat="false" ht="23.85" hidden="false" customHeight="false" outlineLevel="0" collapsed="false">
      <c r="A68" s="16" t="n">
        <v>64</v>
      </c>
      <c r="B68" s="7" t="s">
        <v>98</v>
      </c>
      <c r="C68" s="7" t="s">
        <v>1149</v>
      </c>
      <c r="D68" s="7" t="s">
        <v>121</v>
      </c>
      <c r="E68" s="16" t="s">
        <v>1144</v>
      </c>
      <c r="F68" s="7" t="s">
        <v>1150</v>
      </c>
      <c r="G68" s="61" t="str">
        <f aca="false">INDEX(Prioridade!$B$5:$J$9,MATCH(G$4,Prioridade!$A$5:$A$9,0),MATCH($B68,Prioridade!$B$4:$J$4,0))</f>
        <v>Alta</v>
      </c>
      <c r="H68" s="61" t="str">
        <f aca="false">INDEX(Prioridade!$B$5:$J$9,MATCH(H$4,Prioridade!$A$5:$A$9,0),MATCH($B68,Prioridade!$B$4:$J$4,0))</f>
        <v>Média</v>
      </c>
      <c r="I68" s="61" t="str">
        <f aca="false">INDEX(Prioridade!$B$5:$J$9,MATCH(I$4,Prioridade!$A$5:$A$9,0),MATCH($B68,Prioridade!$B$4:$J$4,0))</f>
        <v>Média</v>
      </c>
      <c r="J68" s="61" t="str">
        <f aca="false">INDEX(Prioridade!$B$5:$J$9,MATCH(J$4,Prioridade!$A$5:$A$9,0),MATCH($B68,Prioridade!$B$4:$J$4,0))</f>
        <v>Alta</v>
      </c>
      <c r="K68" s="61" t="str">
        <f aca="false">INDEX(Prioridade!$B$5:$J$9,MATCH(K$4,Prioridade!$A$5:$A$9,0),MATCH($B68,Prioridade!$B$4:$J$4,0))</f>
        <v>Alta</v>
      </c>
      <c r="L68" s="7" t="s">
        <v>1142</v>
      </c>
    </row>
    <row r="69" customFormat="false" ht="23.85" hidden="false" customHeight="false" outlineLevel="0" collapsed="false">
      <c r="A69" s="16" t="n">
        <v>65</v>
      </c>
      <c r="B69" s="7" t="s">
        <v>98</v>
      </c>
      <c r="C69" s="7" t="s">
        <v>1151</v>
      </c>
      <c r="D69" s="7" t="s">
        <v>121</v>
      </c>
      <c r="E69" s="16" t="s">
        <v>1144</v>
      </c>
      <c r="F69" s="7" t="s">
        <v>1152</v>
      </c>
      <c r="G69" s="61" t="str">
        <f aca="false">INDEX(Prioridade!$B$5:$J$9,MATCH(G$4,Prioridade!$A$5:$A$9,0),MATCH($B69,Prioridade!$B$4:$J$4,0))</f>
        <v>Alta</v>
      </c>
      <c r="H69" s="61" t="str">
        <f aca="false">INDEX(Prioridade!$B$5:$J$9,MATCH(H$4,Prioridade!$A$5:$A$9,0),MATCH($B69,Prioridade!$B$4:$J$4,0))</f>
        <v>Média</v>
      </c>
      <c r="I69" s="61" t="str">
        <f aca="false">INDEX(Prioridade!$B$5:$J$9,MATCH(I$4,Prioridade!$A$5:$A$9,0),MATCH($B69,Prioridade!$B$4:$J$4,0))</f>
        <v>Média</v>
      </c>
      <c r="J69" s="61" t="str">
        <f aca="false">INDEX(Prioridade!$B$5:$J$9,MATCH(J$4,Prioridade!$A$5:$A$9,0),MATCH($B69,Prioridade!$B$4:$J$4,0))</f>
        <v>Alta</v>
      </c>
      <c r="K69" s="61" t="str">
        <f aca="false">INDEX(Prioridade!$B$5:$J$9,MATCH(K$4,Prioridade!$A$5:$A$9,0),MATCH($B69,Prioridade!$B$4:$J$4,0))</f>
        <v>Alta</v>
      </c>
      <c r="L69" s="7" t="s">
        <v>1142</v>
      </c>
    </row>
    <row r="70" customFormat="false" ht="23.85" hidden="false" customHeight="false" outlineLevel="0" collapsed="false">
      <c r="A70" s="16" t="n">
        <v>66</v>
      </c>
      <c r="B70" s="7" t="s">
        <v>98</v>
      </c>
      <c r="C70" s="7" t="s">
        <v>1153</v>
      </c>
      <c r="D70" s="7" t="s">
        <v>121</v>
      </c>
      <c r="E70" s="16" t="s">
        <v>1144</v>
      </c>
      <c r="F70" s="7" t="s">
        <v>1152</v>
      </c>
      <c r="G70" s="61" t="str">
        <f aca="false">INDEX(Prioridade!$B$5:$J$9,MATCH(G$4,Prioridade!$A$5:$A$9,0),MATCH($B70,Prioridade!$B$4:$J$4,0))</f>
        <v>Alta</v>
      </c>
      <c r="H70" s="61" t="str">
        <f aca="false">INDEX(Prioridade!$B$5:$J$9,MATCH(H$4,Prioridade!$A$5:$A$9,0),MATCH($B70,Prioridade!$B$4:$J$4,0))</f>
        <v>Média</v>
      </c>
      <c r="I70" s="61" t="str">
        <f aca="false">INDEX(Prioridade!$B$5:$J$9,MATCH(I$4,Prioridade!$A$5:$A$9,0),MATCH($B70,Prioridade!$B$4:$J$4,0))</f>
        <v>Média</v>
      </c>
      <c r="J70" s="61" t="str">
        <f aca="false">INDEX(Prioridade!$B$5:$J$9,MATCH(J$4,Prioridade!$A$5:$A$9,0),MATCH($B70,Prioridade!$B$4:$J$4,0))</f>
        <v>Alta</v>
      </c>
      <c r="K70" s="61" t="str">
        <f aca="false">INDEX(Prioridade!$B$5:$J$9,MATCH(K$4,Prioridade!$A$5:$A$9,0),MATCH($B70,Prioridade!$B$4:$J$4,0))</f>
        <v>Alta</v>
      </c>
      <c r="L70" s="7" t="s">
        <v>1142</v>
      </c>
    </row>
    <row r="71" customFormat="false" ht="23.85" hidden="false" customHeight="false" outlineLevel="0" collapsed="false">
      <c r="A71" s="16" t="n">
        <v>67</v>
      </c>
      <c r="B71" s="7" t="s">
        <v>98</v>
      </c>
      <c r="C71" s="7" t="s">
        <v>1154</v>
      </c>
      <c r="D71" s="7" t="s">
        <v>121</v>
      </c>
      <c r="E71" s="16" t="s">
        <v>1144</v>
      </c>
      <c r="F71" s="7" t="s">
        <v>1152</v>
      </c>
      <c r="G71" s="61" t="str">
        <f aca="false">INDEX(Prioridade!$B$5:$J$9,MATCH(G$4,Prioridade!$A$5:$A$9,0),MATCH($B71,Prioridade!$B$4:$J$4,0))</f>
        <v>Alta</v>
      </c>
      <c r="H71" s="61" t="str">
        <f aca="false">INDEX(Prioridade!$B$5:$J$9,MATCH(H$4,Prioridade!$A$5:$A$9,0),MATCH($B71,Prioridade!$B$4:$J$4,0))</f>
        <v>Média</v>
      </c>
      <c r="I71" s="61" t="str">
        <f aca="false">INDEX(Prioridade!$B$5:$J$9,MATCH(I$4,Prioridade!$A$5:$A$9,0),MATCH($B71,Prioridade!$B$4:$J$4,0))</f>
        <v>Média</v>
      </c>
      <c r="J71" s="61" t="str">
        <f aca="false">INDEX(Prioridade!$B$5:$J$9,MATCH(J$4,Prioridade!$A$5:$A$9,0),MATCH($B71,Prioridade!$B$4:$J$4,0))</f>
        <v>Alta</v>
      </c>
      <c r="K71" s="61" t="str">
        <f aca="false">INDEX(Prioridade!$B$5:$J$9,MATCH(K$4,Prioridade!$A$5:$A$9,0),MATCH($B71,Prioridade!$B$4:$J$4,0))</f>
        <v>Alta</v>
      </c>
      <c r="L71" s="7" t="s">
        <v>1142</v>
      </c>
    </row>
    <row r="72" customFormat="false" ht="23.85" hidden="false" customHeight="false" outlineLevel="0" collapsed="false">
      <c r="A72" s="16" t="n">
        <v>68</v>
      </c>
      <c r="B72" s="7" t="s">
        <v>98</v>
      </c>
      <c r="C72" s="7" t="s">
        <v>1155</v>
      </c>
      <c r="D72" s="7" t="s">
        <v>120</v>
      </c>
      <c r="E72" s="16" t="n">
        <v>30</v>
      </c>
      <c r="F72" s="7" t="s">
        <v>1156</v>
      </c>
      <c r="G72" s="61" t="str">
        <f aca="false">INDEX(Prioridade!$B$5:$J$9,MATCH(G$4,Prioridade!$A$5:$A$9,0),MATCH($B72,Prioridade!$B$4:$J$4,0))</f>
        <v>Alta</v>
      </c>
      <c r="H72" s="61" t="str">
        <f aca="false">INDEX(Prioridade!$B$5:$J$9,MATCH(H$4,Prioridade!$A$5:$A$9,0),MATCH($B72,Prioridade!$B$4:$J$4,0))</f>
        <v>Média</v>
      </c>
      <c r="I72" s="61" t="str">
        <f aca="false">INDEX(Prioridade!$B$5:$J$9,MATCH(I$4,Prioridade!$A$5:$A$9,0),MATCH($B72,Prioridade!$B$4:$J$4,0))</f>
        <v>Média</v>
      </c>
      <c r="J72" s="61" t="str">
        <f aca="false">INDEX(Prioridade!$B$5:$J$9,MATCH(J$4,Prioridade!$A$5:$A$9,0),MATCH($B72,Prioridade!$B$4:$J$4,0))</f>
        <v>Alta</v>
      </c>
      <c r="K72" s="61" t="str">
        <f aca="false">INDEX(Prioridade!$B$5:$J$9,MATCH(K$4,Prioridade!$A$5:$A$9,0),MATCH($B72,Prioridade!$B$4:$J$4,0))</f>
        <v>Alta</v>
      </c>
      <c r="L72" s="7" t="s">
        <v>1100</v>
      </c>
    </row>
    <row r="73" customFormat="false" ht="15" hidden="false" customHeight="false" outlineLevel="0" collapsed="false">
      <c r="A73" s="16" t="n">
        <v>69</v>
      </c>
      <c r="B73" s="7" t="s">
        <v>104</v>
      </c>
      <c r="C73" s="7" t="s">
        <v>1157</v>
      </c>
      <c r="D73" s="7" t="s">
        <v>119</v>
      </c>
      <c r="E73" s="16" t="n">
        <v>8</v>
      </c>
      <c r="F73" s="7" t="s">
        <v>1158</v>
      </c>
      <c r="G73" s="61" t="str">
        <f aca="false">INDEX(Prioridade!$B$5:$J$9,MATCH(G$4,Prioridade!$A$5:$A$9,0),MATCH($B73,Prioridade!$B$4:$J$4,0))</f>
        <v>Média</v>
      </c>
      <c r="H73" s="61" t="str">
        <f aca="false">INDEX(Prioridade!$B$5:$J$9,MATCH(H$4,Prioridade!$A$5:$A$9,0),MATCH($B73,Prioridade!$B$4:$J$4,0))</f>
        <v>Média</v>
      </c>
      <c r="I73" s="61" t="str">
        <f aca="false">INDEX(Prioridade!$B$5:$J$9,MATCH(I$4,Prioridade!$A$5:$A$9,0),MATCH($B73,Prioridade!$B$4:$J$4,0))</f>
        <v>Alta</v>
      </c>
      <c r="J73" s="61" t="str">
        <f aca="false">INDEX(Prioridade!$B$5:$J$9,MATCH(J$4,Prioridade!$A$5:$A$9,0),MATCH($B73,Prioridade!$B$4:$J$4,0))</f>
        <v>Alta</v>
      </c>
      <c r="K73" s="61" t="str">
        <f aca="false">INDEX(Prioridade!$B$5:$J$9,MATCH(K$4,Prioridade!$A$5:$A$9,0),MATCH($B73,Prioridade!$B$4:$J$4,0))</f>
        <v>Alta</v>
      </c>
      <c r="L73" s="7" t="s">
        <v>1025</v>
      </c>
    </row>
    <row r="74" customFormat="false" ht="15" hidden="false" customHeight="false" outlineLevel="0" collapsed="false">
      <c r="A74" s="16" t="n">
        <v>70</v>
      </c>
      <c r="B74" s="7" t="s">
        <v>104</v>
      </c>
      <c r="C74" s="7" t="s">
        <v>1159</v>
      </c>
      <c r="D74" s="7" t="s">
        <v>119</v>
      </c>
      <c r="E74" s="16" t="n">
        <v>4</v>
      </c>
      <c r="F74" s="7" t="s">
        <v>1160</v>
      </c>
      <c r="G74" s="61" t="str">
        <f aca="false">INDEX(Prioridade!$B$5:$J$9,MATCH(G$4,Prioridade!$A$5:$A$9,0),MATCH($B74,Prioridade!$B$4:$J$4,0))</f>
        <v>Média</v>
      </c>
      <c r="H74" s="61" t="str">
        <f aca="false">INDEX(Prioridade!$B$5:$J$9,MATCH(H$4,Prioridade!$A$5:$A$9,0),MATCH($B74,Prioridade!$B$4:$J$4,0))</f>
        <v>Média</v>
      </c>
      <c r="I74" s="61" t="str">
        <f aca="false">INDEX(Prioridade!$B$5:$J$9,MATCH(I$4,Prioridade!$A$5:$A$9,0),MATCH($B74,Prioridade!$B$4:$J$4,0))</f>
        <v>Alta</v>
      </c>
      <c r="J74" s="61" t="str">
        <f aca="false">INDEX(Prioridade!$B$5:$J$9,MATCH(J$4,Prioridade!$A$5:$A$9,0),MATCH($B74,Prioridade!$B$4:$J$4,0))</f>
        <v>Alta</v>
      </c>
      <c r="K74" s="61" t="str">
        <f aca="false">INDEX(Prioridade!$B$5:$J$9,MATCH(K$4,Prioridade!$A$5:$A$9,0),MATCH($B74,Prioridade!$B$4:$J$4,0))</f>
        <v>Alta</v>
      </c>
      <c r="L74" s="7" t="s">
        <v>1025</v>
      </c>
    </row>
    <row r="75" customFormat="false" ht="15" hidden="false" customHeight="false" outlineLevel="0" collapsed="false">
      <c r="A75" s="16" t="n">
        <v>71</v>
      </c>
      <c r="B75" s="7" t="s">
        <v>104</v>
      </c>
      <c r="C75" s="7" t="s">
        <v>1161</v>
      </c>
      <c r="D75" s="7" t="s">
        <v>119</v>
      </c>
      <c r="E75" s="16" t="n">
        <v>4</v>
      </c>
      <c r="F75" s="7" t="s">
        <v>1162</v>
      </c>
      <c r="G75" s="61" t="str">
        <f aca="false">INDEX(Prioridade!$B$5:$J$9,MATCH(G$4,Prioridade!$A$5:$A$9,0),MATCH($B75,Prioridade!$B$4:$J$4,0))</f>
        <v>Média</v>
      </c>
      <c r="H75" s="61" t="str">
        <f aca="false">INDEX(Prioridade!$B$5:$J$9,MATCH(H$4,Prioridade!$A$5:$A$9,0),MATCH($B75,Prioridade!$B$4:$J$4,0))</f>
        <v>Média</v>
      </c>
      <c r="I75" s="61" t="str">
        <f aca="false">INDEX(Prioridade!$B$5:$J$9,MATCH(I$4,Prioridade!$A$5:$A$9,0),MATCH($B75,Prioridade!$B$4:$J$4,0))</f>
        <v>Alta</v>
      </c>
      <c r="J75" s="61" t="str">
        <f aca="false">INDEX(Prioridade!$B$5:$J$9,MATCH(J$4,Prioridade!$A$5:$A$9,0),MATCH($B75,Prioridade!$B$4:$J$4,0))</f>
        <v>Alta</v>
      </c>
      <c r="K75" s="61" t="str">
        <f aca="false">INDEX(Prioridade!$B$5:$J$9,MATCH(K$4,Prioridade!$A$5:$A$9,0),MATCH($B75,Prioridade!$B$4:$J$4,0))</f>
        <v>Alta</v>
      </c>
      <c r="L75" s="7" t="s">
        <v>1025</v>
      </c>
    </row>
    <row r="76" customFormat="false" ht="15" hidden="false" customHeight="false" outlineLevel="0" collapsed="false">
      <c r="A76" s="16" t="n">
        <v>72</v>
      </c>
      <c r="B76" s="7" t="s">
        <v>104</v>
      </c>
      <c r="C76" s="7" t="s">
        <v>1163</v>
      </c>
      <c r="D76" s="7" t="s">
        <v>119</v>
      </c>
      <c r="E76" s="16" t="n">
        <v>5</v>
      </c>
      <c r="F76" s="7" t="s">
        <v>1164</v>
      </c>
      <c r="G76" s="61" t="str">
        <f aca="false">INDEX(Prioridade!$B$5:$J$9,MATCH(G$4,Prioridade!$A$5:$A$9,0),MATCH($B76,Prioridade!$B$4:$J$4,0))</f>
        <v>Média</v>
      </c>
      <c r="H76" s="61" t="str">
        <f aca="false">INDEX(Prioridade!$B$5:$J$9,MATCH(H$4,Prioridade!$A$5:$A$9,0),MATCH($B76,Prioridade!$B$4:$J$4,0))</f>
        <v>Média</v>
      </c>
      <c r="I76" s="61" t="str">
        <f aca="false">INDEX(Prioridade!$B$5:$J$9,MATCH(I$4,Prioridade!$A$5:$A$9,0),MATCH($B76,Prioridade!$B$4:$J$4,0))</f>
        <v>Alta</v>
      </c>
      <c r="J76" s="61" t="str">
        <f aca="false">INDEX(Prioridade!$B$5:$J$9,MATCH(J$4,Prioridade!$A$5:$A$9,0),MATCH($B76,Prioridade!$B$4:$J$4,0))</f>
        <v>Alta</v>
      </c>
      <c r="K76" s="61" t="str">
        <f aca="false">INDEX(Prioridade!$B$5:$J$9,MATCH(K$4,Prioridade!$A$5:$A$9,0),MATCH($B76,Prioridade!$B$4:$J$4,0))</f>
        <v>Alta</v>
      </c>
      <c r="L76" s="7" t="s">
        <v>1025</v>
      </c>
    </row>
    <row r="77" customFormat="false" ht="15" hidden="false" customHeight="false" outlineLevel="0" collapsed="false">
      <c r="A77" s="16" t="n">
        <v>73</v>
      </c>
      <c r="B77" s="7" t="s">
        <v>104</v>
      </c>
      <c r="C77" s="7" t="s">
        <v>1165</v>
      </c>
      <c r="D77" s="7" t="s">
        <v>119</v>
      </c>
      <c r="E77" s="16" t="n">
        <v>8</v>
      </c>
      <c r="F77" s="7" t="s">
        <v>1166</v>
      </c>
      <c r="G77" s="61" t="str">
        <f aca="false">INDEX(Prioridade!$B$5:$J$9,MATCH(G$4,Prioridade!$A$5:$A$9,0),MATCH($B77,Prioridade!$B$4:$J$4,0))</f>
        <v>Média</v>
      </c>
      <c r="H77" s="61" t="str">
        <f aca="false">INDEX(Prioridade!$B$5:$J$9,MATCH(H$4,Prioridade!$A$5:$A$9,0),MATCH($B77,Prioridade!$B$4:$J$4,0))</f>
        <v>Média</v>
      </c>
      <c r="I77" s="61" t="str">
        <f aca="false">INDEX(Prioridade!$B$5:$J$9,MATCH(I$4,Prioridade!$A$5:$A$9,0),MATCH($B77,Prioridade!$B$4:$J$4,0))</f>
        <v>Alta</v>
      </c>
      <c r="J77" s="61" t="str">
        <f aca="false">INDEX(Prioridade!$B$5:$J$9,MATCH(J$4,Prioridade!$A$5:$A$9,0),MATCH($B77,Prioridade!$B$4:$J$4,0))</f>
        <v>Alta</v>
      </c>
      <c r="K77" s="61" t="str">
        <f aca="false">INDEX(Prioridade!$B$5:$J$9,MATCH(K$4,Prioridade!$A$5:$A$9,0),MATCH($B77,Prioridade!$B$4:$J$4,0))</f>
        <v>Alta</v>
      </c>
      <c r="L77" s="7" t="s">
        <v>1025</v>
      </c>
    </row>
    <row r="78" customFormat="false" ht="15" hidden="false" customHeight="false" outlineLevel="0" collapsed="false">
      <c r="A78" s="16" t="n">
        <v>74</v>
      </c>
      <c r="B78" s="7" t="s">
        <v>104</v>
      </c>
      <c r="C78" s="7" t="s">
        <v>1167</v>
      </c>
      <c r="D78" s="7" t="s">
        <v>119</v>
      </c>
      <c r="E78" s="16" t="n">
        <v>3</v>
      </c>
      <c r="F78" s="7" t="s">
        <v>1168</v>
      </c>
      <c r="G78" s="61" t="str">
        <f aca="false">INDEX(Prioridade!$B$5:$J$9,MATCH(G$4,Prioridade!$A$5:$A$9,0),MATCH($B78,Prioridade!$B$4:$J$4,0))</f>
        <v>Média</v>
      </c>
      <c r="H78" s="61" t="str">
        <f aca="false">INDEX(Prioridade!$B$5:$J$9,MATCH(H$4,Prioridade!$A$5:$A$9,0),MATCH($B78,Prioridade!$B$4:$J$4,0))</f>
        <v>Média</v>
      </c>
      <c r="I78" s="61" t="str">
        <f aca="false">INDEX(Prioridade!$B$5:$J$9,MATCH(I$4,Prioridade!$A$5:$A$9,0),MATCH($B78,Prioridade!$B$4:$J$4,0))</f>
        <v>Alta</v>
      </c>
      <c r="J78" s="61" t="str">
        <f aca="false">INDEX(Prioridade!$B$5:$J$9,MATCH(J$4,Prioridade!$A$5:$A$9,0),MATCH($B78,Prioridade!$B$4:$J$4,0))</f>
        <v>Alta</v>
      </c>
      <c r="K78" s="61" t="str">
        <f aca="false">INDEX(Prioridade!$B$5:$J$9,MATCH(K$4,Prioridade!$A$5:$A$9,0),MATCH($B78,Prioridade!$B$4:$J$4,0))</f>
        <v>Alta</v>
      </c>
      <c r="L78" s="7" t="s">
        <v>1025</v>
      </c>
    </row>
    <row r="79" customFormat="false" ht="23.85" hidden="false" customHeight="false" outlineLevel="0" collapsed="false">
      <c r="A79" s="16" t="n">
        <v>75</v>
      </c>
      <c r="B79" s="7" t="s">
        <v>105</v>
      </c>
      <c r="C79" s="7" t="s">
        <v>1169</v>
      </c>
      <c r="D79" s="7" t="s">
        <v>121</v>
      </c>
      <c r="E79" s="16" t="s">
        <v>1144</v>
      </c>
      <c r="F79" s="7" t="s">
        <v>1170</v>
      </c>
      <c r="G79" s="61" t="str">
        <f aca="false">INDEX(Prioridade!$B$5:$J$9,MATCH(G$4,Prioridade!$A$5:$A$9,0),MATCH($B79,Prioridade!$B$4:$J$4,0))</f>
        <v>Média</v>
      </c>
      <c r="H79" s="61" t="str">
        <f aca="false">INDEX(Prioridade!$B$5:$J$9,MATCH(H$4,Prioridade!$A$5:$A$9,0),MATCH($B79,Prioridade!$B$4:$J$4,0))</f>
        <v>Média</v>
      </c>
      <c r="I79" s="61" t="str">
        <f aca="false">INDEX(Prioridade!$B$5:$J$9,MATCH(I$4,Prioridade!$A$5:$A$9,0),MATCH($B79,Prioridade!$B$4:$J$4,0))</f>
        <v>Média</v>
      </c>
      <c r="J79" s="61" t="str">
        <f aca="false">INDEX(Prioridade!$B$5:$J$9,MATCH(J$4,Prioridade!$A$5:$A$9,0),MATCH($B79,Prioridade!$B$4:$J$4,0))</f>
        <v>Média</v>
      </c>
      <c r="K79" s="61" t="str">
        <f aca="false">INDEX(Prioridade!$B$5:$J$9,MATCH(K$4,Prioridade!$A$5:$A$9,0),MATCH($B79,Prioridade!$B$4:$J$4,0))</f>
        <v>Média</v>
      </c>
      <c r="L79" s="7" t="s">
        <v>1142</v>
      </c>
    </row>
    <row r="80" customFormat="false" ht="23.85" hidden="false" customHeight="false" outlineLevel="0" collapsed="false">
      <c r="A80" s="16" t="n">
        <v>76</v>
      </c>
      <c r="B80" s="7" t="s">
        <v>105</v>
      </c>
      <c r="C80" s="7" t="s">
        <v>1171</v>
      </c>
      <c r="D80" s="7" t="s">
        <v>121</v>
      </c>
      <c r="E80" s="16" t="s">
        <v>1144</v>
      </c>
      <c r="F80" s="7" t="s">
        <v>1172</v>
      </c>
      <c r="G80" s="61" t="str">
        <f aca="false">INDEX(Prioridade!$B$5:$J$9,MATCH(G$4,Prioridade!$A$5:$A$9,0),MATCH($B80,Prioridade!$B$4:$J$4,0))</f>
        <v>Média</v>
      </c>
      <c r="H80" s="61" t="str">
        <f aca="false">INDEX(Prioridade!$B$5:$J$9,MATCH(H$4,Prioridade!$A$5:$A$9,0),MATCH($B80,Prioridade!$B$4:$J$4,0))</f>
        <v>Média</v>
      </c>
      <c r="I80" s="61" t="str">
        <f aca="false">INDEX(Prioridade!$B$5:$J$9,MATCH(I$4,Prioridade!$A$5:$A$9,0),MATCH($B80,Prioridade!$B$4:$J$4,0))</f>
        <v>Média</v>
      </c>
      <c r="J80" s="61" t="str">
        <f aca="false">INDEX(Prioridade!$B$5:$J$9,MATCH(J$4,Prioridade!$A$5:$A$9,0),MATCH($B80,Prioridade!$B$4:$J$4,0))</f>
        <v>Média</v>
      </c>
      <c r="K80" s="61" t="str">
        <f aca="false">INDEX(Prioridade!$B$5:$J$9,MATCH(K$4,Prioridade!$A$5:$A$9,0),MATCH($B80,Prioridade!$B$4:$J$4,0))</f>
        <v>Média</v>
      </c>
      <c r="L80" s="7" t="s">
        <v>1142</v>
      </c>
    </row>
    <row r="81" customFormat="false" ht="23.85" hidden="false" customHeight="false" outlineLevel="0" collapsed="false">
      <c r="A81" s="16" t="n">
        <v>77</v>
      </c>
      <c r="B81" s="7" t="s">
        <v>105</v>
      </c>
      <c r="C81" s="7" t="s">
        <v>1173</v>
      </c>
      <c r="D81" s="7" t="s">
        <v>121</v>
      </c>
      <c r="E81" s="16" t="s">
        <v>1144</v>
      </c>
      <c r="F81" s="7" t="s">
        <v>1174</v>
      </c>
      <c r="G81" s="61" t="str">
        <f aca="false">INDEX(Prioridade!$B$5:$J$9,MATCH(G$4,Prioridade!$A$5:$A$9,0),MATCH($B81,Prioridade!$B$4:$J$4,0))</f>
        <v>Média</v>
      </c>
      <c r="H81" s="61" t="str">
        <f aca="false">INDEX(Prioridade!$B$5:$J$9,MATCH(H$4,Prioridade!$A$5:$A$9,0),MATCH($B81,Prioridade!$B$4:$J$4,0))</f>
        <v>Média</v>
      </c>
      <c r="I81" s="61" t="str">
        <f aca="false">INDEX(Prioridade!$B$5:$J$9,MATCH(I$4,Prioridade!$A$5:$A$9,0),MATCH($B81,Prioridade!$B$4:$J$4,0))</f>
        <v>Média</v>
      </c>
      <c r="J81" s="61" t="str">
        <f aca="false">INDEX(Prioridade!$B$5:$J$9,MATCH(J$4,Prioridade!$A$5:$A$9,0),MATCH($B81,Prioridade!$B$4:$J$4,0))</f>
        <v>Média</v>
      </c>
      <c r="K81" s="61" t="str">
        <f aca="false">INDEX(Prioridade!$B$5:$J$9,MATCH(K$4,Prioridade!$A$5:$A$9,0),MATCH($B81,Prioridade!$B$4:$J$4,0))</f>
        <v>Média</v>
      </c>
      <c r="L81" s="7" t="s">
        <v>1142</v>
      </c>
    </row>
    <row r="82" customFormat="false" ht="23.85" hidden="false" customHeight="false" outlineLevel="0" collapsed="false">
      <c r="A82" s="16" t="n">
        <v>78</v>
      </c>
      <c r="B82" s="7" t="s">
        <v>105</v>
      </c>
      <c r="C82" s="7" t="s">
        <v>1175</v>
      </c>
      <c r="D82" s="7" t="s">
        <v>120</v>
      </c>
      <c r="E82" s="16" t="n">
        <v>40</v>
      </c>
      <c r="F82" s="7" t="s">
        <v>1176</v>
      </c>
      <c r="G82" s="61" t="str">
        <f aca="false">INDEX(Prioridade!$B$5:$J$9,MATCH(G$4,Prioridade!$A$5:$A$9,0),MATCH($B82,Prioridade!$B$4:$J$4,0))</f>
        <v>Média</v>
      </c>
      <c r="H82" s="61" t="str">
        <f aca="false">INDEX(Prioridade!$B$5:$J$9,MATCH(H$4,Prioridade!$A$5:$A$9,0),MATCH($B82,Prioridade!$B$4:$J$4,0))</f>
        <v>Média</v>
      </c>
      <c r="I82" s="61" t="str">
        <f aca="false">INDEX(Prioridade!$B$5:$J$9,MATCH(I$4,Prioridade!$A$5:$A$9,0),MATCH($B82,Prioridade!$B$4:$J$4,0))</f>
        <v>Média</v>
      </c>
      <c r="J82" s="61" t="str">
        <f aca="false">INDEX(Prioridade!$B$5:$J$9,MATCH(J$4,Prioridade!$A$5:$A$9,0),MATCH($B82,Prioridade!$B$4:$J$4,0))</f>
        <v>Média</v>
      </c>
      <c r="K82" s="61" t="str">
        <f aca="false">INDEX(Prioridade!$B$5:$J$9,MATCH(K$4,Prioridade!$A$5:$A$9,0),MATCH($B82,Prioridade!$B$4:$J$4,0))</f>
        <v>Média</v>
      </c>
      <c r="L82" s="7" t="s">
        <v>1100</v>
      </c>
    </row>
    <row r="83" customFormat="false" ht="23.85" hidden="false" customHeight="false" outlineLevel="0" collapsed="false">
      <c r="A83" s="16" t="n">
        <v>79</v>
      </c>
      <c r="B83" s="7" t="s">
        <v>105</v>
      </c>
      <c r="C83" s="7" t="s">
        <v>1177</v>
      </c>
      <c r="D83" s="7" t="s">
        <v>120</v>
      </c>
      <c r="E83" s="16" t="n">
        <v>8</v>
      </c>
      <c r="F83" s="7" t="s">
        <v>1178</v>
      </c>
      <c r="G83" s="61" t="str">
        <f aca="false">INDEX(Prioridade!$B$5:$J$9,MATCH(G$4,Prioridade!$A$5:$A$9,0),MATCH($B83,Prioridade!$B$4:$J$4,0))</f>
        <v>Média</v>
      </c>
      <c r="H83" s="61" t="str">
        <f aca="false">INDEX(Prioridade!$B$5:$J$9,MATCH(H$4,Prioridade!$A$5:$A$9,0),MATCH($B83,Prioridade!$B$4:$J$4,0))</f>
        <v>Média</v>
      </c>
      <c r="I83" s="61" t="str">
        <f aca="false">INDEX(Prioridade!$B$5:$J$9,MATCH(I$4,Prioridade!$A$5:$A$9,0),MATCH($B83,Prioridade!$B$4:$J$4,0))</f>
        <v>Média</v>
      </c>
      <c r="J83" s="61" t="str">
        <f aca="false">INDEX(Prioridade!$B$5:$J$9,MATCH(J$4,Prioridade!$A$5:$A$9,0),MATCH($B83,Prioridade!$B$4:$J$4,0))</f>
        <v>Média</v>
      </c>
      <c r="K83" s="61" t="str">
        <f aca="false">INDEX(Prioridade!$B$5:$J$9,MATCH(K$4,Prioridade!$A$5:$A$9,0),MATCH($B83,Prioridade!$B$4:$J$4,0))</f>
        <v>Média</v>
      </c>
      <c r="L83" s="7" t="s">
        <v>1100</v>
      </c>
    </row>
    <row r="84" customFormat="false" ht="15" hidden="false" customHeight="false" outlineLevel="0" collapsed="false">
      <c r="A84" s="16" t="n">
        <v>80</v>
      </c>
      <c r="B84" s="7" t="s">
        <v>105</v>
      </c>
      <c r="C84" s="7" t="s">
        <v>1179</v>
      </c>
      <c r="D84" s="7" t="s">
        <v>119</v>
      </c>
      <c r="E84" s="16" t="n">
        <v>6</v>
      </c>
      <c r="F84" s="7" t="s">
        <v>1180</v>
      </c>
      <c r="G84" s="61" t="str">
        <f aca="false">INDEX(Prioridade!$B$5:$J$9,MATCH(G$4,Prioridade!$A$5:$A$9,0),MATCH($B84,Prioridade!$B$4:$J$4,0))</f>
        <v>Média</v>
      </c>
      <c r="H84" s="61" t="str">
        <f aca="false">INDEX(Prioridade!$B$5:$J$9,MATCH(H$4,Prioridade!$A$5:$A$9,0),MATCH($B84,Prioridade!$B$4:$J$4,0))</f>
        <v>Média</v>
      </c>
      <c r="I84" s="61" t="str">
        <f aca="false">INDEX(Prioridade!$B$5:$J$9,MATCH(I$4,Prioridade!$A$5:$A$9,0),MATCH($B84,Prioridade!$B$4:$J$4,0))</f>
        <v>Média</v>
      </c>
      <c r="J84" s="61" t="str">
        <f aca="false">INDEX(Prioridade!$B$5:$J$9,MATCH(J$4,Prioridade!$A$5:$A$9,0),MATCH($B84,Prioridade!$B$4:$J$4,0))</f>
        <v>Média</v>
      </c>
      <c r="K84" s="61" t="str">
        <f aca="false">INDEX(Prioridade!$B$5:$J$9,MATCH(K$4,Prioridade!$A$5:$A$9,0),MATCH($B84,Prioridade!$B$4:$J$4,0))</f>
        <v>Média</v>
      </c>
      <c r="L84" s="7" t="s">
        <v>1025</v>
      </c>
    </row>
    <row r="85" customFormat="false" ht="15" hidden="false" customHeight="false" outlineLevel="0" collapsed="false">
      <c r="A85" s="16" t="n">
        <v>81</v>
      </c>
      <c r="B85" s="7" t="s">
        <v>105</v>
      </c>
      <c r="C85" s="7" t="s">
        <v>1181</v>
      </c>
      <c r="D85" s="7" t="s">
        <v>119</v>
      </c>
      <c r="E85" s="16" t="n">
        <v>4</v>
      </c>
      <c r="F85" s="7" t="s">
        <v>1182</v>
      </c>
      <c r="G85" s="61" t="str">
        <f aca="false">INDEX(Prioridade!$B$5:$J$9,MATCH(G$4,Prioridade!$A$5:$A$9,0),MATCH($B85,Prioridade!$B$4:$J$4,0))</f>
        <v>Média</v>
      </c>
      <c r="H85" s="61" t="str">
        <f aca="false">INDEX(Prioridade!$B$5:$J$9,MATCH(H$4,Prioridade!$A$5:$A$9,0),MATCH($B85,Prioridade!$B$4:$J$4,0))</f>
        <v>Média</v>
      </c>
      <c r="I85" s="61" t="str">
        <f aca="false">INDEX(Prioridade!$B$5:$J$9,MATCH(I$4,Prioridade!$A$5:$A$9,0),MATCH($B85,Prioridade!$B$4:$J$4,0))</f>
        <v>Média</v>
      </c>
      <c r="J85" s="61" t="str">
        <f aca="false">INDEX(Prioridade!$B$5:$J$9,MATCH(J$4,Prioridade!$A$5:$A$9,0),MATCH($B85,Prioridade!$B$4:$J$4,0))</f>
        <v>Média</v>
      </c>
      <c r="K85" s="61" t="str">
        <f aca="false">INDEX(Prioridade!$B$5:$J$9,MATCH(K$4,Prioridade!$A$5:$A$9,0),MATCH($B85,Prioridade!$B$4:$J$4,0))</f>
        <v>Média</v>
      </c>
      <c r="L85" s="7" t="s">
        <v>1025</v>
      </c>
    </row>
    <row r="86" customFormat="false" ht="15" hidden="false" customHeight="false" outlineLevel="0" collapsed="false">
      <c r="A86" s="16" t="n">
        <v>82</v>
      </c>
      <c r="B86" s="7" t="s">
        <v>99</v>
      </c>
      <c r="C86" s="7" t="s">
        <v>1183</v>
      </c>
      <c r="D86" s="7" t="s">
        <v>119</v>
      </c>
      <c r="E86" s="16" t="n">
        <v>5</v>
      </c>
      <c r="F86" s="7" t="s">
        <v>1184</v>
      </c>
      <c r="G86" s="61" t="str">
        <f aca="false">INDEX(Prioridade!$B$5:$J$9,MATCH(G$4,Prioridade!$A$5:$A$9,0),MATCH($B86,Prioridade!$B$4:$J$4,0))</f>
        <v>Média</v>
      </c>
      <c r="H86" s="61" t="str">
        <f aca="false">INDEX(Prioridade!$B$5:$J$9,MATCH(H$4,Prioridade!$A$5:$A$9,0),MATCH($B86,Prioridade!$B$4:$J$4,0))</f>
        <v>Alta</v>
      </c>
      <c r="I86" s="61" t="str">
        <f aca="false">INDEX(Prioridade!$B$5:$J$9,MATCH(I$4,Prioridade!$A$5:$A$9,0),MATCH($B86,Prioridade!$B$4:$J$4,0))</f>
        <v>Alta</v>
      </c>
      <c r="J86" s="61" t="str">
        <f aca="false">INDEX(Prioridade!$B$5:$J$9,MATCH(J$4,Prioridade!$A$5:$A$9,0),MATCH($B86,Prioridade!$B$4:$J$4,0))</f>
        <v>Média</v>
      </c>
      <c r="K86" s="61" t="str">
        <f aca="false">INDEX(Prioridade!$B$5:$J$9,MATCH(K$4,Prioridade!$A$5:$A$9,0),MATCH($B86,Prioridade!$B$4:$J$4,0))</f>
        <v>Alta</v>
      </c>
      <c r="L86" s="7" t="s">
        <v>1025</v>
      </c>
    </row>
    <row r="87" customFormat="false" ht="15" hidden="false" customHeight="false" outlineLevel="0" collapsed="false">
      <c r="A87" s="16" t="n">
        <v>83</v>
      </c>
      <c r="B87" s="7" t="s">
        <v>99</v>
      </c>
      <c r="C87" s="7" t="s">
        <v>1185</v>
      </c>
      <c r="D87" s="7" t="s">
        <v>119</v>
      </c>
      <c r="E87" s="16" t="n">
        <v>8</v>
      </c>
      <c r="F87" s="7" t="s">
        <v>1186</v>
      </c>
      <c r="G87" s="61" t="str">
        <f aca="false">INDEX(Prioridade!$B$5:$J$9,MATCH(G$4,Prioridade!$A$5:$A$9,0),MATCH($B87,Prioridade!$B$4:$J$4,0))</f>
        <v>Média</v>
      </c>
      <c r="H87" s="61" t="str">
        <f aca="false">INDEX(Prioridade!$B$5:$J$9,MATCH(H$4,Prioridade!$A$5:$A$9,0),MATCH($B87,Prioridade!$B$4:$J$4,0))</f>
        <v>Alta</v>
      </c>
      <c r="I87" s="61" t="str">
        <f aca="false">INDEX(Prioridade!$B$5:$J$9,MATCH(I$4,Prioridade!$A$5:$A$9,0),MATCH($B87,Prioridade!$B$4:$J$4,0))</f>
        <v>Alta</v>
      </c>
      <c r="J87" s="61" t="str">
        <f aca="false">INDEX(Prioridade!$B$5:$J$9,MATCH(J$4,Prioridade!$A$5:$A$9,0),MATCH($B87,Prioridade!$B$4:$J$4,0))</f>
        <v>Média</v>
      </c>
      <c r="K87" s="61" t="str">
        <f aca="false">INDEX(Prioridade!$B$5:$J$9,MATCH(K$4,Prioridade!$A$5:$A$9,0),MATCH($B87,Prioridade!$B$4:$J$4,0))</f>
        <v>Alta</v>
      </c>
      <c r="L87" s="7" t="s">
        <v>1025</v>
      </c>
    </row>
    <row r="88" customFormat="false" ht="15" hidden="false" customHeight="false" outlineLevel="0" collapsed="false">
      <c r="A88" s="16" t="n">
        <v>84</v>
      </c>
      <c r="B88" s="7" t="s">
        <v>99</v>
      </c>
      <c r="C88" s="7" t="s">
        <v>1187</v>
      </c>
      <c r="D88" s="7" t="s">
        <v>119</v>
      </c>
      <c r="E88" s="16" t="n">
        <v>5</v>
      </c>
      <c r="F88" s="7" t="s">
        <v>1188</v>
      </c>
      <c r="G88" s="61" t="str">
        <f aca="false">INDEX(Prioridade!$B$5:$J$9,MATCH(G$4,Prioridade!$A$5:$A$9,0),MATCH($B88,Prioridade!$B$4:$J$4,0))</f>
        <v>Média</v>
      </c>
      <c r="H88" s="61" t="str">
        <f aca="false">INDEX(Prioridade!$B$5:$J$9,MATCH(H$4,Prioridade!$A$5:$A$9,0),MATCH($B88,Prioridade!$B$4:$J$4,0))</f>
        <v>Alta</v>
      </c>
      <c r="I88" s="61" t="str">
        <f aca="false">INDEX(Prioridade!$B$5:$J$9,MATCH(I$4,Prioridade!$A$5:$A$9,0),MATCH($B88,Prioridade!$B$4:$J$4,0))</f>
        <v>Alta</v>
      </c>
      <c r="J88" s="61" t="str">
        <f aca="false">INDEX(Prioridade!$B$5:$J$9,MATCH(J$4,Prioridade!$A$5:$A$9,0),MATCH($B88,Prioridade!$B$4:$J$4,0))</f>
        <v>Média</v>
      </c>
      <c r="K88" s="61" t="str">
        <f aca="false">INDEX(Prioridade!$B$5:$J$9,MATCH(K$4,Prioridade!$A$5:$A$9,0),MATCH($B88,Prioridade!$B$4:$J$4,0))</f>
        <v>Alta</v>
      </c>
      <c r="L88" s="7" t="s">
        <v>1025</v>
      </c>
    </row>
    <row r="89" customFormat="false" ht="15" hidden="false" customHeight="false" outlineLevel="0" collapsed="false">
      <c r="A89" s="16" t="n">
        <v>85</v>
      </c>
      <c r="B89" s="7" t="s">
        <v>99</v>
      </c>
      <c r="C89" s="7" t="s">
        <v>1189</v>
      </c>
      <c r="D89" s="7" t="s">
        <v>119</v>
      </c>
      <c r="E89" s="16" t="n">
        <v>4</v>
      </c>
      <c r="F89" s="7" t="s">
        <v>1190</v>
      </c>
      <c r="G89" s="61" t="str">
        <f aca="false">INDEX(Prioridade!$B$5:$J$9,MATCH(G$4,Prioridade!$A$5:$A$9,0),MATCH($B89,Prioridade!$B$4:$J$4,0))</f>
        <v>Média</v>
      </c>
      <c r="H89" s="61" t="str">
        <f aca="false">INDEX(Prioridade!$B$5:$J$9,MATCH(H$4,Prioridade!$A$5:$A$9,0),MATCH($B89,Prioridade!$B$4:$J$4,0))</f>
        <v>Alta</v>
      </c>
      <c r="I89" s="61" t="str">
        <f aca="false">INDEX(Prioridade!$B$5:$J$9,MATCH(I$4,Prioridade!$A$5:$A$9,0),MATCH($B89,Prioridade!$B$4:$J$4,0))</f>
        <v>Alta</v>
      </c>
      <c r="J89" s="61" t="str">
        <f aca="false">INDEX(Prioridade!$B$5:$J$9,MATCH(J$4,Prioridade!$A$5:$A$9,0),MATCH($B89,Prioridade!$B$4:$J$4,0))</f>
        <v>Média</v>
      </c>
      <c r="K89" s="61" t="str">
        <f aca="false">INDEX(Prioridade!$B$5:$J$9,MATCH(K$4,Prioridade!$A$5:$A$9,0),MATCH($B89,Prioridade!$B$4:$J$4,0))</f>
        <v>Alta</v>
      </c>
      <c r="L89" s="7" t="s">
        <v>1025</v>
      </c>
    </row>
    <row r="90" customFormat="false" ht="23.85" hidden="false" customHeight="false" outlineLevel="0" collapsed="false">
      <c r="A90" s="16" t="n">
        <v>86</v>
      </c>
      <c r="B90" s="7" t="s">
        <v>99</v>
      </c>
      <c r="C90" s="7" t="s">
        <v>1191</v>
      </c>
      <c r="D90" s="7" t="s">
        <v>120</v>
      </c>
      <c r="E90" s="16" t="n">
        <v>12</v>
      </c>
      <c r="F90" s="7" t="s">
        <v>1192</v>
      </c>
      <c r="G90" s="61" t="str">
        <f aca="false">INDEX(Prioridade!$B$5:$J$9,MATCH(G$4,Prioridade!$A$5:$A$9,0),MATCH($B90,Prioridade!$B$4:$J$4,0))</f>
        <v>Média</v>
      </c>
      <c r="H90" s="61" t="str">
        <f aca="false">INDEX(Prioridade!$B$5:$J$9,MATCH(H$4,Prioridade!$A$5:$A$9,0),MATCH($B90,Prioridade!$B$4:$J$4,0))</f>
        <v>Alta</v>
      </c>
      <c r="I90" s="61" t="str">
        <f aca="false">INDEX(Prioridade!$B$5:$J$9,MATCH(I$4,Prioridade!$A$5:$A$9,0),MATCH($B90,Prioridade!$B$4:$J$4,0))</f>
        <v>Alta</v>
      </c>
      <c r="J90" s="61" t="str">
        <f aca="false">INDEX(Prioridade!$B$5:$J$9,MATCH(J$4,Prioridade!$A$5:$A$9,0),MATCH($B90,Prioridade!$B$4:$J$4,0))</f>
        <v>Média</v>
      </c>
      <c r="K90" s="61" t="str">
        <f aca="false">INDEX(Prioridade!$B$5:$J$9,MATCH(K$4,Prioridade!$A$5:$A$9,0),MATCH($B90,Prioridade!$B$4:$J$4,0))</f>
        <v>Alta</v>
      </c>
      <c r="L90" s="7" t="s">
        <v>1100</v>
      </c>
    </row>
    <row r="91" customFormat="false" ht="23.85" hidden="false" customHeight="false" outlineLevel="0" collapsed="false">
      <c r="A91" s="16" t="n">
        <v>87</v>
      </c>
      <c r="B91" s="7" t="s">
        <v>99</v>
      </c>
      <c r="C91" s="7" t="s">
        <v>1193</v>
      </c>
      <c r="D91" s="7" t="s">
        <v>120</v>
      </c>
      <c r="E91" s="16" t="n">
        <v>12</v>
      </c>
      <c r="F91" s="7" t="s">
        <v>1192</v>
      </c>
      <c r="G91" s="61" t="str">
        <f aca="false">INDEX(Prioridade!$B$5:$J$9,MATCH(G$4,Prioridade!$A$5:$A$9,0),MATCH($B91,Prioridade!$B$4:$J$4,0))</f>
        <v>Média</v>
      </c>
      <c r="H91" s="61" t="str">
        <f aca="false">INDEX(Prioridade!$B$5:$J$9,MATCH(H$4,Prioridade!$A$5:$A$9,0),MATCH($B91,Prioridade!$B$4:$J$4,0))</f>
        <v>Alta</v>
      </c>
      <c r="I91" s="61" t="str">
        <f aca="false">INDEX(Prioridade!$B$5:$J$9,MATCH(I$4,Prioridade!$A$5:$A$9,0),MATCH($B91,Prioridade!$B$4:$J$4,0))</f>
        <v>Alta</v>
      </c>
      <c r="J91" s="61" t="str">
        <f aca="false">INDEX(Prioridade!$B$5:$J$9,MATCH(J$4,Prioridade!$A$5:$A$9,0),MATCH($B91,Prioridade!$B$4:$J$4,0))</f>
        <v>Média</v>
      </c>
      <c r="K91" s="61" t="str">
        <f aca="false">INDEX(Prioridade!$B$5:$J$9,MATCH(K$4,Prioridade!$A$5:$A$9,0),MATCH($B91,Prioridade!$B$4:$J$4,0))</f>
        <v>Alta</v>
      </c>
      <c r="L91" s="7" t="s">
        <v>1100</v>
      </c>
    </row>
    <row r="92" customFormat="false" ht="23.85" hidden="false" customHeight="false" outlineLevel="0" collapsed="false">
      <c r="A92" s="16" t="n">
        <v>88</v>
      </c>
      <c r="B92" s="7" t="s">
        <v>99</v>
      </c>
      <c r="C92" s="7" t="s">
        <v>1194</v>
      </c>
      <c r="D92" s="7" t="s">
        <v>120</v>
      </c>
      <c r="E92" s="16" t="n">
        <v>12</v>
      </c>
      <c r="F92" s="7" t="s">
        <v>1192</v>
      </c>
      <c r="G92" s="61" t="str">
        <f aca="false">INDEX(Prioridade!$B$5:$J$9,MATCH(G$4,Prioridade!$A$5:$A$9,0),MATCH($B92,Prioridade!$B$4:$J$4,0))</f>
        <v>Média</v>
      </c>
      <c r="H92" s="61" t="str">
        <f aca="false">INDEX(Prioridade!$B$5:$J$9,MATCH(H$4,Prioridade!$A$5:$A$9,0),MATCH($B92,Prioridade!$B$4:$J$4,0))</f>
        <v>Alta</v>
      </c>
      <c r="I92" s="61" t="str">
        <f aca="false">INDEX(Prioridade!$B$5:$J$9,MATCH(I$4,Prioridade!$A$5:$A$9,0),MATCH($B92,Prioridade!$B$4:$J$4,0))</f>
        <v>Alta</v>
      </c>
      <c r="J92" s="61" t="str">
        <f aca="false">INDEX(Prioridade!$B$5:$J$9,MATCH(J$4,Prioridade!$A$5:$A$9,0),MATCH($B92,Prioridade!$B$4:$J$4,0))</f>
        <v>Média</v>
      </c>
      <c r="K92" s="61" t="str">
        <f aca="false">INDEX(Prioridade!$B$5:$J$9,MATCH(K$4,Prioridade!$A$5:$A$9,0),MATCH($B92,Prioridade!$B$4:$J$4,0))</f>
        <v>Alta</v>
      </c>
      <c r="L92" s="7" t="s">
        <v>1100</v>
      </c>
    </row>
    <row r="93" customFormat="false" ht="23.85" hidden="false" customHeight="false" outlineLevel="0" collapsed="false">
      <c r="A93" s="16" t="n">
        <v>89</v>
      </c>
      <c r="B93" s="7" t="s">
        <v>99</v>
      </c>
      <c r="C93" s="7" t="s">
        <v>1195</v>
      </c>
      <c r="D93" s="7" t="s">
        <v>121</v>
      </c>
      <c r="E93" s="16" t="s">
        <v>1144</v>
      </c>
      <c r="F93" s="7" t="s">
        <v>1196</v>
      </c>
      <c r="G93" s="61" t="str">
        <f aca="false">INDEX(Prioridade!$B$5:$J$9,MATCH(G$4,Prioridade!$A$5:$A$9,0),MATCH($B93,Prioridade!$B$4:$J$4,0))</f>
        <v>Média</v>
      </c>
      <c r="H93" s="61" t="str">
        <f aca="false">INDEX(Prioridade!$B$5:$J$9,MATCH(H$4,Prioridade!$A$5:$A$9,0),MATCH($B93,Prioridade!$B$4:$J$4,0))</f>
        <v>Alta</v>
      </c>
      <c r="I93" s="61" t="str">
        <f aca="false">INDEX(Prioridade!$B$5:$J$9,MATCH(I$4,Prioridade!$A$5:$A$9,0),MATCH($B93,Prioridade!$B$4:$J$4,0))</f>
        <v>Alta</v>
      </c>
      <c r="J93" s="61" t="str">
        <f aca="false">INDEX(Prioridade!$B$5:$J$9,MATCH(J$4,Prioridade!$A$5:$A$9,0),MATCH($B93,Prioridade!$B$4:$J$4,0))</f>
        <v>Média</v>
      </c>
      <c r="K93" s="61" t="str">
        <f aca="false">INDEX(Prioridade!$B$5:$J$9,MATCH(K$4,Prioridade!$A$5:$A$9,0),MATCH($B93,Prioridade!$B$4:$J$4,0))</f>
        <v>Alta</v>
      </c>
      <c r="L93" s="7" t="s">
        <v>1142</v>
      </c>
    </row>
    <row r="94" customFormat="false" ht="15" hidden="false" customHeight="false" outlineLevel="0" collapsed="false">
      <c r="A94" s="16" t="n">
        <v>90</v>
      </c>
      <c r="B94" s="7" t="s">
        <v>106</v>
      </c>
      <c r="C94" s="7" t="s">
        <v>1197</v>
      </c>
      <c r="D94" s="7" t="s">
        <v>119</v>
      </c>
      <c r="E94" s="16" t="n">
        <v>4</v>
      </c>
      <c r="F94" s="7" t="s">
        <v>1198</v>
      </c>
      <c r="G94" s="61" t="str">
        <f aca="false">INDEX(Prioridade!$B$5:$J$9,MATCH(G$4,Prioridade!$A$5:$A$9,0),MATCH($B94,Prioridade!$B$4:$J$4,0))</f>
        <v>Média</v>
      </c>
      <c r="H94" s="61" t="str">
        <f aca="false">INDEX(Prioridade!$B$5:$J$9,MATCH(H$4,Prioridade!$A$5:$A$9,0),MATCH($B94,Prioridade!$B$4:$J$4,0))</f>
        <v>Média</v>
      </c>
      <c r="I94" s="61" t="str">
        <f aca="false">INDEX(Prioridade!$B$5:$J$9,MATCH(I$4,Prioridade!$A$5:$A$9,0),MATCH($B94,Prioridade!$B$4:$J$4,0))</f>
        <v>Média</v>
      </c>
      <c r="J94" s="61" t="str">
        <f aca="false">INDEX(Prioridade!$B$5:$J$9,MATCH(J$4,Prioridade!$A$5:$A$9,0),MATCH($B94,Prioridade!$B$4:$J$4,0))</f>
        <v>Média</v>
      </c>
      <c r="K94" s="61" t="str">
        <f aca="false">INDEX(Prioridade!$B$5:$J$9,MATCH(K$4,Prioridade!$A$5:$A$9,0),MATCH($B94,Prioridade!$B$4:$J$4,0))</f>
        <v>Média</v>
      </c>
      <c r="L94" s="7" t="s">
        <v>1025</v>
      </c>
    </row>
    <row r="95" customFormat="false" ht="15" hidden="false" customHeight="false" outlineLevel="0" collapsed="false">
      <c r="A95" s="16" t="n">
        <v>91</v>
      </c>
      <c r="B95" s="7" t="s">
        <v>106</v>
      </c>
      <c r="C95" s="7" t="s">
        <v>1199</v>
      </c>
      <c r="D95" s="7" t="s">
        <v>119</v>
      </c>
      <c r="E95" s="16" t="n">
        <v>5</v>
      </c>
      <c r="F95" s="7" t="s">
        <v>1200</v>
      </c>
      <c r="G95" s="61" t="str">
        <f aca="false">INDEX(Prioridade!$B$5:$J$9,MATCH(G$4,Prioridade!$A$5:$A$9,0),MATCH($B95,Prioridade!$B$4:$J$4,0))</f>
        <v>Média</v>
      </c>
      <c r="H95" s="61" t="str">
        <f aca="false">INDEX(Prioridade!$B$5:$J$9,MATCH(H$4,Prioridade!$A$5:$A$9,0),MATCH($B95,Prioridade!$B$4:$J$4,0))</f>
        <v>Média</v>
      </c>
      <c r="I95" s="61" t="str">
        <f aca="false">INDEX(Prioridade!$B$5:$J$9,MATCH(I$4,Prioridade!$A$5:$A$9,0),MATCH($B95,Prioridade!$B$4:$J$4,0))</f>
        <v>Média</v>
      </c>
      <c r="J95" s="61" t="str">
        <f aca="false">INDEX(Prioridade!$B$5:$J$9,MATCH(J$4,Prioridade!$A$5:$A$9,0),MATCH($B95,Prioridade!$B$4:$J$4,0))</f>
        <v>Média</v>
      </c>
      <c r="K95" s="61" t="str">
        <f aca="false">INDEX(Prioridade!$B$5:$J$9,MATCH(K$4,Prioridade!$A$5:$A$9,0),MATCH($B95,Prioridade!$B$4:$J$4,0))</f>
        <v>Média</v>
      </c>
      <c r="L95" s="7" t="s">
        <v>1025</v>
      </c>
    </row>
    <row r="96" customFormat="false" ht="23.85" hidden="false" customHeight="false" outlineLevel="0" collapsed="false">
      <c r="A96" s="16" t="n">
        <v>92</v>
      </c>
      <c r="B96" s="7" t="s">
        <v>106</v>
      </c>
      <c r="C96" s="7" t="s">
        <v>1201</v>
      </c>
      <c r="D96" s="7" t="s">
        <v>120</v>
      </c>
      <c r="E96" s="16" t="n">
        <v>12</v>
      </c>
      <c r="F96" s="7" t="s">
        <v>1122</v>
      </c>
      <c r="G96" s="61" t="str">
        <f aca="false">INDEX(Prioridade!$B$5:$J$9,MATCH(G$4,Prioridade!$A$5:$A$9,0),MATCH($B96,Prioridade!$B$4:$J$4,0))</f>
        <v>Média</v>
      </c>
      <c r="H96" s="61" t="str">
        <f aca="false">INDEX(Prioridade!$B$5:$J$9,MATCH(H$4,Prioridade!$A$5:$A$9,0),MATCH($B96,Prioridade!$B$4:$J$4,0))</f>
        <v>Média</v>
      </c>
      <c r="I96" s="61" t="str">
        <f aca="false">INDEX(Prioridade!$B$5:$J$9,MATCH(I$4,Prioridade!$A$5:$A$9,0),MATCH($B96,Prioridade!$B$4:$J$4,0))</f>
        <v>Média</v>
      </c>
      <c r="J96" s="61" t="str">
        <f aca="false">INDEX(Prioridade!$B$5:$J$9,MATCH(J$4,Prioridade!$A$5:$A$9,0),MATCH($B96,Prioridade!$B$4:$J$4,0))</f>
        <v>Média</v>
      </c>
      <c r="K96" s="61" t="str">
        <f aca="false">INDEX(Prioridade!$B$5:$J$9,MATCH(K$4,Prioridade!$A$5:$A$9,0),MATCH($B96,Prioridade!$B$4:$J$4,0))</f>
        <v>Média</v>
      </c>
      <c r="L96" s="7" t="s">
        <v>1100</v>
      </c>
    </row>
    <row r="97" customFormat="false" ht="23.85" hidden="false" customHeight="false" outlineLevel="0" collapsed="false">
      <c r="A97" s="16" t="n">
        <v>93</v>
      </c>
      <c r="B97" s="7" t="s">
        <v>106</v>
      </c>
      <c r="C97" s="7" t="s">
        <v>1202</v>
      </c>
      <c r="D97" s="7" t="s">
        <v>120</v>
      </c>
      <c r="E97" s="16" t="n">
        <v>20</v>
      </c>
      <c r="F97" s="7" t="s">
        <v>1122</v>
      </c>
      <c r="G97" s="61" t="str">
        <f aca="false">INDEX(Prioridade!$B$5:$J$9,MATCH(G$4,Prioridade!$A$5:$A$9,0),MATCH($B97,Prioridade!$B$4:$J$4,0))</f>
        <v>Média</v>
      </c>
      <c r="H97" s="61" t="str">
        <f aca="false">INDEX(Prioridade!$B$5:$J$9,MATCH(H$4,Prioridade!$A$5:$A$9,0),MATCH($B97,Prioridade!$B$4:$J$4,0))</f>
        <v>Média</v>
      </c>
      <c r="I97" s="61" t="str">
        <f aca="false">INDEX(Prioridade!$B$5:$J$9,MATCH(I$4,Prioridade!$A$5:$A$9,0),MATCH($B97,Prioridade!$B$4:$J$4,0))</f>
        <v>Média</v>
      </c>
      <c r="J97" s="61" t="str">
        <f aca="false">INDEX(Prioridade!$B$5:$J$9,MATCH(J$4,Prioridade!$A$5:$A$9,0),MATCH($B97,Prioridade!$B$4:$J$4,0))</f>
        <v>Média</v>
      </c>
      <c r="K97" s="61" t="str">
        <f aca="false">INDEX(Prioridade!$B$5:$J$9,MATCH(K$4,Prioridade!$A$5:$A$9,0),MATCH($B97,Prioridade!$B$4:$J$4,0))</f>
        <v>Média</v>
      </c>
      <c r="L97" s="7" t="s">
        <v>1100</v>
      </c>
    </row>
    <row r="98" customFormat="false" ht="23.85" hidden="false" customHeight="false" outlineLevel="0" collapsed="false">
      <c r="A98" s="16" t="n">
        <v>94</v>
      </c>
      <c r="B98" s="7" t="s">
        <v>106</v>
      </c>
      <c r="C98" s="7" t="s">
        <v>1203</v>
      </c>
      <c r="D98" s="7" t="s">
        <v>121</v>
      </c>
      <c r="E98" s="16" t="s">
        <v>1144</v>
      </c>
      <c r="F98" s="7" t="s">
        <v>1152</v>
      </c>
      <c r="G98" s="61" t="str">
        <f aca="false">INDEX(Prioridade!$B$5:$J$9,MATCH(G$4,Prioridade!$A$5:$A$9,0),MATCH($B98,Prioridade!$B$4:$J$4,0))</f>
        <v>Média</v>
      </c>
      <c r="H98" s="61" t="str">
        <f aca="false">INDEX(Prioridade!$B$5:$J$9,MATCH(H$4,Prioridade!$A$5:$A$9,0),MATCH($B98,Prioridade!$B$4:$J$4,0))</f>
        <v>Média</v>
      </c>
      <c r="I98" s="61" t="str">
        <f aca="false">INDEX(Prioridade!$B$5:$J$9,MATCH(I$4,Prioridade!$A$5:$A$9,0),MATCH($B98,Prioridade!$B$4:$J$4,0))</f>
        <v>Média</v>
      </c>
      <c r="J98" s="61" t="str">
        <f aca="false">INDEX(Prioridade!$B$5:$J$9,MATCH(J$4,Prioridade!$A$5:$A$9,0),MATCH($B98,Prioridade!$B$4:$J$4,0))</f>
        <v>Média</v>
      </c>
      <c r="K98" s="61" t="str">
        <f aca="false">INDEX(Prioridade!$B$5:$J$9,MATCH(K$4,Prioridade!$A$5:$A$9,0),MATCH($B98,Prioridade!$B$4:$J$4,0))</f>
        <v>Média</v>
      </c>
      <c r="L98" s="7" t="s">
        <v>1142</v>
      </c>
    </row>
    <row r="99" customFormat="false" ht="23.85" hidden="false" customHeight="false" outlineLevel="0" collapsed="false">
      <c r="A99" s="16" t="n">
        <v>95</v>
      </c>
      <c r="B99" s="7" t="s">
        <v>106</v>
      </c>
      <c r="C99" s="7" t="s">
        <v>1204</v>
      </c>
      <c r="D99" s="7" t="s">
        <v>120</v>
      </c>
      <c r="E99" s="16" t="n">
        <v>40</v>
      </c>
      <c r="F99" s="7" t="s">
        <v>1205</v>
      </c>
      <c r="G99" s="61" t="str">
        <f aca="false">INDEX(Prioridade!$B$5:$J$9,MATCH(G$4,Prioridade!$A$5:$A$9,0),MATCH($B99,Prioridade!$B$4:$J$4,0))</f>
        <v>Média</v>
      </c>
      <c r="H99" s="61" t="str">
        <f aca="false">INDEX(Prioridade!$B$5:$J$9,MATCH(H$4,Prioridade!$A$5:$A$9,0),MATCH($B99,Prioridade!$B$4:$J$4,0))</f>
        <v>Média</v>
      </c>
      <c r="I99" s="61" t="str">
        <f aca="false">INDEX(Prioridade!$B$5:$J$9,MATCH(I$4,Prioridade!$A$5:$A$9,0),MATCH($B99,Prioridade!$B$4:$J$4,0))</f>
        <v>Média</v>
      </c>
      <c r="J99" s="61" t="str">
        <f aca="false">INDEX(Prioridade!$B$5:$J$9,MATCH(J$4,Prioridade!$A$5:$A$9,0),MATCH($B99,Prioridade!$B$4:$J$4,0))</f>
        <v>Média</v>
      </c>
      <c r="K99" s="61" t="str">
        <f aca="false">INDEX(Prioridade!$B$5:$J$9,MATCH(K$4,Prioridade!$A$5:$A$9,0),MATCH($B99,Prioridade!$B$4:$J$4,0))</f>
        <v>Média</v>
      </c>
      <c r="L99" s="7" t="s">
        <v>1100</v>
      </c>
    </row>
    <row r="100" customFormat="false" ht="23.85" hidden="false" customHeight="false" outlineLevel="0" collapsed="false">
      <c r="A100" s="16" t="n">
        <v>96</v>
      </c>
      <c r="B100" s="7" t="s">
        <v>100</v>
      </c>
      <c r="C100" s="7" t="s">
        <v>1206</v>
      </c>
      <c r="D100" s="7" t="s">
        <v>120</v>
      </c>
      <c r="E100" s="16" t="n">
        <v>20</v>
      </c>
      <c r="F100" s="7" t="s">
        <v>1122</v>
      </c>
      <c r="G100" s="61" t="str">
        <f aca="false">INDEX(Prioridade!$B$5:$J$9,MATCH(G$4,Prioridade!$A$5:$A$9,0),MATCH($B100,Prioridade!$B$4:$J$4,0))</f>
        <v>Alta</v>
      </c>
      <c r="H100" s="61" t="str">
        <f aca="false">INDEX(Prioridade!$B$5:$J$9,MATCH(H$4,Prioridade!$A$5:$A$9,0),MATCH($B100,Prioridade!$B$4:$J$4,0))</f>
        <v>Média</v>
      </c>
      <c r="I100" s="61" t="str">
        <f aca="false">INDEX(Prioridade!$B$5:$J$9,MATCH(I$4,Prioridade!$A$5:$A$9,0),MATCH($B100,Prioridade!$B$4:$J$4,0))</f>
        <v>Média</v>
      </c>
      <c r="J100" s="61" t="str">
        <f aca="false">INDEX(Prioridade!$B$5:$J$9,MATCH(J$4,Prioridade!$A$5:$A$9,0),MATCH($B100,Prioridade!$B$4:$J$4,0))</f>
        <v>Alta</v>
      </c>
      <c r="K100" s="61" t="str">
        <f aca="false">INDEX(Prioridade!$B$5:$J$9,MATCH(K$4,Prioridade!$A$5:$A$9,0),MATCH($B100,Prioridade!$B$4:$J$4,0))</f>
        <v>Alta</v>
      </c>
      <c r="L100" s="7" t="s">
        <v>1100</v>
      </c>
    </row>
    <row r="101" customFormat="false" ht="23.85" hidden="false" customHeight="false" outlineLevel="0" collapsed="false">
      <c r="A101" s="16" t="n">
        <v>97</v>
      </c>
      <c r="B101" s="7" t="s">
        <v>100</v>
      </c>
      <c r="C101" s="7" t="s">
        <v>1207</v>
      </c>
      <c r="D101" s="7" t="s">
        <v>121</v>
      </c>
      <c r="E101" s="16" t="s">
        <v>1144</v>
      </c>
      <c r="F101" s="7" t="s">
        <v>1152</v>
      </c>
      <c r="G101" s="61" t="str">
        <f aca="false">INDEX(Prioridade!$B$5:$J$9,MATCH(G$4,Prioridade!$A$5:$A$9,0),MATCH($B101,Prioridade!$B$4:$J$4,0))</f>
        <v>Alta</v>
      </c>
      <c r="H101" s="61" t="str">
        <f aca="false">INDEX(Prioridade!$B$5:$J$9,MATCH(H$4,Prioridade!$A$5:$A$9,0),MATCH($B101,Prioridade!$B$4:$J$4,0))</f>
        <v>Média</v>
      </c>
      <c r="I101" s="61" t="str">
        <f aca="false">INDEX(Prioridade!$B$5:$J$9,MATCH(I$4,Prioridade!$A$5:$A$9,0),MATCH($B101,Prioridade!$B$4:$J$4,0))</f>
        <v>Média</v>
      </c>
      <c r="J101" s="61" t="str">
        <f aca="false">INDEX(Prioridade!$B$5:$J$9,MATCH(J$4,Prioridade!$A$5:$A$9,0),MATCH($B101,Prioridade!$B$4:$J$4,0))</f>
        <v>Alta</v>
      </c>
      <c r="K101" s="61" t="str">
        <f aca="false">INDEX(Prioridade!$B$5:$J$9,MATCH(K$4,Prioridade!$A$5:$A$9,0),MATCH($B101,Prioridade!$B$4:$J$4,0))</f>
        <v>Alta</v>
      </c>
      <c r="L101" s="7" t="s">
        <v>1142</v>
      </c>
    </row>
    <row r="102" customFormat="false" ht="15" hidden="false" customHeight="false" outlineLevel="0" collapsed="false">
      <c r="A102" s="16" t="n">
        <v>98</v>
      </c>
      <c r="B102" s="7" t="s">
        <v>100</v>
      </c>
      <c r="C102" s="7" t="s">
        <v>1208</v>
      </c>
      <c r="D102" s="7" t="s">
        <v>119</v>
      </c>
      <c r="E102" s="16" t="n">
        <v>20</v>
      </c>
      <c r="F102" s="7" t="s">
        <v>1209</v>
      </c>
      <c r="G102" s="61" t="str">
        <f aca="false">INDEX(Prioridade!$B$5:$J$9,MATCH(G$4,Prioridade!$A$5:$A$9,0),MATCH($B102,Prioridade!$B$4:$J$4,0))</f>
        <v>Alta</v>
      </c>
      <c r="H102" s="61" t="str">
        <f aca="false">INDEX(Prioridade!$B$5:$J$9,MATCH(H$4,Prioridade!$A$5:$A$9,0),MATCH($B102,Prioridade!$B$4:$J$4,0))</f>
        <v>Média</v>
      </c>
      <c r="I102" s="61" t="str">
        <f aca="false">INDEX(Prioridade!$B$5:$J$9,MATCH(I$4,Prioridade!$A$5:$A$9,0),MATCH($B102,Prioridade!$B$4:$J$4,0))</f>
        <v>Média</v>
      </c>
      <c r="J102" s="61" t="str">
        <f aca="false">INDEX(Prioridade!$B$5:$J$9,MATCH(J$4,Prioridade!$A$5:$A$9,0),MATCH($B102,Prioridade!$B$4:$J$4,0))</f>
        <v>Alta</v>
      </c>
      <c r="K102" s="61" t="str">
        <f aca="false">INDEX(Prioridade!$B$5:$J$9,MATCH(K$4,Prioridade!$A$5:$A$9,0),MATCH($B102,Prioridade!$B$4:$J$4,0))</f>
        <v>Alta</v>
      </c>
      <c r="L102" s="7" t="s">
        <v>1025</v>
      </c>
    </row>
    <row r="103" customFormat="false" ht="15" hidden="false" customHeight="false" outlineLevel="0" collapsed="false">
      <c r="A103" s="16" t="n">
        <v>99</v>
      </c>
      <c r="B103" s="7" t="s">
        <v>100</v>
      </c>
      <c r="C103" s="7" t="s">
        <v>1210</v>
      </c>
      <c r="D103" s="7" t="s">
        <v>119</v>
      </c>
      <c r="E103" s="16" t="n">
        <v>4</v>
      </c>
      <c r="F103" s="7" t="s">
        <v>1211</v>
      </c>
      <c r="G103" s="61" t="str">
        <f aca="false">INDEX(Prioridade!$B$5:$J$9,MATCH(G$4,Prioridade!$A$5:$A$9,0),MATCH($B103,Prioridade!$B$4:$J$4,0))</f>
        <v>Alta</v>
      </c>
      <c r="H103" s="61" t="str">
        <f aca="false">INDEX(Prioridade!$B$5:$J$9,MATCH(H$4,Prioridade!$A$5:$A$9,0),MATCH($B103,Prioridade!$B$4:$J$4,0))</f>
        <v>Média</v>
      </c>
      <c r="I103" s="61" t="str">
        <f aca="false">INDEX(Prioridade!$B$5:$J$9,MATCH(I$4,Prioridade!$A$5:$A$9,0),MATCH($B103,Prioridade!$B$4:$J$4,0))</f>
        <v>Média</v>
      </c>
      <c r="J103" s="61" t="str">
        <f aca="false">INDEX(Prioridade!$B$5:$J$9,MATCH(J$4,Prioridade!$A$5:$A$9,0),MATCH($B103,Prioridade!$B$4:$J$4,0))</f>
        <v>Alta</v>
      </c>
      <c r="K103" s="61" t="str">
        <f aca="false">INDEX(Prioridade!$B$5:$J$9,MATCH(K$4,Prioridade!$A$5:$A$9,0),MATCH($B103,Prioridade!$B$4:$J$4,0))</f>
        <v>Alta</v>
      </c>
      <c r="L103" s="7" t="s">
        <v>1025</v>
      </c>
    </row>
    <row r="104" customFormat="false" ht="15" hidden="false" customHeight="false" outlineLevel="0" collapsed="false">
      <c r="A104" s="16" t="n">
        <v>100</v>
      </c>
      <c r="B104" s="7" t="s">
        <v>100</v>
      </c>
      <c r="C104" s="7" t="s">
        <v>1212</v>
      </c>
      <c r="D104" s="7" t="s">
        <v>119</v>
      </c>
      <c r="E104" s="16" t="n">
        <v>3</v>
      </c>
      <c r="F104" s="7" t="s">
        <v>1213</v>
      </c>
      <c r="G104" s="61" t="str">
        <f aca="false">INDEX(Prioridade!$B$5:$J$9,MATCH(G$4,Prioridade!$A$5:$A$9,0),MATCH($B104,Prioridade!$B$4:$J$4,0))</f>
        <v>Alta</v>
      </c>
      <c r="H104" s="61" t="str">
        <f aca="false">INDEX(Prioridade!$B$5:$J$9,MATCH(H$4,Prioridade!$A$5:$A$9,0),MATCH($B104,Prioridade!$B$4:$J$4,0))</f>
        <v>Média</v>
      </c>
      <c r="I104" s="61" t="str">
        <f aca="false">INDEX(Prioridade!$B$5:$J$9,MATCH(I$4,Prioridade!$A$5:$A$9,0),MATCH($B104,Prioridade!$B$4:$J$4,0))</f>
        <v>Média</v>
      </c>
      <c r="J104" s="61" t="str">
        <f aca="false">INDEX(Prioridade!$B$5:$J$9,MATCH(J$4,Prioridade!$A$5:$A$9,0),MATCH($B104,Prioridade!$B$4:$J$4,0))</f>
        <v>Alta</v>
      </c>
      <c r="K104" s="61" t="str">
        <f aca="false">INDEX(Prioridade!$B$5:$J$9,MATCH(K$4,Prioridade!$A$5:$A$9,0),MATCH($B104,Prioridade!$B$4:$J$4,0))</f>
        <v>Alta</v>
      </c>
      <c r="L104" s="7" t="s">
        <v>1025</v>
      </c>
    </row>
    <row r="105" customFormat="false" ht="15" hidden="false" customHeight="false" outlineLevel="0" collapsed="false">
      <c r="A105" s="16" t="n">
        <v>101</v>
      </c>
      <c r="B105" s="7" t="s">
        <v>100</v>
      </c>
      <c r="C105" s="7" t="s">
        <v>1214</v>
      </c>
      <c r="D105" s="7" t="s">
        <v>119</v>
      </c>
      <c r="E105" s="16" t="n">
        <v>6</v>
      </c>
      <c r="F105" s="7" t="s">
        <v>1215</v>
      </c>
      <c r="G105" s="61" t="str">
        <f aca="false">INDEX(Prioridade!$B$5:$J$9,MATCH(G$4,Prioridade!$A$5:$A$9,0),MATCH($B105,Prioridade!$B$4:$J$4,0))</f>
        <v>Alta</v>
      </c>
      <c r="H105" s="61" t="str">
        <f aca="false">INDEX(Prioridade!$B$5:$J$9,MATCH(H$4,Prioridade!$A$5:$A$9,0),MATCH($B105,Prioridade!$B$4:$J$4,0))</f>
        <v>Média</v>
      </c>
      <c r="I105" s="61" t="str">
        <f aca="false">INDEX(Prioridade!$B$5:$J$9,MATCH(I$4,Prioridade!$A$5:$A$9,0),MATCH($B105,Prioridade!$B$4:$J$4,0))</f>
        <v>Média</v>
      </c>
      <c r="J105" s="61" t="str">
        <f aca="false">INDEX(Prioridade!$B$5:$J$9,MATCH(J$4,Prioridade!$A$5:$A$9,0),MATCH($B105,Prioridade!$B$4:$J$4,0))</f>
        <v>Alta</v>
      </c>
      <c r="K105" s="61" t="str">
        <f aca="false">INDEX(Prioridade!$B$5:$J$9,MATCH(K$4,Prioridade!$A$5:$A$9,0),MATCH($B105,Prioridade!$B$4:$J$4,0))</f>
        <v>Alta</v>
      </c>
      <c r="L105" s="7" t="s">
        <v>1025</v>
      </c>
    </row>
    <row r="106" customFormat="false" ht="15" hidden="false" customHeight="false" outlineLevel="0" collapsed="false">
      <c r="A106" s="16" t="n">
        <v>102</v>
      </c>
      <c r="B106" s="7" t="s">
        <v>100</v>
      </c>
      <c r="C106" s="7" t="s">
        <v>1216</v>
      </c>
      <c r="D106" s="7" t="s">
        <v>119</v>
      </c>
      <c r="E106" s="16" t="n">
        <v>10</v>
      </c>
      <c r="F106" s="7" t="s">
        <v>1217</v>
      </c>
      <c r="G106" s="61" t="str">
        <f aca="false">INDEX(Prioridade!$B$5:$J$9,MATCH(G$4,Prioridade!$A$5:$A$9,0),MATCH($B106,Prioridade!$B$4:$J$4,0))</f>
        <v>Alta</v>
      </c>
      <c r="H106" s="61" t="str">
        <f aca="false">INDEX(Prioridade!$B$5:$J$9,MATCH(H$4,Prioridade!$A$5:$A$9,0),MATCH($B106,Prioridade!$B$4:$J$4,0))</f>
        <v>Média</v>
      </c>
      <c r="I106" s="61" t="str">
        <f aca="false">INDEX(Prioridade!$B$5:$J$9,MATCH(I$4,Prioridade!$A$5:$A$9,0),MATCH($B106,Prioridade!$B$4:$J$4,0))</f>
        <v>Média</v>
      </c>
      <c r="J106" s="61" t="str">
        <f aca="false">INDEX(Prioridade!$B$5:$J$9,MATCH(J$4,Prioridade!$A$5:$A$9,0),MATCH($B106,Prioridade!$B$4:$J$4,0))</f>
        <v>Alta</v>
      </c>
      <c r="K106" s="61" t="str">
        <f aca="false">INDEX(Prioridade!$B$5:$J$9,MATCH(K$4,Prioridade!$A$5:$A$9,0),MATCH($B106,Prioridade!$B$4:$J$4,0))</f>
        <v>Alta</v>
      </c>
      <c r="L106" s="7" t="s">
        <v>1025</v>
      </c>
    </row>
  </sheetData>
  <autoFilter ref="A4:L106"/>
  <conditionalFormatting sqref="G5:K106">
    <cfRule type="cellIs" priority="2" operator="equal" aboveAverage="0" equalAverage="0" bottom="0" percent="0" rank="0" text="" dxfId="7">
      <formula>"Alta"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A5E9"/>
    <pageSetUpPr fitToPage="tru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4"/>
    <col collapsed="false" customWidth="true" hidden="false" outlineLevel="0" max="3" min="3" style="0" width="62"/>
    <col collapsed="false" customWidth="true" hidden="false" outlineLevel="0" max="5" min="4" style="0" width="46"/>
    <col collapsed="false" customWidth="true" hidden="false" outlineLevel="0" max="6" min="6" style="0" width="28"/>
  </cols>
  <sheetData>
    <row r="1" customFormat="false" ht="17.35" hidden="false" customHeight="false" outlineLevel="0" collapsed="false">
      <c r="A1" s="1" t="s">
        <v>1218</v>
      </c>
    </row>
    <row r="2" customFormat="false" ht="15" hidden="false" customHeight="false" outlineLevel="0" collapsed="false">
      <c r="A2" s="2" t="s">
        <v>1219</v>
      </c>
    </row>
    <row r="4" customFormat="false" ht="31.5" hidden="false" customHeight="true" outlineLevel="0" collapsed="false">
      <c r="A4" s="11" t="s">
        <v>129</v>
      </c>
      <c r="B4" s="11" t="s">
        <v>127</v>
      </c>
      <c r="C4" s="11" t="s">
        <v>1220</v>
      </c>
      <c r="D4" s="11" t="s">
        <v>1221</v>
      </c>
      <c r="E4" s="11" t="s">
        <v>1222</v>
      </c>
      <c r="F4" s="11" t="s">
        <v>1223</v>
      </c>
    </row>
    <row r="5" customFormat="false" ht="23.85" hidden="false" customHeight="false" outlineLevel="0" collapsed="false">
      <c r="A5" s="15" t="s">
        <v>256</v>
      </c>
      <c r="B5" s="7" t="s">
        <v>1224</v>
      </c>
      <c r="C5" s="7" t="s">
        <v>1225</v>
      </c>
      <c r="D5" s="6" t="s">
        <v>241</v>
      </c>
      <c r="E5" s="7" t="s">
        <v>1226</v>
      </c>
      <c r="F5" s="62" t="s">
        <v>1227</v>
      </c>
    </row>
    <row r="6" customFormat="false" ht="23.85" hidden="false" customHeight="false" outlineLevel="0" collapsed="false">
      <c r="A6" s="15" t="s">
        <v>360</v>
      </c>
      <c r="B6" s="7" t="s">
        <v>1228</v>
      </c>
      <c r="C6" s="7" t="s">
        <v>1229</v>
      </c>
      <c r="D6" s="6" t="s">
        <v>362</v>
      </c>
      <c r="E6" s="7" t="s">
        <v>1230</v>
      </c>
      <c r="F6" s="62" t="s">
        <v>1227</v>
      </c>
    </row>
    <row r="7" customFormat="false" ht="23.85" hidden="false" customHeight="false" outlineLevel="0" collapsed="false">
      <c r="A7" s="15" t="s">
        <v>312</v>
      </c>
      <c r="B7" s="7" t="s">
        <v>1231</v>
      </c>
      <c r="C7" s="7" t="s">
        <v>1232</v>
      </c>
      <c r="D7" s="6" t="s">
        <v>313</v>
      </c>
      <c r="E7" s="7" t="s">
        <v>1233</v>
      </c>
      <c r="F7" s="62" t="s">
        <v>1227</v>
      </c>
    </row>
    <row r="8" customFormat="false" ht="15" hidden="false" customHeight="false" outlineLevel="0" collapsed="false">
      <c r="A8" s="15" t="s">
        <v>278</v>
      </c>
      <c r="B8" s="7" t="s">
        <v>1234</v>
      </c>
      <c r="C8" s="7" t="s">
        <v>1235</v>
      </c>
      <c r="D8" s="6" t="s">
        <v>1236</v>
      </c>
      <c r="E8" s="7" t="s">
        <v>1237</v>
      </c>
      <c r="F8" s="62" t="s">
        <v>1227</v>
      </c>
    </row>
    <row r="9" customFormat="false" ht="23.85" hidden="false" customHeight="false" outlineLevel="0" collapsed="false">
      <c r="A9" s="15" t="s">
        <v>138</v>
      </c>
      <c r="B9" s="7" t="s">
        <v>1238</v>
      </c>
      <c r="C9" s="7" t="s">
        <v>1239</v>
      </c>
      <c r="D9" s="6" t="s">
        <v>142</v>
      </c>
      <c r="E9" s="7" t="s">
        <v>1240</v>
      </c>
      <c r="F9" s="62" t="s">
        <v>1227</v>
      </c>
    </row>
    <row r="10" customFormat="false" ht="15" hidden="false" customHeight="false" outlineLevel="0" collapsed="false">
      <c r="A10" s="15" t="s">
        <v>223</v>
      </c>
      <c r="B10" s="7" t="s">
        <v>1241</v>
      </c>
      <c r="C10" s="7" t="s">
        <v>1242</v>
      </c>
      <c r="D10" s="6" t="s">
        <v>225</v>
      </c>
      <c r="E10" s="7" t="s">
        <v>1237</v>
      </c>
      <c r="F10" s="62" t="s">
        <v>1227</v>
      </c>
    </row>
    <row r="11" customFormat="false" ht="15" hidden="false" customHeight="false" outlineLevel="0" collapsed="false">
      <c r="A11" s="15" t="s">
        <v>1243</v>
      </c>
      <c r="B11" s="7" t="s">
        <v>1244</v>
      </c>
      <c r="C11" s="7" t="s">
        <v>1245</v>
      </c>
      <c r="D11" s="6" t="s">
        <v>1246</v>
      </c>
      <c r="E11" s="7" t="s">
        <v>1237</v>
      </c>
      <c r="F11" s="62" t="s">
        <v>1227</v>
      </c>
    </row>
    <row r="12" customFormat="false" ht="15" hidden="false" customHeight="false" outlineLevel="0" collapsed="false">
      <c r="A12" s="15" t="s">
        <v>295</v>
      </c>
      <c r="B12" s="7" t="s">
        <v>1244</v>
      </c>
      <c r="C12" s="7" t="s">
        <v>1247</v>
      </c>
      <c r="D12" s="6" t="s">
        <v>1248</v>
      </c>
      <c r="E12" s="7" t="s">
        <v>1237</v>
      </c>
      <c r="F12" s="62" t="s">
        <v>1227</v>
      </c>
    </row>
    <row r="13" customFormat="false" ht="23.85" hidden="false" customHeight="false" outlineLevel="0" collapsed="false">
      <c r="A13" s="15" t="s">
        <v>1249</v>
      </c>
      <c r="B13" s="7" t="s">
        <v>1250</v>
      </c>
      <c r="C13" s="7" t="s">
        <v>1251</v>
      </c>
      <c r="D13" s="7" t="s">
        <v>622</v>
      </c>
      <c r="E13" s="7" t="s">
        <v>1252</v>
      </c>
      <c r="F13" s="62" t="s">
        <v>1253</v>
      </c>
    </row>
    <row r="14" customFormat="false" ht="23.85" hidden="false" customHeight="false" outlineLevel="0" collapsed="false">
      <c r="A14" s="15" t="s">
        <v>1254</v>
      </c>
      <c r="B14" s="7" t="s">
        <v>1255</v>
      </c>
      <c r="C14" s="7" t="s">
        <v>1256</v>
      </c>
      <c r="D14" s="7" t="s">
        <v>622</v>
      </c>
      <c r="E14" s="7" t="s">
        <v>1257</v>
      </c>
      <c r="F14" s="62" t="s">
        <v>1253</v>
      </c>
    </row>
  </sheetData>
  <hyperlinks>
    <hyperlink ref="D5" r:id="rId1" display="https://www.sp.senai.br/cursos"/>
    <hyperlink ref="D6" r:id="rId2" display="https://www.ead.senac.br/gratuito/"/>
    <hyperlink ref="D7" r:id="rId3" display="https://ead.senar.org.br/cursos"/>
    <hyperlink ref="D8" r:id="rId4" display="https://www.gov.br/pt-br/todosportodos/cursos-ead/senat"/>
    <hyperlink ref="D9" r:id="rId5" display="https://loja.sebrae.com.br/cursos/cursos-online"/>
    <hyperlink ref="D10" r:id="rId6" display="https://www.ev.org.br/cursos"/>
    <hyperlink ref="D11" r:id="rId7" display="https://www.escolavirtual.gov.br/"/>
    <hyperlink ref="D12" r:id="rId8" display="https://www.gov.br/turismo/pt-b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7280"/>
    <pageSetUpPr fitToPage="true"/>
  </sheetPr>
  <dimension ref="A1:E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70"/>
    <col collapsed="false" customWidth="true" hidden="false" outlineLevel="0" max="5" min="4" style="0" width="50"/>
  </cols>
  <sheetData>
    <row r="1" customFormat="false" ht="17.35" hidden="false" customHeight="false" outlineLevel="0" collapsed="false">
      <c r="A1" s="1" t="s">
        <v>1258</v>
      </c>
    </row>
    <row r="2" customFormat="false" ht="15" hidden="false" customHeight="false" outlineLevel="0" collapsed="false">
      <c r="A2" s="2" t="s">
        <v>1259</v>
      </c>
    </row>
    <row r="4" customFormat="false" ht="31.5" hidden="false" customHeight="true" outlineLevel="0" collapsed="false">
      <c r="A4" s="11" t="s">
        <v>126</v>
      </c>
      <c r="B4" s="11" t="s">
        <v>1260</v>
      </c>
      <c r="C4" s="11" t="s">
        <v>1261</v>
      </c>
      <c r="D4" s="11" t="s">
        <v>1262</v>
      </c>
      <c r="E4" s="11" t="s">
        <v>1263</v>
      </c>
    </row>
    <row r="5" customFormat="false" ht="15" hidden="false" customHeight="false" outlineLevel="0" collapsed="false">
      <c r="A5" s="16" t="n">
        <v>1</v>
      </c>
      <c r="B5" s="7" t="s">
        <v>1264</v>
      </c>
      <c r="C5" s="6" t="s">
        <v>1265</v>
      </c>
      <c r="D5" s="7" t="s">
        <v>1266</v>
      </c>
      <c r="E5" s="7" t="s">
        <v>1267</v>
      </c>
    </row>
    <row r="6" customFormat="false" ht="15" hidden="false" customHeight="false" outlineLevel="0" collapsed="false">
      <c r="A6" s="16" t="n">
        <v>2</v>
      </c>
      <c r="B6" s="7" t="s">
        <v>1268</v>
      </c>
      <c r="C6" s="6" t="s">
        <v>1269</v>
      </c>
      <c r="D6" s="7" t="s">
        <v>1270</v>
      </c>
      <c r="E6" s="7" t="s">
        <v>1267</v>
      </c>
    </row>
    <row r="7" customFormat="false" ht="15" hidden="false" customHeight="false" outlineLevel="0" collapsed="false">
      <c r="A7" s="16" t="n">
        <v>3</v>
      </c>
      <c r="B7" s="7" t="s">
        <v>1271</v>
      </c>
      <c r="C7" s="6" t="s">
        <v>1272</v>
      </c>
      <c r="D7" s="7" t="s">
        <v>1273</v>
      </c>
      <c r="E7" s="7" t="s">
        <v>1267</v>
      </c>
    </row>
    <row r="8" customFormat="false" ht="15" hidden="false" customHeight="false" outlineLevel="0" collapsed="false">
      <c r="A8" s="16" t="n">
        <v>4</v>
      </c>
      <c r="B8" s="7" t="s">
        <v>1274</v>
      </c>
      <c r="C8" s="6" t="s">
        <v>1275</v>
      </c>
      <c r="D8" s="7" t="s">
        <v>1276</v>
      </c>
      <c r="E8" s="7" t="s">
        <v>1277</v>
      </c>
    </row>
    <row r="9" customFormat="false" ht="15" hidden="false" customHeight="false" outlineLevel="0" collapsed="false">
      <c r="A9" s="16" t="n">
        <v>5</v>
      </c>
      <c r="B9" s="7" t="s">
        <v>1278</v>
      </c>
      <c r="C9" s="6" t="s">
        <v>1279</v>
      </c>
      <c r="D9" s="7" t="s">
        <v>1280</v>
      </c>
      <c r="E9" s="7" t="s">
        <v>1277</v>
      </c>
    </row>
    <row r="10" customFormat="false" ht="15" hidden="false" customHeight="false" outlineLevel="0" collapsed="false">
      <c r="A10" s="16" t="n">
        <v>6</v>
      </c>
      <c r="B10" s="7" t="s">
        <v>1281</v>
      </c>
      <c r="C10" s="6" t="s">
        <v>1282</v>
      </c>
      <c r="D10" s="7" t="s">
        <v>1283</v>
      </c>
      <c r="E10" s="7" t="s">
        <v>1267</v>
      </c>
    </row>
    <row r="11" customFormat="false" ht="15" hidden="false" customHeight="false" outlineLevel="0" collapsed="false">
      <c r="A11" s="16" t="n">
        <v>7</v>
      </c>
      <c r="B11" s="7" t="s">
        <v>1284</v>
      </c>
      <c r="C11" s="6" t="s">
        <v>1285</v>
      </c>
      <c r="D11" s="7" t="s">
        <v>1286</v>
      </c>
      <c r="E11" s="7" t="s">
        <v>1287</v>
      </c>
    </row>
    <row r="12" customFormat="false" ht="15" hidden="false" customHeight="false" outlineLevel="0" collapsed="false">
      <c r="A12" s="16" t="n">
        <v>8</v>
      </c>
      <c r="B12" s="7" t="s">
        <v>1288</v>
      </c>
      <c r="C12" s="6" t="s">
        <v>1289</v>
      </c>
      <c r="D12" s="7" t="s">
        <v>1290</v>
      </c>
      <c r="E12" s="7" t="s">
        <v>1267</v>
      </c>
    </row>
    <row r="13" customFormat="false" ht="15" hidden="false" customHeight="false" outlineLevel="0" collapsed="false">
      <c r="A13" s="16" t="n">
        <v>9</v>
      </c>
      <c r="B13" s="7" t="s">
        <v>1291</v>
      </c>
      <c r="C13" s="6" t="s">
        <v>313</v>
      </c>
      <c r="D13" s="7" t="s">
        <v>1292</v>
      </c>
      <c r="E13" s="7" t="s">
        <v>1267</v>
      </c>
    </row>
    <row r="14" customFormat="false" ht="23.85" hidden="false" customHeight="false" outlineLevel="0" collapsed="false">
      <c r="A14" s="16" t="n">
        <v>10</v>
      </c>
      <c r="B14" s="7" t="s">
        <v>1293</v>
      </c>
      <c r="C14" s="6" t="s">
        <v>1294</v>
      </c>
      <c r="D14" s="7" t="s">
        <v>1295</v>
      </c>
      <c r="E14" s="63" t="s">
        <v>1296</v>
      </c>
    </row>
    <row r="15" customFormat="false" ht="15" hidden="false" customHeight="false" outlineLevel="0" collapsed="false">
      <c r="A15" s="16" t="n">
        <v>11</v>
      </c>
      <c r="B15" s="7" t="s">
        <v>1297</v>
      </c>
      <c r="C15" s="6" t="s">
        <v>142</v>
      </c>
      <c r="D15" s="7" t="s">
        <v>1298</v>
      </c>
      <c r="E15" s="7" t="s">
        <v>1267</v>
      </c>
    </row>
    <row r="16" customFormat="false" ht="15" hidden="false" customHeight="false" outlineLevel="0" collapsed="false">
      <c r="A16" s="16" t="n">
        <v>12</v>
      </c>
      <c r="B16" s="7" t="s">
        <v>1299</v>
      </c>
      <c r="C16" s="6" t="s">
        <v>225</v>
      </c>
      <c r="D16" s="7" t="s">
        <v>1300</v>
      </c>
      <c r="E16" s="7" t="s">
        <v>1301</v>
      </c>
    </row>
    <row r="17" customFormat="false" ht="15" hidden="false" customHeight="false" outlineLevel="0" collapsed="false">
      <c r="A17" s="16" t="n">
        <v>13</v>
      </c>
      <c r="B17" s="7" t="s">
        <v>1302</v>
      </c>
      <c r="C17" s="6" t="s">
        <v>241</v>
      </c>
      <c r="D17" s="7" t="s">
        <v>1303</v>
      </c>
      <c r="E17" s="7" t="s">
        <v>1304</v>
      </c>
    </row>
    <row r="18" customFormat="false" ht="15" hidden="false" customHeight="false" outlineLevel="0" collapsed="false">
      <c r="A18" s="16" t="n">
        <v>14</v>
      </c>
      <c r="B18" s="7" t="s">
        <v>1305</v>
      </c>
      <c r="C18" s="6" t="s">
        <v>306</v>
      </c>
      <c r="D18" s="7" t="s">
        <v>1306</v>
      </c>
      <c r="E18" s="7" t="s">
        <v>1267</v>
      </c>
    </row>
    <row r="19" customFormat="false" ht="15" hidden="false" customHeight="false" outlineLevel="0" collapsed="false">
      <c r="A19" s="16" t="n">
        <v>15</v>
      </c>
      <c r="B19" s="7" t="s">
        <v>1307</v>
      </c>
      <c r="C19" s="6" t="s">
        <v>1246</v>
      </c>
      <c r="D19" s="7" t="s">
        <v>1308</v>
      </c>
      <c r="E19" s="7" t="s">
        <v>1267</v>
      </c>
    </row>
    <row r="20" customFormat="false" ht="15" hidden="false" customHeight="false" outlineLevel="0" collapsed="false">
      <c r="A20" s="16" t="n">
        <v>16</v>
      </c>
      <c r="B20" s="7" t="s">
        <v>1309</v>
      </c>
      <c r="C20" s="6" t="s">
        <v>1310</v>
      </c>
      <c r="D20" s="7" t="s">
        <v>622</v>
      </c>
      <c r="E20" s="63" t="s">
        <v>1311</v>
      </c>
    </row>
    <row r="21" customFormat="false" ht="15" hidden="false" customHeight="false" outlineLevel="0" collapsed="false">
      <c r="A21" s="16" t="n">
        <v>17</v>
      </c>
      <c r="B21" s="7" t="s">
        <v>1312</v>
      </c>
      <c r="C21" s="6" t="s">
        <v>362</v>
      </c>
      <c r="D21" s="7" t="s">
        <v>622</v>
      </c>
      <c r="E21" s="63" t="s">
        <v>1313</v>
      </c>
    </row>
    <row r="22" customFormat="false" ht="15" hidden="false" customHeight="false" outlineLevel="0" collapsed="false">
      <c r="A22" s="16" t="n">
        <v>18</v>
      </c>
      <c r="B22" s="7" t="s">
        <v>1314</v>
      </c>
      <c r="C22" s="6" t="s">
        <v>1315</v>
      </c>
      <c r="D22" s="7" t="s">
        <v>622</v>
      </c>
      <c r="E22" s="63" t="s">
        <v>1316</v>
      </c>
    </row>
    <row r="23" customFormat="false" ht="15" hidden="false" customHeight="false" outlineLevel="0" collapsed="false">
      <c r="A23" s="16" t="n">
        <v>19</v>
      </c>
      <c r="B23" s="7" t="s">
        <v>1317</v>
      </c>
      <c r="C23" s="6" t="s">
        <v>1236</v>
      </c>
      <c r="D23" s="7" t="s">
        <v>622</v>
      </c>
      <c r="E23" s="63" t="s">
        <v>1318</v>
      </c>
    </row>
    <row r="24" customFormat="false" ht="15" hidden="false" customHeight="false" outlineLevel="0" collapsed="false">
      <c r="A24" s="16" t="n">
        <v>20</v>
      </c>
      <c r="B24" s="7" t="s">
        <v>1319</v>
      </c>
      <c r="C24" s="6" t="s">
        <v>257</v>
      </c>
      <c r="D24" s="7" t="s">
        <v>1320</v>
      </c>
      <c r="E24" s="7" t="s">
        <v>1321</v>
      </c>
    </row>
    <row r="25" customFormat="false" ht="15" hidden="false" customHeight="false" outlineLevel="0" collapsed="false">
      <c r="A25" s="16" t="n">
        <v>21</v>
      </c>
      <c r="B25" s="7" t="s">
        <v>1322</v>
      </c>
      <c r="C25" s="6" t="s">
        <v>279</v>
      </c>
      <c r="D25" s="7" t="s">
        <v>1323</v>
      </c>
      <c r="E25" s="7" t="s">
        <v>1324</v>
      </c>
    </row>
    <row r="26" customFormat="false" ht="15" hidden="false" customHeight="false" outlineLevel="0" collapsed="false">
      <c r="A26" s="16" t="n">
        <v>22</v>
      </c>
      <c r="B26" s="7" t="s">
        <v>1325</v>
      </c>
      <c r="C26" s="6" t="s">
        <v>1326</v>
      </c>
      <c r="D26" s="7" t="s">
        <v>1327</v>
      </c>
      <c r="E26" s="7" t="s">
        <v>1321</v>
      </c>
    </row>
    <row r="27" customFormat="false" ht="15" hidden="false" customHeight="false" outlineLevel="0" collapsed="false">
      <c r="A27" s="16" t="n">
        <v>23</v>
      </c>
      <c r="B27" s="7" t="s">
        <v>1328</v>
      </c>
      <c r="C27" s="6" t="s">
        <v>1329</v>
      </c>
      <c r="D27" s="7" t="s">
        <v>1327</v>
      </c>
      <c r="E27" s="7" t="s">
        <v>1330</v>
      </c>
    </row>
    <row r="28" customFormat="false" ht="15" hidden="false" customHeight="false" outlineLevel="0" collapsed="false">
      <c r="A28" s="16" t="n">
        <v>24</v>
      </c>
      <c r="B28" s="7" t="s">
        <v>1331</v>
      </c>
      <c r="C28" s="6" t="s">
        <v>296</v>
      </c>
      <c r="D28" s="7" t="s">
        <v>1332</v>
      </c>
      <c r="E28" s="7" t="s">
        <v>1333</v>
      </c>
    </row>
    <row r="29" customFormat="false" ht="15" hidden="false" customHeight="false" outlineLevel="0" collapsed="false">
      <c r="A29" s="16" t="n">
        <v>25</v>
      </c>
      <c r="B29" s="7" t="s">
        <v>1334</v>
      </c>
      <c r="C29" s="6" t="s">
        <v>1335</v>
      </c>
      <c r="D29" s="7" t="s">
        <v>1336</v>
      </c>
      <c r="E29" s="7" t="s">
        <v>1330</v>
      </c>
    </row>
    <row r="30" customFormat="false" ht="23.85" hidden="false" customHeight="false" outlineLevel="0" collapsed="false">
      <c r="A30" s="16" t="n">
        <v>26</v>
      </c>
      <c r="B30" s="7" t="s">
        <v>1337</v>
      </c>
      <c r="C30" s="6" t="s">
        <v>1338</v>
      </c>
      <c r="D30" s="7" t="s">
        <v>1339</v>
      </c>
      <c r="E30" s="7" t="s">
        <v>1267</v>
      </c>
    </row>
    <row r="31" customFormat="false" ht="15" hidden="false" customHeight="false" outlineLevel="0" collapsed="false">
      <c r="A31" s="16" t="n">
        <v>27</v>
      </c>
      <c r="B31" s="7" t="s">
        <v>1340</v>
      </c>
      <c r="C31" s="6" t="s">
        <v>1341</v>
      </c>
      <c r="D31" s="7" t="s">
        <v>1342</v>
      </c>
      <c r="E31" s="7" t="s">
        <v>1267</v>
      </c>
    </row>
    <row r="32" customFormat="false" ht="23.85" hidden="false" customHeight="false" outlineLevel="0" collapsed="false">
      <c r="A32" s="16" t="n">
        <v>28</v>
      </c>
      <c r="B32" s="7" t="s">
        <v>1343</v>
      </c>
      <c r="C32" s="6" t="s">
        <v>1344</v>
      </c>
      <c r="D32" s="7" t="s">
        <v>1345</v>
      </c>
      <c r="E32" s="7" t="s">
        <v>1346</v>
      </c>
    </row>
  </sheetData>
  <hyperlinks>
    <hyperlink ref="C5" r:id="rId1" display="https://agenciadenoticias.ibge.gov.br/pt/agencia-noticias/45142-pib-cresce-em-todos-os-27-estados-do-pais-em-2023.html?lang=pt-BR"/>
    <hyperlink ref="C6" r:id="rId2" display="https://movimentoeconomico.com.br/economia/2025/11/14/pib-do-nordeste-cresce-29-mas-renda-per-capita-segue-a-menor-do-pais/"/>
    <hyperlink ref="C7" r:id="rId3" display="https://mais.opovo.com.br/jornal/economia/2025/04/11/pib-do-nordeste-cresce-menos-que-o-do-pais-em-2023-2024.html"/>
    <hyperlink ref="C8" r:id="rId4" display="https://querobolsa.com.br/enem/geografia/regioes-do-brasil"/>
    <hyperlink ref="C9" r:id="rId5" display="https://www.todamateria.com.br/espaco-industrial-brasileiro/"/>
    <hyperlink ref="C10" r:id="rId6" display="https://movimentoeconomico.com.br/economia/turismo/2024/12/25/ne-lidera-turismo-nacional-no-verao-53-dos-brasileiros-escolhem-a-regiao/"/>
    <hyperlink ref="C11" r:id="rId7" display="https://www.cnnbrasil.com.br/agro/conab-eleva-safra-de-graos-para-358-milhoes-de-toneladas-na-safra-2025-26/"/>
    <hyperlink ref="C12" r:id="rId8" display="https://cnabrasil.org.br/formacao-profissional"/>
    <hyperlink ref="C13" r:id="rId9" display="https://ead.senar.org.br/cursos"/>
    <hyperlink ref="C14" r:id="rId10" display="https://ead.senar.org.br/cursos-pdf"/>
    <hyperlink ref="C15" r:id="rId11" display="https://loja.sebrae.com.br/cursos/cursos-online"/>
    <hyperlink ref="C16" r:id="rId12" display="https://www.ev.org.br/cursos"/>
    <hyperlink ref="C17" r:id="rId13" display="https://www.sp.senai.br/cursos"/>
    <hyperlink ref="C18" r:id="rId14" display="https://www.escolavirtual.gov.br/catalogo"/>
    <hyperlink ref="C19" r:id="rId15" display="https://www.escolavirtual.gov.br/"/>
    <hyperlink ref="C20" r:id="rId16" display="https://www.senai.br/"/>
    <hyperlink ref="C21" r:id="rId17" display="https://www.ead.senac.br/gratuito/"/>
    <hyperlink ref="C22" r:id="rId18" display="https://www.senac.br/"/>
    <hyperlink ref="C23" r:id="rId19" display="https://www.gov.br/pt-br/todosportodos/cursos-ead/senat"/>
    <hyperlink ref="C24" r:id="rId20" display="https://concursosnobrasil.com/educacao/2023/05/25/senai-oferece-mais-de-200-cursos-on-line-e-gratuitos-a-distancia/"/>
    <hyperlink ref="C25" r:id="rId21" display="https://concursosnobrasil.com/educacao/2022/04/28/sest-senat-oferece-160-cursos-online-gratuitos-veja-opcoes/"/>
    <hyperlink ref="C26" r:id="rId22" display="https://concursosnobrasil.com/educacao/2023/05/15/conheca-mais-de-340-cursos-on-line-e-gratuitos-oferecidos-pelo-sebrae/"/>
    <hyperlink ref="C27" r:id="rId23" display="https://catracalivre.com.br/educacao/sebrae-oferece-mais-de-150-cursos-gratuitos-com-certificado/"/>
    <hyperlink ref="C28" r:id="rId24" display="https://brasil61.com/n/mtur-abre-inscricoes-para-mais-de-20-cursos-gratuitos-na-area-do-turismo-bras214762"/>
    <hyperlink ref="C29" r:id="rId25" display="https://www.gazetasp.com.br/economia/senac-abre-oportunidade-de-curso-tecnico-gratuito-confira/"/>
    <hyperlink ref="C30" r:id="rId26" display="https://ipip.ori.org/"/>
    <hyperlink ref="C31" r:id="rId27" display="https://ipip.ori.org/newBigFive5broadKey.htm"/>
    <hyperlink ref="C32" r:id="rId28" display="https://www.onetcenter.org/IP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2026-10-06T19:39:40Z</dcterms:created>
  <dc:creator>openpyxl</dc:creator>
  <dc:description/>
  <dc:language>en-US</dc:language>
  <cp:lastModifiedBy/>
  <dcterms:modified xsi:type="dcterms:W3CDTF">2026-10-06T19:39:40Z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